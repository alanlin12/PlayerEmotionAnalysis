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raelalonge/Downloads/PlayerEmotionAnalysis/Player Stats/"/>
    </mc:Choice>
  </mc:AlternateContent>
  <xr:revisionPtr revIDLastSave="0" documentId="13_ncr:1_{52A2B157-1578-A048-89EA-ECDFA370161A}" xr6:coauthVersionLast="47" xr6:coauthVersionMax="47" xr10:uidLastSave="{00000000-0000-0000-0000-000000000000}"/>
  <bookViews>
    <workbookView xWindow="0" yWindow="720" windowWidth="29400" windowHeight="18400" firstSheet="9" activeTab="21" xr2:uid="{31670190-0621-CF43-B378-31166A7FA5C6}"/>
  </bookViews>
  <sheets>
    <sheet name="curry" sheetId="1" r:id="rId1"/>
    <sheet name="wiggins" sheetId="2" r:id="rId2"/>
    <sheet name="davis" sheetId="3" r:id="rId3"/>
    <sheet name="cp3" sheetId="4" r:id="rId4"/>
    <sheet name="Sheet1" sheetId="21" r:id="rId5"/>
    <sheet name="Sheet2" sheetId="22" r:id="rId6"/>
    <sheet name="Sheet3" sheetId="23" r:id="rId7"/>
    <sheet name="booker" sheetId="5" r:id="rId8"/>
    <sheet name="draymond" sheetId="6" r:id="rId9"/>
    <sheet name="zubac" sheetId="7" r:id="rId10"/>
    <sheet name="harden" sheetId="8" r:id="rId11"/>
    <sheet name="poole" sheetId="9" r:id="rId12"/>
    <sheet name="durant" sheetId="10" r:id="rId13"/>
    <sheet name="klay" sheetId="11" r:id="rId14"/>
    <sheet name="kyrie" sheetId="14" r:id="rId15"/>
    <sheet name="lebron" sheetId="15" r:id="rId16"/>
    <sheet name="mikal" sheetId="16" r:id="rId17"/>
    <sheet name="pg13" sheetId="17" r:id="rId18"/>
    <sheet name="westbrook" sheetId="19" r:id="rId19"/>
    <sheet name="reggie jackson" sheetId="18" r:id="rId20"/>
    <sheet name="mann" sheetId="20" r:id="rId21"/>
    <sheet name="combined_player_stats" sheetId="12" r:id="rId22"/>
    <sheet name="Worksheet" sheetId="24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2" l="1"/>
  <c r="F3" i="12"/>
  <c r="E4" i="12"/>
  <c r="F4" i="12"/>
  <c r="E5" i="12"/>
  <c r="F5" i="12"/>
  <c r="E6" i="12"/>
  <c r="F6" i="12"/>
  <c r="E7" i="12"/>
  <c r="F7" i="12"/>
  <c r="E8" i="12"/>
  <c r="F8" i="12"/>
  <c r="E9" i="12"/>
  <c r="F9" i="12"/>
  <c r="E10" i="12"/>
  <c r="F10" i="12"/>
  <c r="E11" i="12"/>
  <c r="F11" i="12"/>
  <c r="E12" i="12"/>
  <c r="F12" i="12"/>
  <c r="E13" i="12"/>
  <c r="F13" i="12"/>
  <c r="E14" i="12"/>
  <c r="F14" i="12"/>
  <c r="E15" i="12"/>
  <c r="F15" i="12"/>
  <c r="E16" i="12"/>
  <c r="F16" i="12"/>
  <c r="E17" i="12"/>
  <c r="F17" i="12"/>
  <c r="E18" i="12"/>
  <c r="F18" i="12"/>
  <c r="E19" i="12"/>
  <c r="F19" i="12"/>
  <c r="E20" i="12"/>
  <c r="F20" i="12"/>
  <c r="E21" i="12"/>
  <c r="F21" i="12"/>
  <c r="E22" i="12"/>
  <c r="F22" i="12"/>
  <c r="E23" i="12"/>
  <c r="F23" i="12"/>
  <c r="E24" i="12"/>
  <c r="F24" i="12"/>
  <c r="E25" i="12"/>
  <c r="F25" i="12"/>
  <c r="E26" i="12"/>
  <c r="F26" i="12"/>
  <c r="E27" i="12"/>
  <c r="F27" i="12"/>
  <c r="E28" i="12"/>
  <c r="F28" i="12"/>
  <c r="E29" i="12"/>
  <c r="F29" i="12"/>
  <c r="E30" i="12"/>
  <c r="F30" i="12"/>
  <c r="E31" i="12"/>
  <c r="F31" i="12"/>
  <c r="E32" i="12"/>
  <c r="F32" i="12"/>
  <c r="E33" i="12"/>
  <c r="F33" i="12"/>
  <c r="E34" i="12"/>
  <c r="F34" i="12"/>
  <c r="E35" i="12"/>
  <c r="F35" i="12"/>
  <c r="E36" i="12"/>
  <c r="F36" i="12"/>
  <c r="E37" i="12"/>
  <c r="F37" i="12"/>
  <c r="E38" i="12"/>
  <c r="F38" i="12"/>
  <c r="E39" i="12"/>
  <c r="F39" i="12"/>
  <c r="E40" i="12"/>
  <c r="F40" i="12"/>
  <c r="E41" i="12"/>
  <c r="F41" i="12"/>
  <c r="E42" i="12"/>
  <c r="F42" i="12"/>
  <c r="E43" i="12"/>
  <c r="F43" i="12"/>
  <c r="E44" i="12"/>
  <c r="F44" i="12"/>
  <c r="E45" i="12"/>
  <c r="F45" i="12"/>
  <c r="E46" i="12"/>
  <c r="F46" i="12"/>
  <c r="E47" i="12"/>
  <c r="F47" i="12"/>
  <c r="E48" i="12"/>
  <c r="F48" i="12"/>
  <c r="E49" i="12"/>
  <c r="F49" i="12"/>
  <c r="E50" i="12"/>
  <c r="F50" i="12"/>
  <c r="E51" i="12"/>
  <c r="F51" i="12"/>
  <c r="E52" i="12"/>
  <c r="F52" i="12"/>
  <c r="E53" i="12"/>
  <c r="F53" i="12"/>
  <c r="E54" i="12"/>
  <c r="F54" i="12"/>
  <c r="E55" i="12"/>
  <c r="F55" i="12"/>
  <c r="E56" i="12"/>
  <c r="F56" i="12"/>
  <c r="E57" i="12"/>
  <c r="F57" i="12"/>
  <c r="E58" i="12"/>
  <c r="F58" i="12"/>
  <c r="E59" i="12"/>
  <c r="F59" i="12"/>
  <c r="E60" i="12"/>
  <c r="F60" i="12"/>
  <c r="E61" i="12"/>
  <c r="F61" i="12"/>
  <c r="E62" i="12"/>
  <c r="F62" i="12"/>
  <c r="E63" i="12"/>
  <c r="F63" i="12"/>
  <c r="E64" i="12"/>
  <c r="F64" i="12"/>
  <c r="E65" i="12"/>
  <c r="F65" i="12"/>
  <c r="E66" i="12"/>
  <c r="F66" i="12"/>
  <c r="E67" i="12"/>
  <c r="F67" i="12"/>
  <c r="E68" i="12"/>
  <c r="F68" i="12"/>
  <c r="E69" i="12"/>
  <c r="F69" i="12"/>
  <c r="E70" i="12"/>
  <c r="F70" i="12"/>
  <c r="E71" i="12"/>
  <c r="F71" i="12"/>
  <c r="E72" i="12"/>
  <c r="F72" i="12"/>
  <c r="E73" i="12"/>
  <c r="F73" i="12"/>
  <c r="E74" i="12"/>
  <c r="F74" i="12"/>
  <c r="E75" i="12"/>
  <c r="F75" i="12"/>
  <c r="E76" i="12"/>
  <c r="F76" i="12"/>
  <c r="E77" i="12"/>
  <c r="F77" i="12"/>
  <c r="E78" i="12"/>
  <c r="F78" i="12"/>
  <c r="E79" i="12"/>
  <c r="F79" i="12"/>
  <c r="E80" i="12"/>
  <c r="F80" i="12"/>
  <c r="E81" i="12"/>
  <c r="F81" i="12"/>
  <c r="E82" i="12"/>
  <c r="F82" i="12"/>
  <c r="E83" i="12"/>
  <c r="F83" i="12"/>
  <c r="E84" i="12"/>
  <c r="F84" i="12"/>
  <c r="E85" i="12"/>
  <c r="F85" i="12"/>
  <c r="E86" i="12"/>
  <c r="F86" i="12"/>
  <c r="E87" i="12"/>
  <c r="F87" i="12"/>
  <c r="E88" i="12"/>
  <c r="F88" i="12"/>
  <c r="E89" i="12"/>
  <c r="F89" i="12"/>
  <c r="E90" i="12"/>
  <c r="F90" i="12"/>
  <c r="E91" i="12"/>
  <c r="F91" i="12"/>
  <c r="E92" i="12"/>
  <c r="F92" i="12"/>
  <c r="E93" i="12"/>
  <c r="F93" i="12"/>
  <c r="E94" i="12"/>
  <c r="F94" i="12"/>
  <c r="E95" i="12"/>
  <c r="F95" i="12"/>
  <c r="E96" i="12"/>
  <c r="F96" i="12"/>
  <c r="E97" i="12"/>
  <c r="F97" i="12"/>
  <c r="E98" i="12"/>
  <c r="F98" i="12"/>
  <c r="E99" i="12"/>
  <c r="F99" i="12"/>
  <c r="E100" i="12"/>
  <c r="F100" i="12"/>
  <c r="E101" i="12"/>
  <c r="F101" i="12"/>
  <c r="E102" i="12"/>
  <c r="F102" i="12"/>
  <c r="E103" i="12"/>
  <c r="F103" i="12"/>
  <c r="E104" i="12"/>
  <c r="F104" i="12"/>
  <c r="E105" i="12"/>
  <c r="F105" i="12"/>
  <c r="E106" i="12"/>
  <c r="F106" i="12"/>
  <c r="E107" i="12"/>
  <c r="F107" i="12"/>
  <c r="E108" i="12"/>
  <c r="F108" i="12"/>
  <c r="E109" i="12"/>
  <c r="F109" i="12"/>
  <c r="E110" i="12"/>
  <c r="F110" i="12"/>
  <c r="E111" i="12"/>
  <c r="F111" i="12"/>
  <c r="E112" i="12"/>
  <c r="F112" i="12"/>
  <c r="E113" i="12"/>
  <c r="F113" i="12"/>
  <c r="E114" i="12"/>
  <c r="F114" i="12"/>
  <c r="E115" i="12"/>
  <c r="F115" i="12"/>
  <c r="E116" i="12"/>
  <c r="F116" i="12"/>
  <c r="E117" i="12"/>
  <c r="F117" i="12"/>
  <c r="E118" i="12"/>
  <c r="F118" i="12"/>
  <c r="E119" i="12"/>
  <c r="F119" i="12"/>
  <c r="E120" i="12"/>
  <c r="F120" i="12"/>
  <c r="E121" i="12"/>
  <c r="F121" i="12"/>
  <c r="E122" i="12"/>
  <c r="F122" i="12"/>
  <c r="E123" i="12"/>
  <c r="F123" i="12"/>
  <c r="E124" i="12"/>
  <c r="F124" i="12"/>
  <c r="E125" i="12"/>
  <c r="F125" i="12"/>
  <c r="E126" i="12"/>
  <c r="F126" i="12"/>
  <c r="E127" i="12"/>
  <c r="F127" i="12"/>
  <c r="E128" i="12"/>
  <c r="F128" i="12"/>
  <c r="E129" i="12"/>
  <c r="F129" i="12"/>
  <c r="E130" i="12"/>
  <c r="F130" i="12"/>
  <c r="E131" i="12"/>
  <c r="F131" i="12"/>
  <c r="E132" i="12"/>
  <c r="F132" i="12"/>
  <c r="E133" i="12"/>
  <c r="F133" i="12"/>
  <c r="E134" i="12"/>
  <c r="F134" i="12"/>
  <c r="E135" i="12"/>
  <c r="F135" i="12"/>
  <c r="E136" i="12"/>
  <c r="F136" i="12"/>
  <c r="E137" i="12"/>
  <c r="F137" i="12"/>
  <c r="E138" i="12"/>
  <c r="F138" i="12"/>
  <c r="E139" i="12"/>
  <c r="F139" i="12"/>
  <c r="E140" i="12"/>
  <c r="F140" i="12"/>
  <c r="E141" i="12"/>
  <c r="F141" i="12"/>
  <c r="E142" i="12"/>
  <c r="F142" i="12"/>
  <c r="E143" i="12"/>
  <c r="F143" i="12"/>
  <c r="E144" i="12"/>
  <c r="F144" i="12"/>
  <c r="E145" i="12"/>
  <c r="F145" i="12"/>
  <c r="E146" i="12"/>
  <c r="F146" i="12"/>
  <c r="E147" i="12"/>
  <c r="F147" i="12"/>
  <c r="E148" i="12"/>
  <c r="F148" i="12"/>
  <c r="E149" i="12"/>
  <c r="F149" i="12"/>
  <c r="E150" i="12"/>
  <c r="F150" i="12"/>
  <c r="E151" i="12"/>
  <c r="F151" i="12"/>
  <c r="E152" i="12"/>
  <c r="F152" i="12"/>
  <c r="E153" i="12"/>
  <c r="F153" i="12"/>
  <c r="E154" i="12"/>
  <c r="F154" i="12"/>
  <c r="E155" i="12"/>
  <c r="F155" i="12"/>
  <c r="E156" i="12"/>
  <c r="F156" i="12"/>
  <c r="E157" i="12"/>
  <c r="F157" i="12"/>
  <c r="E158" i="12"/>
  <c r="F158" i="12"/>
  <c r="E159" i="12"/>
  <c r="F159" i="12"/>
  <c r="E160" i="12"/>
  <c r="F160" i="12"/>
  <c r="E161" i="12"/>
  <c r="F161" i="12"/>
  <c r="E162" i="12"/>
  <c r="F162" i="12"/>
  <c r="E163" i="12"/>
  <c r="F163" i="12"/>
  <c r="E164" i="12"/>
  <c r="F164" i="12"/>
  <c r="E165" i="12"/>
  <c r="F165" i="12"/>
  <c r="E166" i="12"/>
  <c r="F166" i="12"/>
  <c r="E167" i="12"/>
  <c r="F167" i="12"/>
  <c r="E168" i="12"/>
  <c r="F168" i="12"/>
  <c r="E169" i="12"/>
  <c r="F169" i="12"/>
  <c r="E170" i="12"/>
  <c r="F170" i="12"/>
  <c r="E171" i="12"/>
  <c r="F171" i="12"/>
  <c r="E172" i="12"/>
  <c r="F172" i="12"/>
  <c r="E173" i="12"/>
  <c r="F173" i="12"/>
  <c r="E174" i="12"/>
  <c r="F174" i="12"/>
  <c r="E175" i="12"/>
  <c r="F175" i="12"/>
  <c r="E176" i="12"/>
  <c r="F176" i="12"/>
  <c r="E177" i="12"/>
  <c r="F177" i="12"/>
  <c r="E178" i="12"/>
  <c r="F178" i="12"/>
  <c r="E179" i="12"/>
  <c r="F179" i="12"/>
  <c r="E180" i="12"/>
  <c r="F180" i="12"/>
  <c r="E181" i="12"/>
  <c r="F181" i="12"/>
  <c r="E182" i="12"/>
  <c r="F182" i="12"/>
  <c r="E183" i="12"/>
  <c r="F183" i="12"/>
  <c r="E184" i="12"/>
  <c r="F184" i="12"/>
  <c r="E185" i="12"/>
  <c r="F185" i="12"/>
  <c r="E186" i="12"/>
  <c r="F186" i="12"/>
  <c r="E187" i="12"/>
  <c r="F187" i="12"/>
  <c r="E188" i="12"/>
  <c r="F188" i="12"/>
  <c r="E189" i="12"/>
  <c r="F189" i="12"/>
  <c r="E190" i="12"/>
  <c r="F190" i="12"/>
  <c r="E191" i="12"/>
  <c r="F191" i="12"/>
  <c r="E192" i="12"/>
  <c r="F192" i="12"/>
  <c r="E193" i="12"/>
  <c r="F193" i="12"/>
  <c r="E194" i="12"/>
  <c r="F194" i="12"/>
  <c r="E195" i="12"/>
  <c r="F195" i="12"/>
  <c r="E196" i="12"/>
  <c r="F196" i="12"/>
  <c r="E197" i="12"/>
  <c r="F197" i="12"/>
  <c r="E198" i="12"/>
  <c r="F198" i="12"/>
  <c r="E199" i="12"/>
  <c r="F199" i="12"/>
  <c r="E200" i="12"/>
  <c r="F200" i="12"/>
  <c r="E201" i="12"/>
  <c r="F201" i="12"/>
  <c r="E202" i="12"/>
  <c r="F202" i="12"/>
  <c r="E203" i="12"/>
  <c r="F203" i="12"/>
  <c r="E204" i="12"/>
  <c r="F204" i="12"/>
  <c r="E205" i="12"/>
  <c r="F205" i="12"/>
  <c r="E206" i="12"/>
  <c r="F206" i="12"/>
  <c r="E207" i="12"/>
  <c r="F207" i="12"/>
  <c r="E208" i="12"/>
  <c r="F208" i="12"/>
  <c r="E209" i="12"/>
  <c r="F209" i="12"/>
  <c r="E210" i="12"/>
  <c r="F210" i="12"/>
  <c r="E211" i="12"/>
  <c r="F211" i="12"/>
  <c r="E212" i="12"/>
  <c r="F212" i="12"/>
  <c r="E213" i="12"/>
  <c r="F213" i="12"/>
  <c r="E214" i="12"/>
  <c r="F214" i="12"/>
  <c r="E215" i="12"/>
  <c r="F215" i="12"/>
  <c r="E216" i="12"/>
  <c r="F216" i="12"/>
  <c r="E217" i="12"/>
  <c r="F217" i="12"/>
  <c r="E218" i="12"/>
  <c r="F218" i="12"/>
  <c r="E219" i="12"/>
  <c r="F219" i="12"/>
  <c r="E220" i="12"/>
  <c r="F220" i="12"/>
  <c r="E221" i="12"/>
  <c r="F221" i="12"/>
  <c r="E222" i="12"/>
  <c r="F222" i="12"/>
  <c r="E223" i="12"/>
  <c r="F223" i="12"/>
  <c r="E224" i="12"/>
  <c r="F224" i="12"/>
  <c r="E225" i="12"/>
  <c r="F225" i="12"/>
  <c r="E226" i="12"/>
  <c r="F226" i="12"/>
  <c r="E227" i="12"/>
  <c r="F227" i="12"/>
  <c r="E228" i="12"/>
  <c r="F228" i="12"/>
  <c r="E229" i="12"/>
  <c r="F229" i="12"/>
  <c r="E230" i="12"/>
  <c r="F230" i="12"/>
  <c r="E231" i="12"/>
  <c r="F231" i="12"/>
  <c r="E232" i="12"/>
  <c r="F232" i="12"/>
  <c r="E233" i="12"/>
  <c r="F233" i="12"/>
  <c r="E234" i="12"/>
  <c r="F234" i="12"/>
  <c r="E235" i="12"/>
  <c r="F235" i="12"/>
  <c r="E236" i="12"/>
  <c r="F236" i="12"/>
  <c r="E237" i="12"/>
  <c r="F237" i="12"/>
  <c r="E238" i="12"/>
  <c r="F238" i="12"/>
  <c r="E239" i="12"/>
  <c r="F239" i="12"/>
  <c r="E240" i="12"/>
  <c r="F240" i="12"/>
  <c r="E241" i="12"/>
  <c r="F241" i="12"/>
  <c r="E242" i="12"/>
  <c r="F242" i="12"/>
  <c r="E243" i="12"/>
  <c r="F243" i="12"/>
  <c r="E244" i="12"/>
  <c r="F244" i="12"/>
  <c r="E245" i="12"/>
  <c r="F245" i="12"/>
  <c r="E246" i="12"/>
  <c r="F246" i="12"/>
  <c r="E247" i="12"/>
  <c r="F247" i="12"/>
  <c r="E248" i="12"/>
  <c r="F248" i="12"/>
  <c r="E249" i="12"/>
  <c r="F249" i="12"/>
  <c r="E250" i="12"/>
  <c r="F250" i="12"/>
  <c r="E251" i="12"/>
  <c r="F251" i="12"/>
  <c r="E252" i="12"/>
  <c r="F252" i="12"/>
  <c r="E253" i="12"/>
  <c r="F253" i="12"/>
  <c r="E254" i="12"/>
  <c r="F254" i="12"/>
  <c r="E255" i="12"/>
  <c r="F255" i="12"/>
  <c r="E256" i="12"/>
  <c r="F256" i="12"/>
  <c r="E257" i="12"/>
  <c r="F257" i="12"/>
  <c r="E258" i="12"/>
  <c r="F258" i="12"/>
  <c r="E259" i="12"/>
  <c r="F259" i="12"/>
  <c r="E260" i="12"/>
  <c r="F260" i="12"/>
  <c r="E261" i="12"/>
  <c r="F261" i="12"/>
  <c r="E262" i="12"/>
  <c r="F262" i="12"/>
  <c r="E263" i="12"/>
  <c r="F263" i="12"/>
  <c r="E264" i="12"/>
  <c r="F264" i="12"/>
  <c r="E265" i="12"/>
  <c r="F265" i="12"/>
  <c r="E266" i="12"/>
  <c r="F266" i="12"/>
  <c r="E267" i="12"/>
  <c r="F267" i="12"/>
  <c r="E268" i="12"/>
  <c r="F268" i="12"/>
  <c r="E269" i="12"/>
  <c r="F269" i="12"/>
  <c r="E270" i="12"/>
  <c r="F270" i="12"/>
  <c r="E271" i="12"/>
  <c r="F271" i="12"/>
  <c r="E272" i="12"/>
  <c r="F272" i="12"/>
  <c r="E273" i="12"/>
  <c r="F273" i="12"/>
  <c r="E274" i="12"/>
  <c r="F274" i="12"/>
  <c r="E275" i="12"/>
  <c r="F275" i="12"/>
  <c r="E276" i="12"/>
  <c r="F276" i="12"/>
  <c r="E277" i="12"/>
  <c r="F277" i="12"/>
  <c r="E278" i="12"/>
  <c r="F278" i="12"/>
  <c r="E279" i="12"/>
  <c r="F279" i="12"/>
  <c r="E280" i="12"/>
  <c r="F280" i="12"/>
  <c r="E281" i="12"/>
  <c r="F281" i="12"/>
  <c r="E282" i="12"/>
  <c r="F282" i="12"/>
  <c r="E283" i="12"/>
  <c r="F283" i="12"/>
  <c r="E284" i="12"/>
  <c r="F284" i="12"/>
  <c r="E285" i="12"/>
  <c r="F285" i="12"/>
  <c r="E286" i="12"/>
  <c r="F286" i="12"/>
  <c r="E287" i="12"/>
  <c r="F287" i="12"/>
  <c r="E288" i="12"/>
  <c r="F288" i="12"/>
  <c r="E289" i="12"/>
  <c r="F289" i="12"/>
  <c r="E290" i="12"/>
  <c r="F290" i="12"/>
  <c r="E291" i="12"/>
  <c r="F291" i="12"/>
  <c r="E292" i="12"/>
  <c r="F292" i="12"/>
  <c r="E293" i="12"/>
  <c r="F293" i="12"/>
  <c r="E294" i="12"/>
  <c r="F294" i="12"/>
  <c r="E295" i="12"/>
  <c r="F295" i="12"/>
  <c r="E296" i="12"/>
  <c r="F296" i="12"/>
  <c r="E297" i="12"/>
  <c r="F297" i="12"/>
  <c r="E298" i="12"/>
  <c r="F298" i="12"/>
  <c r="E299" i="12"/>
  <c r="F299" i="12"/>
  <c r="E300" i="12"/>
  <c r="F300" i="12"/>
  <c r="E301" i="12"/>
  <c r="F301" i="12"/>
  <c r="E302" i="12"/>
  <c r="F302" i="12"/>
  <c r="E303" i="12"/>
  <c r="F303" i="12"/>
  <c r="E304" i="12"/>
  <c r="F304" i="12"/>
  <c r="E305" i="12"/>
  <c r="F305" i="12"/>
  <c r="E306" i="12"/>
  <c r="F306" i="12"/>
  <c r="E307" i="12"/>
  <c r="F307" i="12"/>
  <c r="E308" i="12"/>
  <c r="F308" i="12"/>
  <c r="E309" i="12"/>
  <c r="F309" i="12"/>
  <c r="E310" i="12"/>
  <c r="F310" i="12"/>
  <c r="E311" i="12"/>
  <c r="F311" i="12"/>
  <c r="E312" i="12"/>
  <c r="F312" i="12"/>
  <c r="E313" i="12"/>
  <c r="F313" i="12"/>
  <c r="E314" i="12"/>
  <c r="F314" i="12"/>
  <c r="E315" i="12"/>
  <c r="F315" i="12"/>
  <c r="E316" i="12"/>
  <c r="F316" i="12"/>
  <c r="E317" i="12"/>
  <c r="F317" i="12"/>
  <c r="E318" i="12"/>
  <c r="F318" i="12"/>
  <c r="E319" i="12"/>
  <c r="F319" i="12"/>
  <c r="E320" i="12"/>
  <c r="F320" i="12"/>
  <c r="E321" i="12"/>
  <c r="F321" i="12"/>
  <c r="E322" i="12"/>
  <c r="F322" i="12"/>
  <c r="E323" i="12"/>
  <c r="F323" i="12"/>
  <c r="E324" i="12"/>
  <c r="F324" i="12"/>
  <c r="E325" i="12"/>
  <c r="F325" i="12"/>
  <c r="E326" i="12"/>
  <c r="F326" i="12"/>
  <c r="E327" i="12"/>
  <c r="F327" i="12"/>
  <c r="E328" i="12"/>
  <c r="F328" i="12"/>
  <c r="E329" i="12"/>
  <c r="F329" i="12"/>
  <c r="E330" i="12"/>
  <c r="F330" i="12"/>
  <c r="E331" i="12"/>
  <c r="F331" i="12"/>
  <c r="E332" i="12"/>
  <c r="F332" i="12"/>
  <c r="E333" i="12"/>
  <c r="F333" i="12"/>
  <c r="E334" i="12"/>
  <c r="F334" i="12"/>
  <c r="E335" i="12"/>
  <c r="F335" i="12"/>
  <c r="E336" i="12"/>
  <c r="F336" i="12"/>
  <c r="E337" i="12"/>
  <c r="F337" i="12"/>
  <c r="E338" i="12"/>
  <c r="F338" i="12"/>
  <c r="E339" i="12"/>
  <c r="F339" i="12"/>
  <c r="E340" i="12"/>
  <c r="F340" i="12"/>
  <c r="E341" i="12"/>
  <c r="F341" i="12"/>
  <c r="E342" i="12"/>
  <c r="F342" i="12"/>
  <c r="E343" i="12"/>
  <c r="F343" i="12"/>
  <c r="E344" i="12"/>
  <c r="F344" i="12"/>
  <c r="E345" i="12"/>
  <c r="F345" i="12"/>
  <c r="E346" i="12"/>
  <c r="F346" i="12"/>
  <c r="E347" i="12"/>
  <c r="F347" i="12"/>
  <c r="E348" i="12"/>
  <c r="F348" i="12"/>
  <c r="E349" i="12"/>
  <c r="F349" i="12"/>
  <c r="E350" i="12"/>
  <c r="F350" i="12"/>
  <c r="E351" i="12"/>
  <c r="F351" i="12"/>
  <c r="E352" i="12"/>
  <c r="F352" i="12"/>
  <c r="E353" i="12"/>
  <c r="F353" i="12"/>
  <c r="E354" i="12"/>
  <c r="F354" i="12"/>
  <c r="E355" i="12"/>
  <c r="F355" i="12"/>
  <c r="E356" i="12"/>
  <c r="F356" i="12"/>
  <c r="E357" i="12"/>
  <c r="F357" i="12"/>
  <c r="E358" i="12"/>
  <c r="F358" i="12"/>
  <c r="E359" i="12"/>
  <c r="F359" i="12"/>
  <c r="E360" i="12"/>
  <c r="F360" i="12"/>
  <c r="E361" i="12"/>
  <c r="F361" i="12"/>
  <c r="E362" i="12"/>
  <c r="F362" i="12"/>
  <c r="E363" i="12"/>
  <c r="F363" i="12"/>
  <c r="E364" i="12"/>
  <c r="F364" i="12"/>
  <c r="E365" i="12"/>
  <c r="F365" i="12"/>
  <c r="E366" i="12"/>
  <c r="F366" i="12"/>
  <c r="E367" i="12"/>
  <c r="F367" i="12"/>
  <c r="E368" i="12"/>
  <c r="F368" i="12"/>
  <c r="E369" i="12"/>
  <c r="F369" i="12"/>
  <c r="E370" i="12"/>
  <c r="F370" i="12"/>
  <c r="E371" i="12"/>
  <c r="F371" i="12"/>
  <c r="E372" i="12"/>
  <c r="F372" i="12"/>
  <c r="E373" i="12"/>
  <c r="F373" i="12"/>
  <c r="E374" i="12"/>
  <c r="F374" i="12"/>
  <c r="E375" i="12"/>
  <c r="F375" i="12"/>
  <c r="E376" i="12"/>
  <c r="F376" i="12"/>
  <c r="E377" i="12"/>
  <c r="F377" i="12"/>
  <c r="E378" i="12"/>
  <c r="F378" i="12"/>
  <c r="E379" i="12"/>
  <c r="F379" i="12"/>
  <c r="E380" i="12"/>
  <c r="F380" i="12"/>
  <c r="E381" i="12"/>
  <c r="F381" i="12"/>
  <c r="E382" i="12"/>
  <c r="F382" i="12"/>
  <c r="E383" i="12"/>
  <c r="F383" i="12"/>
  <c r="E384" i="12"/>
  <c r="F384" i="12"/>
  <c r="E385" i="12"/>
  <c r="F385" i="12"/>
  <c r="E386" i="12"/>
  <c r="F386" i="12"/>
  <c r="E387" i="12"/>
  <c r="F387" i="12"/>
  <c r="E388" i="12"/>
  <c r="F388" i="12"/>
  <c r="E389" i="12"/>
  <c r="F389" i="12"/>
  <c r="E390" i="12"/>
  <c r="F390" i="12"/>
  <c r="E391" i="12"/>
  <c r="F391" i="12"/>
  <c r="E392" i="12"/>
  <c r="F392" i="12"/>
  <c r="E393" i="12"/>
  <c r="F393" i="12"/>
  <c r="E394" i="12"/>
  <c r="F394" i="12"/>
  <c r="E395" i="12"/>
  <c r="F395" i="12"/>
  <c r="E396" i="12"/>
  <c r="F396" i="12"/>
  <c r="E397" i="12"/>
  <c r="F397" i="12"/>
  <c r="E398" i="12"/>
  <c r="F398" i="12"/>
  <c r="E399" i="12"/>
  <c r="F399" i="12"/>
  <c r="E400" i="12"/>
  <c r="F400" i="12"/>
  <c r="E401" i="12"/>
  <c r="F401" i="12"/>
  <c r="E402" i="12"/>
  <c r="F402" i="12"/>
  <c r="E403" i="12"/>
  <c r="F403" i="12"/>
  <c r="E404" i="12"/>
  <c r="F404" i="12"/>
  <c r="E405" i="12"/>
  <c r="F405" i="12"/>
  <c r="E406" i="12"/>
  <c r="F406" i="12"/>
  <c r="E407" i="12"/>
  <c r="F407" i="12"/>
  <c r="E408" i="12"/>
  <c r="F408" i="12"/>
  <c r="E409" i="12"/>
  <c r="F409" i="12"/>
  <c r="E410" i="12"/>
  <c r="F410" i="12"/>
  <c r="E411" i="12"/>
  <c r="F411" i="12"/>
  <c r="E412" i="12"/>
  <c r="F412" i="12"/>
  <c r="E413" i="12"/>
  <c r="F413" i="12"/>
  <c r="E414" i="12"/>
  <c r="F414" i="12"/>
  <c r="E415" i="12"/>
  <c r="F415" i="12"/>
  <c r="E416" i="12"/>
  <c r="F416" i="12"/>
  <c r="E417" i="12"/>
  <c r="F417" i="12"/>
  <c r="E418" i="12"/>
  <c r="F418" i="12"/>
  <c r="E419" i="12"/>
  <c r="F419" i="12"/>
  <c r="E420" i="12"/>
  <c r="F420" i="12"/>
  <c r="E421" i="12"/>
  <c r="F421" i="12"/>
  <c r="E422" i="12"/>
  <c r="F422" i="12"/>
  <c r="E423" i="12"/>
  <c r="F423" i="12"/>
  <c r="E424" i="12"/>
  <c r="F424" i="12"/>
  <c r="E425" i="12"/>
  <c r="F425" i="12"/>
  <c r="E426" i="12"/>
  <c r="F426" i="12"/>
  <c r="E427" i="12"/>
  <c r="F427" i="12"/>
  <c r="E428" i="12"/>
  <c r="F428" i="12"/>
  <c r="E429" i="12"/>
  <c r="F429" i="12"/>
  <c r="E430" i="12"/>
  <c r="F430" i="12"/>
  <c r="E431" i="12"/>
  <c r="F431" i="12"/>
  <c r="E432" i="12"/>
  <c r="F432" i="12"/>
  <c r="E433" i="12"/>
  <c r="F433" i="12"/>
  <c r="E434" i="12"/>
  <c r="F434" i="12"/>
  <c r="E435" i="12"/>
  <c r="F435" i="12"/>
  <c r="E436" i="12"/>
  <c r="F436" i="12"/>
  <c r="E437" i="12"/>
  <c r="F437" i="12"/>
  <c r="E438" i="12"/>
  <c r="F438" i="12"/>
  <c r="E439" i="12"/>
  <c r="F439" i="12"/>
  <c r="E440" i="12"/>
  <c r="F440" i="12"/>
  <c r="E441" i="12"/>
  <c r="F441" i="12"/>
  <c r="E442" i="12"/>
  <c r="F442" i="12"/>
  <c r="E443" i="12"/>
  <c r="F443" i="12"/>
  <c r="E444" i="12"/>
  <c r="F444" i="12"/>
  <c r="E445" i="12"/>
  <c r="F445" i="12"/>
  <c r="E446" i="12"/>
  <c r="F446" i="12"/>
  <c r="E447" i="12"/>
  <c r="F447" i="12"/>
  <c r="E448" i="12"/>
  <c r="F448" i="12"/>
  <c r="E449" i="12"/>
  <c r="F449" i="12"/>
  <c r="E450" i="12"/>
  <c r="F450" i="12"/>
  <c r="E451" i="12"/>
  <c r="F451" i="12"/>
  <c r="E452" i="12"/>
  <c r="F452" i="12"/>
  <c r="E453" i="12"/>
  <c r="F453" i="12"/>
  <c r="E454" i="12"/>
  <c r="F454" i="12"/>
  <c r="E455" i="12"/>
  <c r="F455" i="12"/>
  <c r="E456" i="12"/>
  <c r="F456" i="12"/>
  <c r="E457" i="12"/>
  <c r="F457" i="12"/>
  <c r="E458" i="12"/>
  <c r="F458" i="12"/>
  <c r="E459" i="12"/>
  <c r="F459" i="12"/>
  <c r="E460" i="12"/>
  <c r="F460" i="12"/>
  <c r="E461" i="12"/>
  <c r="F461" i="12"/>
  <c r="E462" i="12"/>
  <c r="F462" i="12"/>
  <c r="E463" i="12"/>
  <c r="F463" i="12"/>
  <c r="E464" i="12"/>
  <c r="F464" i="12"/>
  <c r="E465" i="12"/>
  <c r="F465" i="12"/>
  <c r="E466" i="12"/>
  <c r="F466" i="12"/>
  <c r="E467" i="12"/>
  <c r="F467" i="12"/>
  <c r="E468" i="12"/>
  <c r="F468" i="12"/>
  <c r="E469" i="12"/>
  <c r="F469" i="12"/>
  <c r="E470" i="12"/>
  <c r="F470" i="12"/>
  <c r="E471" i="12"/>
  <c r="F471" i="12"/>
  <c r="E472" i="12"/>
  <c r="F472" i="12"/>
  <c r="E473" i="12"/>
  <c r="F473" i="12"/>
  <c r="E474" i="12"/>
  <c r="F474" i="12"/>
  <c r="E475" i="12"/>
  <c r="F475" i="12"/>
  <c r="E476" i="12"/>
  <c r="F476" i="12"/>
  <c r="E477" i="12"/>
  <c r="F477" i="12"/>
  <c r="E478" i="12"/>
  <c r="F478" i="12"/>
  <c r="E479" i="12"/>
  <c r="F479" i="12"/>
  <c r="E480" i="12"/>
  <c r="F480" i="12"/>
  <c r="E481" i="12"/>
  <c r="F481" i="12"/>
  <c r="E482" i="12"/>
  <c r="F482" i="12"/>
  <c r="E483" i="12"/>
  <c r="F483" i="12"/>
  <c r="E484" i="12"/>
  <c r="F484" i="12"/>
  <c r="E485" i="12"/>
  <c r="F485" i="12"/>
  <c r="E486" i="12"/>
  <c r="F486" i="12"/>
  <c r="E487" i="12"/>
  <c r="F487" i="12"/>
  <c r="E488" i="12"/>
  <c r="F488" i="12"/>
  <c r="E489" i="12"/>
  <c r="F489" i="12"/>
  <c r="E490" i="12"/>
  <c r="F490" i="12"/>
  <c r="E491" i="12"/>
  <c r="F491" i="12"/>
  <c r="E492" i="12"/>
  <c r="F492" i="12"/>
  <c r="E493" i="12"/>
  <c r="F493" i="12"/>
  <c r="E494" i="12"/>
  <c r="F494" i="12"/>
  <c r="E495" i="12"/>
  <c r="F495" i="12"/>
  <c r="E496" i="12"/>
  <c r="F496" i="12"/>
  <c r="E497" i="12"/>
  <c r="F497" i="12"/>
  <c r="E498" i="12"/>
  <c r="F498" i="12"/>
  <c r="E499" i="12"/>
  <c r="F499" i="12"/>
  <c r="E500" i="12"/>
  <c r="F500" i="12"/>
  <c r="E501" i="12"/>
  <c r="F501" i="12"/>
  <c r="E502" i="12"/>
  <c r="F502" i="12"/>
  <c r="E503" i="12"/>
  <c r="F503" i="12"/>
  <c r="E504" i="12"/>
  <c r="F504" i="12"/>
  <c r="E505" i="12"/>
  <c r="F505" i="12"/>
  <c r="E506" i="12"/>
  <c r="F506" i="12"/>
  <c r="E507" i="12"/>
  <c r="F507" i="12"/>
  <c r="E508" i="12"/>
  <c r="F508" i="12"/>
  <c r="E509" i="12"/>
  <c r="F509" i="12"/>
  <c r="E510" i="12"/>
  <c r="F510" i="12"/>
  <c r="E511" i="12"/>
  <c r="F511" i="12"/>
  <c r="E512" i="12"/>
  <c r="F512" i="12"/>
  <c r="E513" i="12"/>
  <c r="F513" i="12"/>
  <c r="E514" i="12"/>
  <c r="F514" i="12"/>
  <c r="E515" i="12"/>
  <c r="F515" i="12"/>
  <c r="E516" i="12"/>
  <c r="F516" i="12"/>
  <c r="E517" i="12"/>
  <c r="F517" i="12"/>
  <c r="E518" i="12"/>
  <c r="F518" i="12"/>
  <c r="E519" i="12"/>
  <c r="F519" i="12"/>
  <c r="E520" i="12"/>
  <c r="F520" i="12"/>
  <c r="E521" i="12"/>
  <c r="F521" i="12"/>
  <c r="E522" i="12"/>
  <c r="F522" i="12"/>
  <c r="E523" i="12"/>
  <c r="F523" i="12"/>
  <c r="E524" i="12"/>
  <c r="F524" i="12"/>
  <c r="E525" i="12"/>
  <c r="F525" i="12"/>
  <c r="E526" i="12"/>
  <c r="F526" i="12"/>
  <c r="E527" i="12"/>
  <c r="F527" i="12"/>
  <c r="E528" i="12"/>
  <c r="F528" i="12"/>
  <c r="E529" i="12"/>
  <c r="F529" i="12"/>
  <c r="E530" i="12"/>
  <c r="F530" i="12"/>
  <c r="E531" i="12"/>
  <c r="F531" i="12"/>
  <c r="E532" i="12"/>
  <c r="F532" i="12"/>
  <c r="E533" i="12"/>
  <c r="F533" i="12"/>
  <c r="E534" i="12"/>
  <c r="F534" i="12"/>
  <c r="E535" i="12"/>
  <c r="F535" i="12"/>
  <c r="E536" i="12"/>
  <c r="F536" i="12"/>
  <c r="E537" i="12"/>
  <c r="F537" i="12"/>
  <c r="E538" i="12"/>
  <c r="F538" i="12"/>
  <c r="E539" i="12"/>
  <c r="F539" i="12"/>
  <c r="E540" i="12"/>
  <c r="F540" i="12"/>
  <c r="E541" i="12"/>
  <c r="F541" i="12"/>
  <c r="E542" i="12"/>
  <c r="F542" i="12"/>
  <c r="E543" i="12"/>
  <c r="F543" i="12"/>
  <c r="E544" i="12"/>
  <c r="F544" i="12"/>
  <c r="E545" i="12"/>
  <c r="F545" i="12"/>
  <c r="E546" i="12"/>
  <c r="F546" i="12"/>
  <c r="E547" i="12"/>
  <c r="F547" i="12"/>
  <c r="E548" i="12"/>
  <c r="F548" i="12"/>
  <c r="E549" i="12"/>
  <c r="F549" i="12"/>
  <c r="E550" i="12"/>
  <c r="F550" i="12"/>
  <c r="E551" i="12"/>
  <c r="F551" i="12"/>
  <c r="E552" i="12"/>
  <c r="F552" i="12"/>
  <c r="E553" i="12"/>
  <c r="F553" i="12"/>
  <c r="E554" i="12"/>
  <c r="F554" i="12"/>
  <c r="E555" i="12"/>
  <c r="F555" i="12"/>
  <c r="E556" i="12"/>
  <c r="F556" i="12"/>
  <c r="E557" i="12"/>
  <c r="F557" i="12"/>
  <c r="E558" i="12"/>
  <c r="F558" i="12"/>
  <c r="E559" i="12"/>
  <c r="F559" i="12"/>
  <c r="E560" i="12"/>
  <c r="F560" i="12"/>
  <c r="E561" i="12"/>
  <c r="F561" i="12"/>
  <c r="E562" i="12"/>
  <c r="F562" i="12"/>
  <c r="E563" i="12"/>
  <c r="F563" i="12"/>
  <c r="E564" i="12"/>
  <c r="F564" i="12"/>
  <c r="E565" i="12"/>
  <c r="F565" i="12"/>
  <c r="E566" i="12"/>
  <c r="F566" i="12"/>
  <c r="E567" i="12"/>
  <c r="F567" i="12"/>
  <c r="E568" i="12"/>
  <c r="F568" i="12"/>
  <c r="E569" i="12"/>
  <c r="F569" i="12"/>
  <c r="E570" i="12"/>
  <c r="F570" i="12"/>
  <c r="E571" i="12"/>
  <c r="F571" i="12"/>
  <c r="E572" i="12"/>
  <c r="F572" i="12"/>
  <c r="E573" i="12"/>
  <c r="F573" i="12"/>
  <c r="E574" i="12"/>
  <c r="F574" i="12"/>
  <c r="E575" i="12"/>
  <c r="F575" i="12"/>
  <c r="E576" i="12"/>
  <c r="F576" i="12"/>
  <c r="E577" i="12"/>
  <c r="F577" i="12"/>
  <c r="E578" i="12"/>
  <c r="F578" i="12"/>
  <c r="E579" i="12"/>
  <c r="F579" i="12"/>
  <c r="E580" i="12"/>
  <c r="F580" i="12"/>
  <c r="E581" i="12"/>
  <c r="F581" i="12"/>
  <c r="E582" i="12"/>
  <c r="F582" i="12"/>
  <c r="E583" i="12"/>
  <c r="F583" i="12"/>
  <c r="E584" i="12"/>
  <c r="F584" i="12"/>
  <c r="E585" i="12"/>
  <c r="F585" i="12"/>
  <c r="E586" i="12"/>
  <c r="F586" i="12"/>
  <c r="E587" i="12"/>
  <c r="F587" i="12"/>
  <c r="E588" i="12"/>
  <c r="F588" i="12"/>
  <c r="E589" i="12"/>
  <c r="F589" i="12"/>
  <c r="E590" i="12"/>
  <c r="F590" i="12"/>
  <c r="E591" i="12"/>
  <c r="F591" i="12"/>
  <c r="E592" i="12"/>
  <c r="F592" i="12"/>
  <c r="E593" i="12"/>
  <c r="F593" i="12"/>
  <c r="E594" i="12"/>
  <c r="F594" i="12"/>
  <c r="E595" i="12"/>
  <c r="F595" i="12"/>
  <c r="E596" i="12"/>
  <c r="F596" i="12"/>
  <c r="E597" i="12"/>
  <c r="F597" i="12"/>
  <c r="E598" i="12"/>
  <c r="F598" i="12"/>
  <c r="E599" i="12"/>
  <c r="F599" i="12"/>
  <c r="E600" i="12"/>
  <c r="F600" i="12"/>
  <c r="E601" i="12"/>
  <c r="F601" i="12"/>
  <c r="E602" i="12"/>
  <c r="F602" i="12"/>
  <c r="E603" i="12"/>
  <c r="F603" i="12"/>
  <c r="E604" i="12"/>
  <c r="F604" i="12"/>
  <c r="E605" i="12"/>
  <c r="F605" i="12"/>
  <c r="E606" i="12"/>
  <c r="F606" i="12"/>
  <c r="E607" i="12"/>
  <c r="F607" i="12"/>
  <c r="E608" i="12"/>
  <c r="F608" i="12"/>
  <c r="E609" i="12"/>
  <c r="F609" i="12"/>
  <c r="E610" i="12"/>
  <c r="F610" i="12"/>
  <c r="E611" i="12"/>
  <c r="F611" i="12"/>
  <c r="E612" i="12"/>
  <c r="F612" i="12"/>
  <c r="E613" i="12"/>
  <c r="F613" i="12"/>
  <c r="E614" i="12"/>
  <c r="F614" i="12"/>
  <c r="E615" i="12"/>
  <c r="F615" i="12"/>
  <c r="E616" i="12"/>
  <c r="F616" i="12"/>
  <c r="E617" i="12"/>
  <c r="F617" i="12"/>
  <c r="E618" i="12"/>
  <c r="F618" i="12"/>
  <c r="E619" i="12"/>
  <c r="F619" i="12"/>
  <c r="E620" i="12"/>
  <c r="F620" i="12"/>
  <c r="E621" i="12"/>
  <c r="F621" i="12"/>
  <c r="E622" i="12"/>
  <c r="F622" i="12"/>
  <c r="E623" i="12"/>
  <c r="F623" i="12"/>
  <c r="E624" i="12"/>
  <c r="F624" i="12"/>
  <c r="E625" i="12"/>
  <c r="F625" i="12"/>
  <c r="E626" i="12"/>
  <c r="F626" i="12"/>
  <c r="E627" i="12"/>
  <c r="F627" i="12"/>
  <c r="E628" i="12"/>
  <c r="F628" i="12"/>
  <c r="E629" i="12"/>
  <c r="F629" i="12"/>
  <c r="E630" i="12"/>
  <c r="F630" i="12"/>
  <c r="E631" i="12"/>
  <c r="F631" i="12"/>
  <c r="E632" i="12"/>
  <c r="F632" i="12"/>
  <c r="E633" i="12"/>
  <c r="F633" i="12"/>
  <c r="E634" i="12"/>
  <c r="F634" i="12"/>
  <c r="E635" i="12"/>
  <c r="F635" i="12"/>
  <c r="E636" i="12"/>
  <c r="F636" i="12"/>
  <c r="E637" i="12"/>
  <c r="F637" i="12"/>
  <c r="E638" i="12"/>
  <c r="F638" i="12"/>
  <c r="E639" i="12"/>
  <c r="F639" i="12"/>
  <c r="E640" i="12"/>
  <c r="F640" i="12"/>
  <c r="E641" i="12"/>
  <c r="F641" i="12"/>
  <c r="E642" i="12"/>
  <c r="F642" i="12"/>
  <c r="E643" i="12"/>
  <c r="F643" i="12"/>
  <c r="E644" i="12"/>
  <c r="F644" i="12"/>
  <c r="E645" i="12"/>
  <c r="F645" i="12"/>
  <c r="E646" i="12"/>
  <c r="F646" i="12"/>
  <c r="E647" i="12"/>
  <c r="F647" i="12"/>
  <c r="E648" i="12"/>
  <c r="F648" i="12"/>
  <c r="E649" i="12"/>
  <c r="F649" i="12"/>
  <c r="E650" i="12"/>
  <c r="F650" i="12"/>
  <c r="E651" i="12"/>
  <c r="F651" i="12"/>
  <c r="E652" i="12"/>
  <c r="F652" i="12"/>
  <c r="E653" i="12"/>
  <c r="F653" i="12"/>
  <c r="E654" i="12"/>
  <c r="F654" i="12"/>
  <c r="E655" i="12"/>
  <c r="F655" i="12"/>
  <c r="E656" i="12"/>
  <c r="F656" i="12"/>
  <c r="E657" i="12"/>
  <c r="F657" i="12"/>
  <c r="E658" i="12"/>
  <c r="F658" i="12"/>
  <c r="E659" i="12"/>
  <c r="F659" i="12"/>
  <c r="E660" i="12"/>
  <c r="F660" i="12"/>
  <c r="E661" i="12"/>
  <c r="F661" i="12"/>
  <c r="E662" i="12"/>
  <c r="F662" i="12"/>
  <c r="E663" i="12"/>
  <c r="F663" i="12"/>
  <c r="E664" i="12"/>
  <c r="F664" i="12"/>
  <c r="E665" i="12"/>
  <c r="F665" i="12"/>
  <c r="E666" i="12"/>
  <c r="F666" i="12"/>
  <c r="E667" i="12"/>
  <c r="F667" i="12"/>
  <c r="E668" i="12"/>
  <c r="F668" i="12"/>
  <c r="E669" i="12"/>
  <c r="F669" i="12"/>
  <c r="E670" i="12"/>
  <c r="F670" i="12"/>
  <c r="E671" i="12"/>
  <c r="F671" i="12"/>
  <c r="E672" i="12"/>
  <c r="F672" i="12"/>
  <c r="E673" i="12"/>
  <c r="F673" i="12"/>
  <c r="E674" i="12"/>
  <c r="F674" i="12"/>
  <c r="E675" i="12"/>
  <c r="F675" i="12"/>
  <c r="E676" i="12"/>
  <c r="F676" i="12"/>
  <c r="E677" i="12"/>
  <c r="F677" i="12"/>
  <c r="E678" i="12"/>
  <c r="F678" i="12"/>
  <c r="E679" i="12"/>
  <c r="F679" i="12"/>
  <c r="E680" i="12"/>
  <c r="F680" i="12"/>
  <c r="E681" i="12"/>
  <c r="F681" i="12"/>
  <c r="E682" i="12"/>
  <c r="F682" i="12"/>
  <c r="E683" i="12"/>
  <c r="F683" i="12"/>
  <c r="E684" i="12"/>
  <c r="F684" i="12"/>
  <c r="E685" i="12"/>
  <c r="F685" i="12"/>
  <c r="E686" i="12"/>
  <c r="F686" i="12"/>
  <c r="E687" i="12"/>
  <c r="F687" i="12"/>
  <c r="E688" i="12"/>
  <c r="F688" i="12"/>
  <c r="E689" i="12"/>
  <c r="F689" i="12"/>
  <c r="E690" i="12"/>
  <c r="F690" i="12"/>
  <c r="E691" i="12"/>
  <c r="F691" i="12"/>
  <c r="E692" i="12"/>
  <c r="F692" i="12"/>
  <c r="E693" i="12"/>
  <c r="F693" i="12"/>
  <c r="E694" i="12"/>
  <c r="F694" i="12"/>
  <c r="E695" i="12"/>
  <c r="F695" i="12"/>
  <c r="E696" i="12"/>
  <c r="F696" i="12"/>
  <c r="E697" i="12"/>
  <c r="F697" i="12"/>
  <c r="E698" i="12"/>
  <c r="F698" i="12"/>
  <c r="E699" i="12"/>
  <c r="F699" i="12"/>
  <c r="E700" i="12"/>
  <c r="F700" i="12"/>
  <c r="E701" i="12"/>
  <c r="F701" i="12"/>
  <c r="E702" i="12"/>
  <c r="F702" i="12"/>
  <c r="E703" i="12"/>
  <c r="F703" i="12"/>
  <c r="E704" i="12"/>
  <c r="F704" i="12"/>
  <c r="E705" i="12"/>
  <c r="F705" i="12"/>
  <c r="E706" i="12"/>
  <c r="F706" i="12"/>
  <c r="E707" i="12"/>
  <c r="F707" i="12"/>
  <c r="E708" i="12"/>
  <c r="F708" i="12"/>
  <c r="E709" i="12"/>
  <c r="F709" i="12"/>
  <c r="E710" i="12"/>
  <c r="F710" i="12"/>
  <c r="E711" i="12"/>
  <c r="F711" i="12"/>
  <c r="E712" i="12"/>
  <c r="F712" i="12"/>
  <c r="E713" i="12"/>
  <c r="F713" i="12"/>
  <c r="E714" i="12"/>
  <c r="F714" i="12"/>
  <c r="E715" i="12"/>
  <c r="F715" i="12"/>
  <c r="E716" i="12"/>
  <c r="F716" i="12"/>
  <c r="E717" i="12"/>
  <c r="F717" i="12"/>
  <c r="E718" i="12"/>
  <c r="F718" i="12"/>
  <c r="E719" i="12"/>
  <c r="F719" i="12"/>
  <c r="E720" i="12"/>
  <c r="F720" i="12"/>
  <c r="E721" i="12"/>
  <c r="F721" i="12"/>
  <c r="E722" i="12"/>
  <c r="F722" i="12"/>
  <c r="E723" i="12"/>
  <c r="F723" i="12"/>
  <c r="E724" i="12"/>
  <c r="F724" i="12"/>
  <c r="E725" i="12"/>
  <c r="F725" i="12"/>
  <c r="E726" i="12"/>
  <c r="F726" i="12"/>
  <c r="E727" i="12"/>
  <c r="F727" i="12"/>
  <c r="E728" i="12"/>
  <c r="F728" i="12"/>
  <c r="E729" i="12"/>
  <c r="F729" i="12"/>
  <c r="E730" i="12"/>
  <c r="F730" i="12"/>
  <c r="E731" i="12"/>
  <c r="F731" i="12"/>
  <c r="E732" i="12"/>
  <c r="F732" i="12"/>
  <c r="E733" i="12"/>
  <c r="F733" i="12"/>
  <c r="E734" i="12"/>
  <c r="F734" i="12"/>
  <c r="E735" i="12"/>
  <c r="F735" i="12"/>
  <c r="E736" i="12"/>
  <c r="F736" i="12"/>
  <c r="E737" i="12"/>
  <c r="F737" i="12"/>
  <c r="E738" i="12"/>
  <c r="F738" i="12"/>
  <c r="E739" i="12"/>
  <c r="F739" i="12"/>
  <c r="E740" i="12"/>
  <c r="F740" i="12"/>
  <c r="E741" i="12"/>
  <c r="F741" i="12"/>
  <c r="E742" i="12"/>
  <c r="F742" i="12"/>
  <c r="E743" i="12"/>
  <c r="F743" i="12"/>
  <c r="E744" i="12"/>
  <c r="F744" i="12"/>
  <c r="E745" i="12"/>
  <c r="F745" i="12"/>
  <c r="E746" i="12"/>
  <c r="F746" i="12"/>
  <c r="E747" i="12"/>
  <c r="F747" i="12"/>
  <c r="E748" i="12"/>
  <c r="F748" i="12"/>
  <c r="E749" i="12"/>
  <c r="F749" i="12"/>
  <c r="E750" i="12"/>
  <c r="F750" i="12"/>
  <c r="E751" i="12"/>
  <c r="F751" i="12"/>
  <c r="E752" i="12"/>
  <c r="F752" i="12"/>
  <c r="E753" i="12"/>
  <c r="F753" i="12"/>
  <c r="E754" i="12"/>
  <c r="F754" i="12"/>
  <c r="E755" i="12"/>
  <c r="F755" i="12"/>
  <c r="E756" i="12"/>
  <c r="F756" i="12"/>
  <c r="E757" i="12"/>
  <c r="F757" i="12"/>
  <c r="E758" i="12"/>
  <c r="F758" i="12"/>
  <c r="E759" i="12"/>
  <c r="F759" i="12"/>
  <c r="E760" i="12"/>
  <c r="F760" i="12"/>
  <c r="E761" i="12"/>
  <c r="F761" i="12"/>
  <c r="E762" i="12"/>
  <c r="F762" i="12"/>
  <c r="E763" i="12"/>
  <c r="F763" i="12"/>
  <c r="E764" i="12"/>
  <c r="F764" i="12"/>
  <c r="E765" i="12"/>
  <c r="F765" i="12"/>
  <c r="E766" i="12"/>
  <c r="F766" i="12"/>
  <c r="E767" i="12"/>
  <c r="F767" i="12"/>
  <c r="E768" i="12"/>
  <c r="F768" i="12"/>
  <c r="E769" i="12"/>
  <c r="F769" i="12"/>
  <c r="E770" i="12"/>
  <c r="F770" i="12"/>
  <c r="E771" i="12"/>
  <c r="F771" i="12"/>
  <c r="E772" i="12"/>
  <c r="F772" i="12"/>
  <c r="E773" i="12"/>
  <c r="F773" i="12"/>
  <c r="E774" i="12"/>
  <c r="F774" i="12"/>
  <c r="E775" i="12"/>
  <c r="F775" i="12"/>
  <c r="E776" i="12"/>
  <c r="F776" i="12"/>
  <c r="E777" i="12"/>
  <c r="F777" i="12"/>
  <c r="E778" i="12"/>
  <c r="F778" i="12"/>
  <c r="E779" i="12"/>
  <c r="F779" i="12"/>
  <c r="E780" i="12"/>
  <c r="F780" i="12"/>
  <c r="E781" i="12"/>
  <c r="F781" i="12"/>
  <c r="E782" i="12"/>
  <c r="F782" i="12"/>
  <c r="E783" i="12"/>
  <c r="F783" i="12"/>
  <c r="E784" i="12"/>
  <c r="F784" i="12"/>
  <c r="E785" i="12"/>
  <c r="F785" i="12"/>
  <c r="E786" i="12"/>
  <c r="F786" i="12"/>
  <c r="E787" i="12"/>
  <c r="F787" i="12"/>
  <c r="E788" i="12"/>
  <c r="F788" i="12"/>
  <c r="E789" i="12"/>
  <c r="F789" i="12"/>
  <c r="E790" i="12"/>
  <c r="F790" i="12"/>
  <c r="E791" i="12"/>
  <c r="F791" i="12"/>
  <c r="E792" i="12"/>
  <c r="F792" i="12"/>
  <c r="E793" i="12"/>
  <c r="F793" i="12"/>
  <c r="E794" i="12"/>
  <c r="F794" i="12"/>
  <c r="E795" i="12"/>
  <c r="F795" i="12"/>
  <c r="E796" i="12"/>
  <c r="F796" i="12"/>
  <c r="E797" i="12"/>
  <c r="F797" i="12"/>
  <c r="E798" i="12"/>
  <c r="F798" i="12"/>
  <c r="E799" i="12"/>
  <c r="F799" i="12"/>
  <c r="E800" i="12"/>
  <c r="F800" i="12"/>
  <c r="E801" i="12"/>
  <c r="F801" i="12"/>
  <c r="E802" i="12"/>
  <c r="F802" i="12"/>
  <c r="E803" i="12"/>
  <c r="F803" i="12"/>
  <c r="E804" i="12"/>
  <c r="F804" i="12"/>
  <c r="E805" i="12"/>
  <c r="F805" i="12"/>
  <c r="E806" i="12"/>
  <c r="F806" i="12"/>
  <c r="E807" i="12"/>
  <c r="F807" i="12"/>
  <c r="E808" i="12"/>
  <c r="F808" i="12"/>
  <c r="E809" i="12"/>
  <c r="F809" i="12"/>
  <c r="E810" i="12"/>
  <c r="F810" i="12"/>
  <c r="E811" i="12"/>
  <c r="F811" i="12"/>
  <c r="E812" i="12"/>
  <c r="F812" i="12"/>
  <c r="E813" i="12"/>
  <c r="F813" i="12"/>
  <c r="E814" i="12"/>
  <c r="F814" i="12"/>
  <c r="E815" i="12"/>
  <c r="F815" i="12"/>
  <c r="E816" i="12"/>
  <c r="F816" i="12"/>
  <c r="E817" i="12"/>
  <c r="F817" i="12"/>
  <c r="E818" i="12"/>
  <c r="F818" i="12"/>
  <c r="E819" i="12"/>
  <c r="F819" i="12"/>
  <c r="E820" i="12"/>
  <c r="F820" i="12"/>
  <c r="E821" i="12"/>
  <c r="F821" i="12"/>
  <c r="E822" i="12"/>
  <c r="F822" i="12"/>
  <c r="E823" i="12"/>
  <c r="F823" i="12"/>
  <c r="E824" i="12"/>
  <c r="F824" i="12"/>
  <c r="E825" i="12"/>
  <c r="F825" i="12"/>
  <c r="E826" i="12"/>
  <c r="F826" i="12"/>
  <c r="E827" i="12"/>
  <c r="F827" i="12"/>
  <c r="E828" i="12"/>
  <c r="F828" i="12"/>
  <c r="E829" i="12"/>
  <c r="F829" i="12"/>
  <c r="E830" i="12"/>
  <c r="F830" i="12"/>
  <c r="E831" i="12"/>
  <c r="F831" i="12"/>
  <c r="E832" i="12"/>
  <c r="F832" i="12"/>
  <c r="E833" i="12"/>
  <c r="F833" i="12"/>
  <c r="E834" i="12"/>
  <c r="F834" i="12"/>
  <c r="E835" i="12"/>
  <c r="F835" i="12"/>
  <c r="E836" i="12"/>
  <c r="F836" i="12"/>
  <c r="E837" i="12"/>
  <c r="F837" i="12"/>
  <c r="E838" i="12"/>
  <c r="F838" i="12"/>
  <c r="E839" i="12"/>
  <c r="F839" i="12"/>
  <c r="E840" i="12"/>
  <c r="F840" i="12"/>
  <c r="E841" i="12"/>
  <c r="F841" i="12"/>
  <c r="E842" i="12"/>
  <c r="F842" i="12"/>
  <c r="E843" i="12"/>
  <c r="F843" i="12"/>
  <c r="E844" i="12"/>
  <c r="F844" i="12"/>
  <c r="E845" i="12"/>
  <c r="F845" i="12"/>
  <c r="E846" i="12"/>
  <c r="F846" i="12"/>
  <c r="E847" i="12"/>
  <c r="F847" i="12"/>
  <c r="E848" i="12"/>
  <c r="F848" i="12"/>
  <c r="E849" i="12"/>
  <c r="F849" i="12"/>
  <c r="E850" i="12"/>
  <c r="F850" i="12"/>
  <c r="E851" i="12"/>
  <c r="F851" i="12"/>
  <c r="E852" i="12"/>
  <c r="F852" i="12"/>
  <c r="E853" i="12"/>
  <c r="F853" i="12"/>
  <c r="E854" i="12"/>
  <c r="F854" i="12"/>
  <c r="E855" i="12"/>
  <c r="F855" i="12"/>
  <c r="E856" i="12"/>
  <c r="F856" i="12"/>
  <c r="E857" i="12"/>
  <c r="F857" i="12"/>
  <c r="E858" i="12"/>
  <c r="F858" i="12"/>
  <c r="E859" i="12"/>
  <c r="F859" i="12"/>
  <c r="E860" i="12"/>
  <c r="F860" i="12"/>
  <c r="E861" i="12"/>
  <c r="F861" i="12"/>
  <c r="E862" i="12"/>
  <c r="F862" i="12"/>
  <c r="E863" i="12"/>
  <c r="F863" i="12"/>
  <c r="E864" i="12"/>
  <c r="F864" i="12"/>
  <c r="E865" i="12"/>
  <c r="F865" i="12"/>
  <c r="E866" i="12"/>
  <c r="F866" i="12"/>
  <c r="E867" i="12"/>
  <c r="F867" i="12"/>
  <c r="E868" i="12"/>
  <c r="F868" i="12"/>
  <c r="E869" i="12"/>
  <c r="F869" i="12"/>
  <c r="E870" i="12"/>
  <c r="F870" i="12"/>
  <c r="E871" i="12"/>
  <c r="F871" i="12"/>
  <c r="E872" i="12"/>
  <c r="F872" i="12"/>
  <c r="E873" i="12"/>
  <c r="F873" i="12"/>
  <c r="E874" i="12"/>
  <c r="F874" i="12"/>
  <c r="E875" i="12"/>
  <c r="F875" i="12"/>
  <c r="E876" i="12"/>
  <c r="F876" i="12"/>
  <c r="E877" i="12"/>
  <c r="F877" i="12"/>
  <c r="E878" i="12"/>
  <c r="F878" i="12"/>
  <c r="E879" i="12"/>
  <c r="F879" i="12"/>
  <c r="E880" i="12"/>
  <c r="F880" i="12"/>
  <c r="E881" i="12"/>
  <c r="F881" i="12"/>
  <c r="E882" i="12"/>
  <c r="F882" i="12"/>
  <c r="E883" i="12"/>
  <c r="F883" i="12"/>
  <c r="E884" i="12"/>
  <c r="F884" i="12"/>
  <c r="E885" i="12"/>
  <c r="F885" i="12"/>
  <c r="E886" i="12"/>
  <c r="F886" i="12"/>
  <c r="E887" i="12"/>
  <c r="F887" i="12"/>
  <c r="E888" i="12"/>
  <c r="F888" i="12"/>
  <c r="E889" i="12"/>
  <c r="F889" i="12"/>
  <c r="E890" i="12"/>
  <c r="F890" i="12"/>
  <c r="E891" i="12"/>
  <c r="F891" i="12"/>
  <c r="E892" i="12"/>
  <c r="F892" i="12"/>
  <c r="E893" i="12"/>
  <c r="F893" i="12"/>
  <c r="E894" i="12"/>
  <c r="F894" i="12"/>
  <c r="E895" i="12"/>
  <c r="F895" i="12"/>
  <c r="E896" i="12"/>
  <c r="F896" i="12"/>
  <c r="E897" i="12"/>
  <c r="F897" i="12"/>
  <c r="E898" i="12"/>
  <c r="F898" i="12"/>
  <c r="E899" i="12"/>
  <c r="F899" i="12"/>
  <c r="E900" i="12"/>
  <c r="F900" i="12"/>
  <c r="E901" i="12"/>
  <c r="F901" i="12"/>
  <c r="E902" i="12"/>
  <c r="F902" i="12"/>
  <c r="E903" i="12"/>
  <c r="F903" i="12"/>
  <c r="E904" i="12"/>
  <c r="F904" i="12"/>
  <c r="E905" i="12"/>
  <c r="F905" i="12"/>
  <c r="E906" i="12"/>
  <c r="F906" i="12"/>
  <c r="E907" i="12"/>
  <c r="F907" i="12"/>
  <c r="E908" i="12"/>
  <c r="F908" i="12"/>
  <c r="E909" i="12"/>
  <c r="F909" i="12"/>
  <c r="E910" i="12"/>
  <c r="F910" i="12"/>
  <c r="E911" i="12"/>
  <c r="F911" i="12"/>
  <c r="E912" i="12"/>
  <c r="F912" i="12"/>
  <c r="E913" i="12"/>
  <c r="F913" i="12"/>
  <c r="E914" i="12"/>
  <c r="F914" i="12"/>
  <c r="E915" i="12"/>
  <c r="F915" i="12"/>
  <c r="E916" i="12"/>
  <c r="F916" i="12"/>
  <c r="E917" i="12"/>
  <c r="F917" i="12"/>
  <c r="E918" i="12"/>
  <c r="F918" i="12"/>
  <c r="E919" i="12"/>
  <c r="F919" i="12"/>
  <c r="E920" i="12"/>
  <c r="F920" i="12"/>
  <c r="E921" i="12"/>
  <c r="F921" i="12"/>
  <c r="E922" i="12"/>
  <c r="F922" i="12"/>
  <c r="E923" i="12"/>
  <c r="F923" i="12"/>
  <c r="E924" i="12"/>
  <c r="F924" i="12"/>
  <c r="E925" i="12"/>
  <c r="F925" i="12"/>
  <c r="E926" i="12"/>
  <c r="F926" i="12"/>
  <c r="E927" i="12"/>
  <c r="F927" i="12"/>
  <c r="E928" i="12"/>
  <c r="F928" i="12"/>
  <c r="E929" i="12"/>
  <c r="F929" i="12"/>
  <c r="E930" i="12"/>
  <c r="F930" i="12"/>
  <c r="E931" i="12"/>
  <c r="F931" i="12"/>
  <c r="E932" i="12"/>
  <c r="F932" i="12"/>
  <c r="E933" i="12"/>
  <c r="F933" i="12"/>
  <c r="E934" i="12"/>
  <c r="F934" i="12"/>
  <c r="E935" i="12"/>
  <c r="F935" i="12"/>
  <c r="E936" i="12"/>
  <c r="F936" i="12"/>
  <c r="E937" i="12"/>
  <c r="F937" i="12"/>
  <c r="E938" i="12"/>
  <c r="F938" i="12"/>
  <c r="E939" i="12"/>
  <c r="F939" i="12"/>
  <c r="E940" i="12"/>
  <c r="F940" i="12"/>
  <c r="E941" i="12"/>
  <c r="F941" i="12"/>
  <c r="E942" i="12"/>
  <c r="F942" i="12"/>
  <c r="E943" i="12"/>
  <c r="F943" i="12"/>
  <c r="E944" i="12"/>
  <c r="F944" i="12"/>
  <c r="E945" i="12"/>
  <c r="F945" i="12"/>
  <c r="E946" i="12"/>
  <c r="F946" i="12"/>
  <c r="E947" i="12"/>
  <c r="F947" i="12"/>
  <c r="E948" i="12"/>
  <c r="F948" i="12"/>
  <c r="E949" i="12"/>
  <c r="F949" i="12"/>
  <c r="E950" i="12"/>
  <c r="F950" i="12"/>
  <c r="E951" i="12"/>
  <c r="F951" i="12"/>
  <c r="E952" i="12"/>
  <c r="F952" i="12"/>
  <c r="E953" i="12"/>
  <c r="F953" i="12"/>
  <c r="E954" i="12"/>
  <c r="F954" i="12"/>
  <c r="E955" i="12"/>
  <c r="F955" i="12"/>
  <c r="E956" i="12"/>
  <c r="F956" i="12"/>
  <c r="E957" i="12"/>
  <c r="F957" i="12"/>
  <c r="E958" i="12"/>
  <c r="F958" i="12"/>
  <c r="E959" i="12"/>
  <c r="F959" i="12"/>
  <c r="E960" i="12"/>
  <c r="F960" i="12"/>
  <c r="E961" i="12"/>
  <c r="F961" i="12"/>
  <c r="E962" i="12"/>
  <c r="F962" i="12"/>
  <c r="E963" i="12"/>
  <c r="F963" i="12"/>
  <c r="E964" i="12"/>
  <c r="F964" i="12"/>
  <c r="E965" i="12"/>
  <c r="F965" i="12"/>
  <c r="E966" i="12"/>
  <c r="F966" i="12"/>
  <c r="E967" i="12"/>
  <c r="F967" i="12"/>
  <c r="E968" i="12"/>
  <c r="F968" i="12"/>
  <c r="E969" i="12"/>
  <c r="F969" i="12"/>
  <c r="E970" i="12"/>
  <c r="F970" i="12"/>
  <c r="E971" i="12"/>
  <c r="F971" i="12"/>
  <c r="E972" i="12"/>
  <c r="F972" i="12"/>
  <c r="E973" i="12"/>
  <c r="F973" i="12"/>
  <c r="E974" i="12"/>
  <c r="F974" i="12"/>
  <c r="E975" i="12"/>
  <c r="F975" i="12"/>
  <c r="E976" i="12"/>
  <c r="F976" i="12"/>
  <c r="E977" i="12"/>
  <c r="F977" i="12"/>
  <c r="E978" i="12"/>
  <c r="F978" i="12"/>
  <c r="E979" i="12"/>
  <c r="F979" i="12"/>
  <c r="E980" i="12"/>
  <c r="F980" i="12"/>
  <c r="E981" i="12"/>
  <c r="F981" i="12"/>
  <c r="E982" i="12"/>
  <c r="F982" i="12"/>
  <c r="E983" i="12"/>
  <c r="F983" i="12"/>
  <c r="E984" i="12"/>
  <c r="F984" i="12"/>
  <c r="E985" i="12"/>
  <c r="F985" i="12"/>
  <c r="E986" i="12"/>
  <c r="F986" i="12"/>
  <c r="E987" i="12"/>
  <c r="F987" i="12"/>
  <c r="E988" i="12"/>
  <c r="F988" i="12"/>
  <c r="E989" i="12"/>
  <c r="F989" i="12"/>
  <c r="E990" i="12"/>
  <c r="F990" i="12"/>
  <c r="E991" i="12"/>
  <c r="F991" i="12"/>
  <c r="E992" i="12"/>
  <c r="F992" i="12"/>
  <c r="E993" i="12"/>
  <c r="F993" i="12"/>
  <c r="E994" i="12"/>
  <c r="F994" i="12"/>
  <c r="E995" i="12"/>
  <c r="F995" i="12"/>
  <c r="E996" i="12"/>
  <c r="F996" i="12"/>
  <c r="E997" i="12"/>
  <c r="F997" i="12"/>
  <c r="E998" i="12"/>
  <c r="F998" i="12"/>
  <c r="E999" i="12"/>
  <c r="F999" i="12"/>
  <c r="E1000" i="12"/>
  <c r="F1000" i="12"/>
  <c r="E1001" i="12"/>
  <c r="F1001" i="12"/>
  <c r="E1002" i="12"/>
  <c r="F1002" i="12"/>
  <c r="E1003" i="12"/>
  <c r="F1003" i="12"/>
  <c r="E1004" i="12"/>
  <c r="F1004" i="12"/>
  <c r="E1005" i="12"/>
  <c r="F1005" i="12"/>
  <c r="E1006" i="12"/>
  <c r="F1006" i="12"/>
  <c r="E1007" i="12"/>
  <c r="F1007" i="12"/>
  <c r="E1008" i="12"/>
  <c r="F1008" i="12"/>
  <c r="E1009" i="12"/>
  <c r="F1009" i="12"/>
  <c r="E1010" i="12"/>
  <c r="F1010" i="12"/>
  <c r="E1011" i="12"/>
  <c r="F1011" i="12"/>
  <c r="E1012" i="12"/>
  <c r="F1012" i="12"/>
  <c r="E1013" i="12"/>
  <c r="F1013" i="12"/>
  <c r="E1014" i="12"/>
  <c r="F1014" i="12"/>
  <c r="E1015" i="12"/>
  <c r="F1015" i="12"/>
  <c r="E1016" i="12"/>
  <c r="F1016" i="12"/>
  <c r="E1017" i="12"/>
  <c r="F1017" i="12"/>
  <c r="E1018" i="12"/>
  <c r="F1018" i="12"/>
  <c r="E1019" i="12"/>
  <c r="F1019" i="12"/>
  <c r="E1020" i="12"/>
  <c r="F1020" i="12"/>
  <c r="E1021" i="12"/>
  <c r="F1021" i="12"/>
  <c r="E1022" i="12"/>
  <c r="F1022" i="12"/>
  <c r="E1023" i="12"/>
  <c r="F1023" i="12"/>
  <c r="E1024" i="12"/>
  <c r="F1024" i="12"/>
  <c r="E1025" i="12"/>
  <c r="F1025" i="12"/>
  <c r="E1026" i="12"/>
  <c r="F1026" i="12"/>
  <c r="E1027" i="12"/>
  <c r="F1027" i="12"/>
  <c r="E1028" i="12"/>
  <c r="F1028" i="12"/>
  <c r="E1029" i="12"/>
  <c r="F1029" i="12"/>
  <c r="E1030" i="12"/>
  <c r="F1030" i="12"/>
  <c r="E1031" i="12"/>
  <c r="F1031" i="12"/>
  <c r="E1032" i="12"/>
  <c r="F1032" i="12"/>
  <c r="E1033" i="12"/>
  <c r="F1033" i="12"/>
  <c r="E1034" i="12"/>
  <c r="F1034" i="12"/>
  <c r="E1035" i="12"/>
  <c r="F1035" i="12"/>
  <c r="E1036" i="12"/>
  <c r="F1036" i="12"/>
  <c r="E1037" i="12"/>
  <c r="F1037" i="12"/>
  <c r="E1038" i="12"/>
  <c r="F1038" i="12"/>
  <c r="E1039" i="12"/>
  <c r="F1039" i="12"/>
  <c r="E1040" i="12"/>
  <c r="F1040" i="12"/>
  <c r="E1041" i="12"/>
  <c r="F1041" i="12"/>
  <c r="E1042" i="12"/>
  <c r="F1042" i="12"/>
  <c r="E1043" i="12"/>
  <c r="F1043" i="12"/>
  <c r="E1044" i="12"/>
  <c r="F1044" i="12"/>
  <c r="E1045" i="12"/>
  <c r="F1045" i="12"/>
  <c r="E1046" i="12"/>
  <c r="F1046" i="12"/>
  <c r="E1047" i="12"/>
  <c r="F1047" i="12"/>
  <c r="E1048" i="12"/>
  <c r="F1048" i="12"/>
  <c r="E1049" i="12"/>
  <c r="F1049" i="12"/>
  <c r="E1050" i="12"/>
  <c r="F1050" i="12"/>
  <c r="E1051" i="12"/>
  <c r="F1051" i="12"/>
  <c r="E1052" i="12"/>
  <c r="F1052" i="12"/>
  <c r="E1053" i="12"/>
  <c r="F1053" i="12"/>
  <c r="E1054" i="12"/>
  <c r="F1054" i="12"/>
  <c r="E1055" i="12"/>
  <c r="F1055" i="12"/>
  <c r="E1056" i="12"/>
  <c r="F1056" i="12"/>
  <c r="E1057" i="12"/>
  <c r="F1057" i="12"/>
  <c r="E1058" i="12"/>
  <c r="F1058" i="12"/>
  <c r="E1059" i="12"/>
  <c r="F1059" i="12"/>
  <c r="E1060" i="12"/>
  <c r="F1060" i="12"/>
  <c r="E1061" i="12"/>
  <c r="F1061" i="12"/>
  <c r="E1062" i="12"/>
  <c r="F1062" i="12"/>
  <c r="E1063" i="12"/>
  <c r="F1063" i="12"/>
  <c r="E1064" i="12"/>
  <c r="F1064" i="12"/>
  <c r="E1065" i="12"/>
  <c r="F1065" i="12"/>
  <c r="E1066" i="12"/>
  <c r="F1066" i="12"/>
  <c r="E1067" i="12"/>
  <c r="F1067" i="12"/>
  <c r="E1068" i="12"/>
  <c r="F1068" i="12"/>
  <c r="E1069" i="12"/>
  <c r="F1069" i="12"/>
  <c r="E1070" i="12"/>
  <c r="F1070" i="12"/>
  <c r="E1071" i="12"/>
  <c r="F1071" i="12"/>
  <c r="E1072" i="12"/>
  <c r="F1072" i="12"/>
  <c r="E1073" i="12"/>
  <c r="F1073" i="12"/>
  <c r="E1074" i="12"/>
  <c r="F1074" i="12"/>
  <c r="E1075" i="12"/>
  <c r="F1075" i="12"/>
  <c r="E1076" i="12"/>
  <c r="F1076" i="12"/>
  <c r="E1077" i="12"/>
  <c r="F1077" i="12"/>
  <c r="E1078" i="12"/>
  <c r="F1078" i="12"/>
  <c r="E1079" i="12"/>
  <c r="F1079" i="12"/>
  <c r="E1080" i="12"/>
  <c r="F1080" i="12"/>
  <c r="E1081" i="12"/>
  <c r="F1081" i="12"/>
  <c r="E1082" i="12"/>
  <c r="F1082" i="12"/>
  <c r="E1083" i="12"/>
  <c r="F1083" i="12"/>
  <c r="E1084" i="12"/>
  <c r="F1084" i="12"/>
  <c r="E1085" i="12"/>
  <c r="F1085" i="12"/>
  <c r="E1086" i="12"/>
  <c r="F1086" i="12"/>
  <c r="E1087" i="12"/>
  <c r="F1087" i="12"/>
  <c r="E1088" i="12"/>
  <c r="F1088" i="12"/>
  <c r="E1089" i="12"/>
  <c r="F1089" i="12"/>
  <c r="E1090" i="12"/>
  <c r="F1090" i="12"/>
  <c r="E1091" i="12"/>
  <c r="F1091" i="12"/>
  <c r="E1092" i="12"/>
  <c r="F1092" i="12"/>
  <c r="E1093" i="12"/>
  <c r="F1093" i="12"/>
  <c r="E1094" i="12"/>
  <c r="F1094" i="12"/>
  <c r="E1095" i="12"/>
  <c r="F1095" i="12"/>
  <c r="E1096" i="12"/>
  <c r="F1096" i="12"/>
  <c r="E1097" i="12"/>
  <c r="F1097" i="12"/>
  <c r="E1098" i="12"/>
  <c r="F1098" i="12"/>
  <c r="E1099" i="12"/>
  <c r="F1099" i="12"/>
  <c r="E1100" i="12"/>
  <c r="F1100" i="12"/>
  <c r="E1101" i="12"/>
  <c r="F1101" i="12"/>
  <c r="E1102" i="12"/>
  <c r="F1102" i="12"/>
  <c r="E1103" i="12"/>
  <c r="F1103" i="12"/>
  <c r="E1104" i="12"/>
  <c r="F1104" i="12"/>
  <c r="E1105" i="12"/>
  <c r="F1105" i="12"/>
  <c r="E1106" i="12"/>
  <c r="F1106" i="12"/>
  <c r="E1107" i="12"/>
  <c r="F1107" i="12"/>
  <c r="E1108" i="12"/>
  <c r="F1108" i="12"/>
  <c r="E1109" i="12"/>
  <c r="F1109" i="12"/>
  <c r="E1110" i="12"/>
  <c r="F1110" i="12"/>
  <c r="E1111" i="12"/>
  <c r="F1111" i="12"/>
  <c r="E1112" i="12"/>
  <c r="F1112" i="12"/>
  <c r="E1113" i="12"/>
  <c r="F1113" i="12"/>
  <c r="E1114" i="12"/>
  <c r="F1114" i="12"/>
  <c r="E1115" i="12"/>
  <c r="F1115" i="12"/>
  <c r="E1116" i="12"/>
  <c r="F1116" i="12"/>
  <c r="E1117" i="12"/>
  <c r="F1117" i="12"/>
  <c r="E1118" i="12"/>
  <c r="F1118" i="12"/>
  <c r="E1119" i="12"/>
  <c r="F1119" i="12"/>
  <c r="E1120" i="12"/>
  <c r="F1120" i="12"/>
  <c r="E1121" i="12"/>
  <c r="F1121" i="12"/>
  <c r="E1122" i="12"/>
  <c r="F1122" i="12"/>
  <c r="E1123" i="12"/>
  <c r="F1123" i="12"/>
  <c r="E1124" i="12"/>
  <c r="F1124" i="12"/>
  <c r="E1125" i="12"/>
  <c r="F1125" i="12"/>
  <c r="E1126" i="12"/>
  <c r="F1126" i="12"/>
  <c r="E1127" i="12"/>
  <c r="F1127" i="12"/>
  <c r="E1128" i="12"/>
  <c r="F1128" i="12"/>
  <c r="E1129" i="12"/>
  <c r="F1129" i="12"/>
  <c r="E1130" i="12"/>
  <c r="F1130" i="12"/>
  <c r="E1131" i="12"/>
  <c r="F1131" i="12"/>
  <c r="E1132" i="12"/>
  <c r="F1132" i="12"/>
  <c r="E1133" i="12"/>
  <c r="F1133" i="12"/>
  <c r="E1134" i="12"/>
  <c r="F1134" i="12"/>
  <c r="E1135" i="12"/>
  <c r="F1135" i="12"/>
  <c r="E1136" i="12"/>
  <c r="F1136" i="12"/>
  <c r="E1137" i="12"/>
  <c r="F1137" i="12"/>
  <c r="E1138" i="12"/>
  <c r="F1138" i="12"/>
  <c r="E1139" i="12"/>
  <c r="F1139" i="12"/>
  <c r="E1140" i="12"/>
  <c r="F1140" i="12"/>
  <c r="E1141" i="12"/>
  <c r="F1141" i="12"/>
  <c r="E1142" i="12"/>
  <c r="F1142" i="12"/>
  <c r="E1143" i="12"/>
  <c r="F1143" i="12"/>
  <c r="E1144" i="12"/>
  <c r="F1144" i="12"/>
  <c r="E1145" i="12"/>
  <c r="F1145" i="12"/>
  <c r="E1146" i="12"/>
  <c r="F1146" i="12"/>
  <c r="E1147" i="12"/>
  <c r="F1147" i="12"/>
  <c r="E1148" i="12"/>
  <c r="F1148" i="12"/>
  <c r="E1149" i="12"/>
  <c r="F1149" i="12"/>
  <c r="E1150" i="12"/>
  <c r="F1150" i="12"/>
  <c r="E1151" i="12"/>
  <c r="F1151" i="12"/>
  <c r="E1152" i="12"/>
  <c r="F1152" i="12"/>
  <c r="E1153" i="12"/>
  <c r="F1153" i="12"/>
  <c r="E1154" i="12"/>
  <c r="F1154" i="12"/>
  <c r="E1155" i="12"/>
  <c r="F1155" i="12"/>
  <c r="E1156" i="12"/>
  <c r="F1156" i="12"/>
  <c r="E1157" i="12"/>
  <c r="F1157" i="12"/>
  <c r="E1158" i="12"/>
  <c r="F1158" i="12"/>
  <c r="E1159" i="12"/>
  <c r="F1159" i="12"/>
  <c r="E1160" i="12"/>
  <c r="F1160" i="12"/>
  <c r="E1161" i="12"/>
  <c r="F1161" i="12"/>
  <c r="E1162" i="12"/>
  <c r="F1162" i="12"/>
  <c r="E1163" i="12"/>
  <c r="F1163" i="12"/>
  <c r="E1164" i="12"/>
  <c r="F1164" i="12"/>
  <c r="E1165" i="12"/>
  <c r="F1165" i="12"/>
  <c r="E1166" i="12"/>
  <c r="F1166" i="12"/>
  <c r="E1167" i="12"/>
  <c r="F1167" i="12"/>
  <c r="E1168" i="12"/>
  <c r="F1168" i="12"/>
  <c r="E1169" i="12"/>
  <c r="F1169" i="12"/>
  <c r="E1170" i="12"/>
  <c r="F1170" i="12"/>
  <c r="E1171" i="12"/>
  <c r="F1171" i="12"/>
  <c r="E1172" i="12"/>
  <c r="F1172" i="12"/>
  <c r="E1173" i="12"/>
  <c r="F1173" i="12"/>
  <c r="E1174" i="12"/>
  <c r="F1174" i="12"/>
  <c r="E1175" i="12"/>
  <c r="F1175" i="12"/>
  <c r="E1176" i="12"/>
  <c r="F1176" i="12"/>
  <c r="E1177" i="12"/>
  <c r="F1177" i="12"/>
  <c r="E1178" i="12"/>
  <c r="F1178" i="12"/>
  <c r="E1179" i="12"/>
  <c r="F1179" i="12"/>
  <c r="E1180" i="12"/>
  <c r="F1180" i="12"/>
  <c r="E1181" i="12"/>
  <c r="F1181" i="12"/>
  <c r="E1182" i="12"/>
  <c r="F1182" i="12"/>
  <c r="E1183" i="12"/>
  <c r="F1183" i="12"/>
  <c r="E1184" i="12"/>
  <c r="F1184" i="12"/>
  <c r="E1185" i="12"/>
  <c r="F1185" i="12"/>
  <c r="E1186" i="12"/>
  <c r="F1186" i="12"/>
  <c r="E1187" i="12"/>
  <c r="F1187" i="12"/>
  <c r="E1188" i="12"/>
  <c r="F1188" i="12"/>
  <c r="E1189" i="12"/>
  <c r="F1189" i="12"/>
  <c r="E1190" i="12"/>
  <c r="F1190" i="12"/>
  <c r="E1191" i="12"/>
  <c r="F1191" i="12"/>
  <c r="E1192" i="12"/>
  <c r="F1192" i="12"/>
  <c r="E1193" i="12"/>
  <c r="F1193" i="12"/>
  <c r="E1194" i="12"/>
  <c r="F1194" i="12"/>
  <c r="E1195" i="12"/>
  <c r="F1195" i="12"/>
  <c r="E1196" i="12"/>
  <c r="F1196" i="12"/>
  <c r="E1197" i="12"/>
  <c r="F1197" i="12"/>
  <c r="E1198" i="12"/>
  <c r="F1198" i="12"/>
  <c r="E1199" i="12"/>
  <c r="F1199" i="12"/>
  <c r="E1200" i="12"/>
  <c r="F1200" i="12"/>
  <c r="E1201" i="12"/>
  <c r="F1201" i="12"/>
  <c r="E1202" i="12"/>
  <c r="F1202" i="12"/>
  <c r="E1203" i="12"/>
  <c r="F1203" i="12"/>
  <c r="E1204" i="12"/>
  <c r="F1204" i="12"/>
  <c r="E1205" i="12"/>
  <c r="F1205" i="12"/>
  <c r="E1206" i="12"/>
  <c r="F1206" i="12"/>
  <c r="E1207" i="12"/>
  <c r="F1207" i="12"/>
  <c r="E1208" i="12"/>
  <c r="F1208" i="12"/>
  <c r="E1209" i="12"/>
  <c r="F1209" i="12"/>
  <c r="E1210" i="12"/>
  <c r="F1210" i="12"/>
  <c r="E1211" i="12"/>
  <c r="F1211" i="12"/>
  <c r="E1212" i="12"/>
  <c r="F1212" i="12"/>
  <c r="E1213" i="12"/>
  <c r="F1213" i="12"/>
  <c r="E1214" i="12"/>
  <c r="F1214" i="12"/>
  <c r="E1215" i="12"/>
  <c r="F1215" i="12"/>
  <c r="E1216" i="12"/>
  <c r="F1216" i="12"/>
  <c r="E1217" i="12"/>
  <c r="F1217" i="12"/>
  <c r="E1218" i="12"/>
  <c r="F1218" i="12"/>
  <c r="E1219" i="12"/>
  <c r="F1219" i="12"/>
  <c r="E1220" i="12"/>
  <c r="F1220" i="12"/>
  <c r="E1221" i="12"/>
  <c r="F1221" i="12"/>
  <c r="E1222" i="12"/>
  <c r="F1222" i="12"/>
  <c r="E1223" i="12"/>
  <c r="F1223" i="12"/>
  <c r="E1224" i="12"/>
  <c r="F1224" i="12"/>
  <c r="E1225" i="12"/>
  <c r="F1225" i="12"/>
  <c r="E1226" i="12"/>
  <c r="F1226" i="12"/>
  <c r="E1227" i="12"/>
  <c r="F1227" i="12"/>
  <c r="E1228" i="12"/>
  <c r="F1228" i="12"/>
  <c r="E1229" i="12"/>
  <c r="F1229" i="12"/>
  <c r="E1230" i="12"/>
  <c r="F1230" i="12"/>
  <c r="E1231" i="12"/>
  <c r="F1231" i="12"/>
  <c r="E1232" i="12"/>
  <c r="F1232" i="12"/>
  <c r="E1233" i="12"/>
  <c r="F1233" i="12"/>
  <c r="E1234" i="12"/>
  <c r="F1234" i="12"/>
  <c r="E1235" i="12"/>
  <c r="F1235" i="12"/>
  <c r="E1236" i="12"/>
  <c r="F1236" i="12"/>
  <c r="E1237" i="12"/>
  <c r="F1237" i="12"/>
  <c r="E1238" i="12"/>
  <c r="F1238" i="12"/>
  <c r="E1239" i="12"/>
  <c r="F1239" i="12"/>
  <c r="E1240" i="12"/>
  <c r="F1240" i="12"/>
  <c r="E1241" i="12"/>
  <c r="F1241" i="12"/>
  <c r="E1242" i="12"/>
  <c r="F1242" i="12"/>
  <c r="E1243" i="12"/>
  <c r="F1243" i="12"/>
  <c r="E1244" i="12"/>
  <c r="F1244" i="12"/>
  <c r="E1245" i="12"/>
  <c r="F1245" i="12"/>
  <c r="E1246" i="12"/>
  <c r="F1246" i="12"/>
  <c r="E1247" i="12"/>
  <c r="F1247" i="12"/>
  <c r="E1248" i="12"/>
  <c r="F1248" i="12"/>
  <c r="E1249" i="12"/>
  <c r="F1249" i="12"/>
  <c r="E1250" i="12"/>
  <c r="F1250" i="12"/>
  <c r="E1251" i="12"/>
  <c r="F1251" i="12"/>
  <c r="E1252" i="12"/>
  <c r="F1252" i="12"/>
  <c r="E1253" i="12"/>
  <c r="F1253" i="12"/>
  <c r="E1254" i="12"/>
  <c r="F1254" i="12"/>
  <c r="E1255" i="12"/>
  <c r="F1255" i="12"/>
  <c r="E1256" i="12"/>
  <c r="F1256" i="12"/>
  <c r="E1257" i="12"/>
  <c r="F1257" i="12"/>
  <c r="E1258" i="12"/>
  <c r="F1258" i="12"/>
  <c r="E1259" i="12"/>
  <c r="F1259" i="12"/>
  <c r="E1260" i="12"/>
  <c r="F1260" i="12"/>
  <c r="E1261" i="12"/>
  <c r="F1261" i="12"/>
  <c r="E1262" i="12"/>
  <c r="F1262" i="12"/>
  <c r="E1263" i="12"/>
  <c r="F1263" i="12"/>
  <c r="E1264" i="12"/>
  <c r="F1264" i="12"/>
  <c r="E1265" i="12"/>
  <c r="F1265" i="12"/>
  <c r="E1266" i="12"/>
  <c r="F1266" i="12"/>
  <c r="E1267" i="12"/>
  <c r="F1267" i="12"/>
  <c r="E1268" i="12"/>
  <c r="F1268" i="12"/>
  <c r="E1269" i="12"/>
  <c r="F1269" i="12"/>
  <c r="E1270" i="12"/>
  <c r="F1270" i="12"/>
  <c r="E1271" i="12"/>
  <c r="F1271" i="12"/>
  <c r="E1272" i="12"/>
  <c r="F1272" i="12"/>
  <c r="E1273" i="12"/>
  <c r="F1273" i="12"/>
  <c r="E1274" i="12"/>
  <c r="F1274" i="12"/>
  <c r="E1275" i="12"/>
  <c r="F1275" i="12"/>
  <c r="E1276" i="12"/>
  <c r="F1276" i="12"/>
  <c r="E1277" i="12"/>
  <c r="F1277" i="12"/>
  <c r="E1278" i="12"/>
  <c r="F1278" i="12"/>
  <c r="E1279" i="12"/>
  <c r="F1279" i="12"/>
  <c r="E1280" i="12"/>
  <c r="F1280" i="12"/>
  <c r="E1281" i="12"/>
  <c r="F1281" i="12"/>
  <c r="E1282" i="12"/>
  <c r="F1282" i="12"/>
  <c r="E1283" i="12"/>
  <c r="F1283" i="12"/>
  <c r="E1284" i="12"/>
  <c r="F1284" i="12"/>
  <c r="E1285" i="12"/>
  <c r="F1285" i="12"/>
  <c r="E1286" i="12"/>
  <c r="F1286" i="12"/>
  <c r="E1287" i="12"/>
  <c r="F1287" i="12"/>
  <c r="E1288" i="12"/>
  <c r="F1288" i="12"/>
  <c r="E1289" i="12"/>
  <c r="F1289" i="12"/>
  <c r="E1290" i="12"/>
  <c r="F1290" i="12"/>
  <c r="E1291" i="12"/>
  <c r="F1291" i="12"/>
  <c r="E1292" i="12"/>
  <c r="F1292" i="12"/>
  <c r="E1293" i="12"/>
  <c r="F1293" i="12"/>
  <c r="E1294" i="12"/>
  <c r="F1294" i="12"/>
  <c r="E1295" i="12"/>
  <c r="F1295" i="12"/>
  <c r="E1296" i="12"/>
  <c r="F1296" i="12"/>
  <c r="E1297" i="12"/>
  <c r="F1297" i="12"/>
  <c r="E1298" i="12"/>
  <c r="F1298" i="12"/>
  <c r="E1299" i="12"/>
  <c r="F1299" i="12"/>
  <c r="E1300" i="12"/>
  <c r="F1300" i="12"/>
  <c r="E1301" i="12"/>
  <c r="F1301" i="12"/>
  <c r="E1302" i="12"/>
  <c r="F1302" i="12"/>
  <c r="E1303" i="12"/>
  <c r="F1303" i="12"/>
  <c r="E1304" i="12"/>
  <c r="F1304" i="12"/>
  <c r="E1305" i="12"/>
  <c r="F1305" i="12"/>
  <c r="E1306" i="12"/>
  <c r="F1306" i="12"/>
  <c r="E1307" i="12"/>
  <c r="F1307" i="12"/>
  <c r="E1308" i="12"/>
  <c r="F1308" i="12"/>
  <c r="E1309" i="12"/>
  <c r="F1309" i="12"/>
  <c r="E1310" i="12"/>
  <c r="F1310" i="12"/>
  <c r="E1311" i="12"/>
  <c r="F1311" i="12"/>
  <c r="E1312" i="12"/>
  <c r="F1312" i="12"/>
  <c r="E1313" i="12"/>
  <c r="F1313" i="12"/>
  <c r="E1314" i="12"/>
  <c r="F1314" i="12"/>
  <c r="E1315" i="12"/>
  <c r="F1315" i="12"/>
  <c r="E1316" i="12"/>
  <c r="F1316" i="12"/>
  <c r="E1317" i="12"/>
  <c r="F1317" i="12"/>
  <c r="E1318" i="12"/>
  <c r="F1318" i="12"/>
  <c r="E1319" i="12"/>
  <c r="F1319" i="12"/>
  <c r="E1320" i="12"/>
  <c r="F1320" i="12"/>
  <c r="E1321" i="12"/>
  <c r="F1321" i="12"/>
  <c r="E1322" i="12"/>
  <c r="F1322" i="12"/>
  <c r="E1323" i="12"/>
  <c r="F1323" i="12"/>
  <c r="E1324" i="12"/>
  <c r="F1324" i="12"/>
  <c r="E1325" i="12"/>
  <c r="F1325" i="12"/>
  <c r="E1326" i="12"/>
  <c r="F1326" i="12"/>
  <c r="E1327" i="12"/>
  <c r="F1327" i="12"/>
  <c r="E1328" i="12"/>
  <c r="F1328" i="12"/>
  <c r="E1329" i="12"/>
  <c r="F1329" i="12"/>
  <c r="E1330" i="12"/>
  <c r="F1330" i="12"/>
  <c r="E1331" i="12"/>
  <c r="F1331" i="12"/>
  <c r="E1332" i="12"/>
  <c r="F1332" i="12"/>
  <c r="E1333" i="12"/>
  <c r="F1333" i="12"/>
  <c r="E1334" i="12"/>
  <c r="F1334" i="12"/>
  <c r="E1335" i="12"/>
  <c r="F1335" i="12"/>
  <c r="E1336" i="12"/>
  <c r="F1336" i="12"/>
  <c r="E1337" i="12"/>
  <c r="F1337" i="12"/>
  <c r="E1338" i="12"/>
  <c r="F1338" i="12"/>
  <c r="E1339" i="12"/>
  <c r="F1339" i="12"/>
  <c r="E1340" i="12"/>
  <c r="F1340" i="12"/>
  <c r="E1341" i="12"/>
  <c r="F1341" i="12"/>
  <c r="E1342" i="12"/>
  <c r="F1342" i="12"/>
  <c r="E1343" i="12"/>
  <c r="F1343" i="12"/>
  <c r="E1344" i="12"/>
  <c r="F1344" i="12"/>
  <c r="E1345" i="12"/>
  <c r="F1345" i="12"/>
  <c r="E1346" i="12"/>
  <c r="F1346" i="12"/>
  <c r="E1347" i="12"/>
  <c r="F1347" i="12"/>
  <c r="E1348" i="12"/>
  <c r="F1348" i="12"/>
  <c r="E1349" i="12"/>
  <c r="F1349" i="12"/>
  <c r="E1350" i="12"/>
  <c r="F1350" i="12"/>
  <c r="E1351" i="12"/>
  <c r="F1351" i="12"/>
  <c r="E1352" i="12"/>
  <c r="F1352" i="12"/>
  <c r="E1353" i="12"/>
  <c r="F1353" i="12"/>
  <c r="E1354" i="12"/>
  <c r="F1354" i="12"/>
  <c r="E1355" i="12"/>
  <c r="F1355" i="12"/>
  <c r="E1356" i="12"/>
  <c r="F1356" i="12"/>
  <c r="E1357" i="12"/>
  <c r="F1357" i="12"/>
  <c r="E1358" i="12"/>
  <c r="F1358" i="12"/>
  <c r="E1359" i="12"/>
  <c r="F1359" i="12"/>
  <c r="E1360" i="12"/>
  <c r="F1360" i="12"/>
  <c r="E1361" i="12"/>
  <c r="F1361" i="12"/>
  <c r="E1362" i="12"/>
  <c r="F1362" i="12"/>
  <c r="E1363" i="12"/>
  <c r="F1363" i="12"/>
  <c r="E1364" i="12"/>
  <c r="F1364" i="12"/>
  <c r="E1365" i="12"/>
  <c r="F1365" i="12"/>
  <c r="E1366" i="12"/>
  <c r="F1366" i="12"/>
  <c r="E1367" i="12"/>
  <c r="F1367" i="12"/>
  <c r="E1368" i="12"/>
  <c r="F1368" i="12"/>
  <c r="E1369" i="12"/>
  <c r="F1369" i="12"/>
  <c r="E1370" i="12"/>
  <c r="F1370" i="12"/>
  <c r="E1371" i="12"/>
  <c r="F1371" i="12"/>
  <c r="E1372" i="12"/>
  <c r="F1372" i="12"/>
  <c r="E1373" i="12"/>
  <c r="F1373" i="12"/>
  <c r="E1374" i="12"/>
  <c r="F1374" i="12"/>
  <c r="E1375" i="12"/>
  <c r="F1375" i="12"/>
  <c r="E1376" i="12"/>
  <c r="F1376" i="12"/>
  <c r="E1377" i="12"/>
  <c r="F1377" i="12"/>
  <c r="E1378" i="12"/>
  <c r="F1378" i="12"/>
  <c r="E1379" i="12"/>
  <c r="F1379" i="12"/>
  <c r="E1380" i="12"/>
  <c r="F1380" i="12"/>
  <c r="E1381" i="12"/>
  <c r="F1381" i="12"/>
  <c r="E1382" i="12"/>
  <c r="F1382" i="12"/>
  <c r="E1383" i="12"/>
  <c r="F1383" i="12"/>
  <c r="E1384" i="12"/>
  <c r="F1384" i="12"/>
  <c r="E1385" i="12"/>
  <c r="F1385" i="12"/>
  <c r="E1386" i="12"/>
  <c r="F1386" i="12"/>
  <c r="E1387" i="12"/>
  <c r="F1387" i="12"/>
  <c r="E1388" i="12"/>
  <c r="F1388" i="12"/>
  <c r="E1389" i="12"/>
  <c r="F1389" i="12"/>
  <c r="E1390" i="12"/>
  <c r="F1390" i="12"/>
  <c r="E1391" i="12"/>
  <c r="F1391" i="12"/>
  <c r="E1392" i="12"/>
  <c r="F1392" i="12"/>
  <c r="E1393" i="12"/>
  <c r="F1393" i="12"/>
  <c r="E1394" i="12"/>
  <c r="F1394" i="12"/>
  <c r="E1395" i="12"/>
  <c r="F1395" i="12"/>
  <c r="E1396" i="12"/>
  <c r="F1396" i="12"/>
  <c r="E1397" i="12"/>
  <c r="F1397" i="12"/>
  <c r="E1398" i="12"/>
  <c r="F1398" i="12"/>
  <c r="E1399" i="12"/>
  <c r="F1399" i="12"/>
  <c r="E1400" i="12"/>
  <c r="F1400" i="12"/>
  <c r="E1401" i="12"/>
  <c r="F1401" i="12"/>
  <c r="E1402" i="12"/>
  <c r="F1402" i="12"/>
  <c r="E1403" i="12"/>
  <c r="F1403" i="12"/>
  <c r="E1404" i="12"/>
  <c r="F1404" i="12"/>
  <c r="E1405" i="12"/>
  <c r="F1405" i="12"/>
  <c r="E1406" i="12"/>
  <c r="F1406" i="12"/>
  <c r="E1407" i="12"/>
  <c r="F1407" i="12"/>
  <c r="E1408" i="12"/>
  <c r="F1408" i="12"/>
  <c r="E1409" i="12"/>
  <c r="F1409" i="12"/>
  <c r="E1410" i="12"/>
  <c r="F1410" i="12"/>
  <c r="E1411" i="12"/>
  <c r="F1411" i="12"/>
  <c r="E1412" i="12"/>
  <c r="F1412" i="12"/>
  <c r="E1413" i="12"/>
  <c r="F1413" i="12"/>
  <c r="E1414" i="12"/>
  <c r="F1414" i="12"/>
  <c r="E1415" i="12"/>
  <c r="F1415" i="12"/>
  <c r="E1416" i="12"/>
  <c r="F1416" i="12"/>
  <c r="E1417" i="12"/>
  <c r="F1417" i="12"/>
  <c r="E1418" i="12"/>
  <c r="F1418" i="12"/>
  <c r="E1419" i="12"/>
  <c r="F1419" i="12"/>
  <c r="E1420" i="12"/>
  <c r="F1420" i="12"/>
  <c r="E1421" i="12"/>
  <c r="F1421" i="12"/>
  <c r="E1422" i="12"/>
  <c r="F1422" i="12"/>
  <c r="E1423" i="12"/>
  <c r="F1423" i="12"/>
  <c r="E1424" i="12"/>
  <c r="F1424" i="12"/>
  <c r="E1425" i="12"/>
  <c r="F1425" i="12"/>
  <c r="E1426" i="12"/>
  <c r="F1426" i="12"/>
  <c r="E1427" i="12"/>
  <c r="F1427" i="12"/>
  <c r="E1428" i="12"/>
  <c r="F1428" i="12"/>
  <c r="E1429" i="12"/>
  <c r="F1429" i="12"/>
  <c r="E1430" i="12"/>
  <c r="F1430" i="12"/>
  <c r="E1431" i="12"/>
  <c r="F1431" i="12"/>
  <c r="E1432" i="12"/>
  <c r="F1432" i="12"/>
  <c r="E1433" i="12"/>
  <c r="F1433" i="12"/>
  <c r="E1434" i="12"/>
  <c r="F1434" i="12"/>
  <c r="E1435" i="12"/>
  <c r="F1435" i="12"/>
  <c r="E1436" i="12"/>
  <c r="F1436" i="12"/>
  <c r="E1437" i="12"/>
  <c r="F1437" i="12"/>
  <c r="E1438" i="12"/>
  <c r="F1438" i="12"/>
  <c r="E1439" i="12"/>
  <c r="F1439" i="12"/>
  <c r="E1440" i="12"/>
  <c r="F1440" i="12"/>
  <c r="E1441" i="12"/>
  <c r="F1441" i="12"/>
  <c r="E1442" i="12"/>
  <c r="F1442" i="12"/>
  <c r="E1443" i="12"/>
  <c r="F1443" i="12"/>
  <c r="E1444" i="12"/>
  <c r="F1444" i="12"/>
  <c r="E1445" i="12"/>
  <c r="F1445" i="12"/>
  <c r="E1446" i="12"/>
  <c r="F1446" i="12"/>
  <c r="E1447" i="12"/>
  <c r="F1447" i="12"/>
  <c r="E1448" i="12"/>
  <c r="F1448" i="12"/>
  <c r="E1449" i="12"/>
  <c r="F1449" i="12"/>
  <c r="E1450" i="12"/>
  <c r="F1450" i="12"/>
  <c r="E1451" i="12"/>
  <c r="F1451" i="12"/>
  <c r="E1452" i="12"/>
  <c r="F1452" i="12"/>
  <c r="E1453" i="12"/>
  <c r="F1453" i="12"/>
  <c r="E1454" i="12"/>
  <c r="F1454" i="12"/>
  <c r="E1455" i="12"/>
  <c r="F1455" i="12"/>
  <c r="E1456" i="12"/>
  <c r="F1456" i="12"/>
  <c r="E1457" i="12"/>
  <c r="F1457" i="12"/>
  <c r="E1458" i="12"/>
  <c r="F1458" i="12"/>
  <c r="E1459" i="12"/>
  <c r="F1459" i="12"/>
  <c r="E1460" i="12"/>
  <c r="F1460" i="12"/>
  <c r="E1461" i="12"/>
  <c r="F1461" i="12"/>
  <c r="E1462" i="12"/>
  <c r="F1462" i="12"/>
  <c r="E1463" i="12"/>
  <c r="F1463" i="12"/>
  <c r="E1464" i="12"/>
  <c r="F1464" i="12"/>
  <c r="E1465" i="12"/>
  <c r="F1465" i="12"/>
  <c r="E1466" i="12"/>
  <c r="F1466" i="12"/>
  <c r="E1467" i="12"/>
  <c r="F1467" i="12"/>
  <c r="E1468" i="12"/>
  <c r="F1468" i="12"/>
  <c r="E1469" i="12"/>
  <c r="F1469" i="12"/>
  <c r="E1470" i="12"/>
  <c r="F1470" i="12"/>
  <c r="E1471" i="12"/>
  <c r="F1471" i="12"/>
  <c r="E1472" i="12"/>
  <c r="F1472" i="12"/>
  <c r="E1473" i="12"/>
  <c r="F1473" i="12"/>
  <c r="E1474" i="12"/>
  <c r="F1474" i="12"/>
  <c r="E1475" i="12"/>
  <c r="F1475" i="12"/>
  <c r="E1476" i="12"/>
  <c r="F1476" i="12"/>
  <c r="E1477" i="12"/>
  <c r="F1477" i="12"/>
  <c r="E1478" i="12"/>
  <c r="F1478" i="12"/>
  <c r="E1479" i="12"/>
  <c r="F1479" i="12"/>
  <c r="E1480" i="12"/>
  <c r="F1480" i="12"/>
  <c r="E1481" i="12"/>
  <c r="F1481" i="12"/>
  <c r="E1482" i="12"/>
  <c r="F1482" i="12"/>
  <c r="E1483" i="12"/>
  <c r="F1483" i="12"/>
  <c r="E1484" i="12"/>
  <c r="F1484" i="12"/>
  <c r="E1485" i="12"/>
  <c r="F1485" i="12"/>
  <c r="E1486" i="12"/>
  <c r="F1486" i="12"/>
  <c r="E1487" i="12"/>
  <c r="F1487" i="12"/>
  <c r="E1488" i="12"/>
  <c r="F1488" i="12"/>
  <c r="E1489" i="12"/>
  <c r="F1489" i="12"/>
  <c r="E1490" i="12"/>
  <c r="F1490" i="12"/>
  <c r="E1491" i="12"/>
  <c r="F1491" i="12"/>
  <c r="E1492" i="12"/>
  <c r="F1492" i="12"/>
  <c r="E1493" i="12"/>
  <c r="F1493" i="12"/>
  <c r="E1494" i="12"/>
  <c r="F1494" i="12"/>
  <c r="E1495" i="12"/>
  <c r="F1495" i="12"/>
  <c r="E1496" i="12"/>
  <c r="F1496" i="12"/>
  <c r="E1497" i="12"/>
  <c r="F1497" i="12"/>
  <c r="E1498" i="12"/>
  <c r="F1498" i="12"/>
  <c r="E1499" i="12"/>
  <c r="F1499" i="12"/>
  <c r="E1500" i="12"/>
  <c r="F1500" i="12"/>
  <c r="E1501" i="12"/>
  <c r="F1501" i="12"/>
  <c r="E1502" i="12"/>
  <c r="F1502" i="12"/>
  <c r="E1503" i="12"/>
  <c r="F1503" i="12"/>
  <c r="E1504" i="12"/>
  <c r="F1504" i="12"/>
  <c r="E1505" i="12"/>
  <c r="F1505" i="12"/>
  <c r="E1506" i="12"/>
  <c r="F1506" i="12"/>
  <c r="E1507" i="12"/>
  <c r="F1507" i="12"/>
  <c r="E1508" i="12"/>
  <c r="F1508" i="12"/>
  <c r="E1509" i="12"/>
  <c r="F1509" i="12"/>
  <c r="E1510" i="12"/>
  <c r="F1510" i="12"/>
  <c r="E1511" i="12"/>
  <c r="F1511" i="12"/>
  <c r="E1512" i="12"/>
  <c r="F1512" i="12"/>
  <c r="E1513" i="12"/>
  <c r="F1513" i="12"/>
  <c r="E1514" i="12"/>
  <c r="F1514" i="12"/>
  <c r="E1515" i="12"/>
  <c r="F1515" i="12"/>
  <c r="E1516" i="12"/>
  <c r="F1516" i="12"/>
  <c r="E1517" i="12"/>
  <c r="F1517" i="12"/>
  <c r="E1518" i="12"/>
  <c r="F1518" i="12"/>
  <c r="E1519" i="12"/>
  <c r="F1519" i="12"/>
  <c r="E1520" i="12"/>
  <c r="F1520" i="12"/>
  <c r="E1521" i="12"/>
  <c r="F1521" i="12"/>
  <c r="E1522" i="12"/>
  <c r="F1522" i="12"/>
  <c r="E1523" i="12"/>
  <c r="F1523" i="12"/>
  <c r="E1524" i="12"/>
  <c r="F1524" i="12"/>
  <c r="E1525" i="12"/>
  <c r="F1525" i="12"/>
  <c r="E1526" i="12"/>
  <c r="F1526" i="12"/>
  <c r="E1527" i="12"/>
  <c r="F1527" i="12"/>
  <c r="E1528" i="12"/>
  <c r="F1528" i="12"/>
  <c r="E1529" i="12"/>
  <c r="F1529" i="12"/>
  <c r="E1530" i="12"/>
  <c r="F1530" i="12"/>
  <c r="E1531" i="12"/>
  <c r="F1531" i="12"/>
  <c r="E1532" i="12"/>
  <c r="F1532" i="12"/>
  <c r="E1533" i="12"/>
  <c r="F1533" i="12"/>
  <c r="E1534" i="12"/>
  <c r="F1534" i="12"/>
  <c r="E1535" i="12"/>
  <c r="F1535" i="12"/>
  <c r="E1536" i="12"/>
  <c r="F1536" i="12"/>
  <c r="E1537" i="12"/>
  <c r="F1537" i="12"/>
  <c r="E1538" i="12"/>
  <c r="F1538" i="12"/>
  <c r="E1539" i="12"/>
  <c r="F1539" i="12"/>
  <c r="E1540" i="12"/>
  <c r="F1540" i="12"/>
  <c r="E1541" i="12"/>
  <c r="F1541" i="12"/>
  <c r="E1542" i="12"/>
  <c r="F1542" i="12"/>
  <c r="E1543" i="12"/>
  <c r="F1543" i="12"/>
  <c r="E1544" i="12"/>
  <c r="F1544" i="12"/>
  <c r="E1545" i="12"/>
  <c r="F1545" i="12"/>
  <c r="E1546" i="12"/>
  <c r="F1546" i="12"/>
  <c r="E1547" i="12"/>
  <c r="F1547" i="12"/>
  <c r="E1548" i="12"/>
  <c r="F1548" i="12"/>
  <c r="E1549" i="12"/>
  <c r="F1549" i="12"/>
  <c r="E1550" i="12"/>
  <c r="F1550" i="12"/>
  <c r="E1551" i="12"/>
  <c r="F1551" i="12"/>
  <c r="E1552" i="12"/>
  <c r="F1552" i="12"/>
  <c r="E1553" i="12"/>
  <c r="F1553" i="12"/>
  <c r="E1554" i="12"/>
  <c r="F1554" i="12"/>
  <c r="E1555" i="12"/>
  <c r="F1555" i="12"/>
  <c r="E1556" i="12"/>
  <c r="F1556" i="12"/>
  <c r="E1557" i="12"/>
  <c r="F1557" i="12"/>
  <c r="E1558" i="12"/>
  <c r="F1558" i="12"/>
  <c r="E1559" i="12"/>
  <c r="F1559" i="12"/>
  <c r="E1560" i="12"/>
  <c r="F1560" i="12"/>
  <c r="E1561" i="12"/>
  <c r="F1561" i="12"/>
  <c r="E1562" i="12"/>
  <c r="F1562" i="12"/>
  <c r="E1563" i="12"/>
  <c r="F1563" i="12"/>
  <c r="E1564" i="12"/>
  <c r="F1564" i="12"/>
  <c r="E1565" i="12"/>
  <c r="F1565" i="12"/>
  <c r="E1566" i="12"/>
  <c r="F1566" i="12"/>
  <c r="E1567" i="12"/>
  <c r="F1567" i="12"/>
  <c r="E1568" i="12"/>
  <c r="F1568" i="12"/>
  <c r="E1569" i="12"/>
  <c r="F1569" i="12"/>
  <c r="E1570" i="12"/>
  <c r="F1570" i="12"/>
  <c r="E1571" i="12"/>
  <c r="F1571" i="12"/>
  <c r="E1572" i="12"/>
  <c r="F1572" i="12"/>
  <c r="E1573" i="12"/>
  <c r="F1573" i="12"/>
  <c r="E1574" i="12"/>
  <c r="F1574" i="12"/>
  <c r="E1575" i="12"/>
  <c r="F1575" i="12"/>
  <c r="E1576" i="12"/>
  <c r="F1576" i="12"/>
  <c r="E1577" i="12"/>
  <c r="F1577" i="12"/>
  <c r="E1578" i="12"/>
  <c r="F1578" i="12"/>
  <c r="E1579" i="12"/>
  <c r="F1579" i="12"/>
  <c r="E1580" i="12"/>
  <c r="F1580" i="12"/>
  <c r="E1581" i="12"/>
  <c r="F1581" i="12"/>
  <c r="E1582" i="12"/>
  <c r="F1582" i="12"/>
  <c r="E1583" i="12"/>
  <c r="F1583" i="12"/>
  <c r="E1584" i="12"/>
  <c r="F1584" i="12"/>
  <c r="E1585" i="12"/>
  <c r="F1585" i="12"/>
  <c r="E1586" i="12"/>
  <c r="F1586" i="12"/>
  <c r="E1587" i="12"/>
  <c r="F1587" i="12"/>
  <c r="E1588" i="12"/>
  <c r="F1588" i="12"/>
  <c r="E1589" i="12"/>
  <c r="F1589" i="12"/>
  <c r="E1590" i="12"/>
  <c r="F1590" i="12"/>
  <c r="E1591" i="12"/>
  <c r="F1591" i="12"/>
  <c r="E1592" i="12"/>
  <c r="F1592" i="12"/>
  <c r="E1593" i="12"/>
  <c r="F1593" i="12"/>
  <c r="E1594" i="12"/>
  <c r="F1594" i="12"/>
  <c r="E1595" i="12"/>
  <c r="F1595" i="12"/>
  <c r="E1596" i="12"/>
  <c r="F1596" i="12"/>
  <c r="E1597" i="12"/>
  <c r="F1597" i="12"/>
  <c r="E1598" i="12"/>
  <c r="F1598" i="12"/>
  <c r="E1599" i="12"/>
  <c r="F1599" i="12"/>
  <c r="E1600" i="12"/>
  <c r="F1600" i="12"/>
  <c r="E1601" i="12"/>
  <c r="F1601" i="12"/>
  <c r="E1602" i="12"/>
  <c r="F1602" i="12"/>
  <c r="E1603" i="12"/>
  <c r="F1603" i="12"/>
  <c r="E1604" i="12"/>
  <c r="F1604" i="12"/>
  <c r="E1605" i="12"/>
  <c r="F1605" i="12"/>
  <c r="E1606" i="12"/>
  <c r="F1606" i="12"/>
  <c r="E1607" i="12"/>
  <c r="F1607" i="12"/>
  <c r="E1608" i="12"/>
  <c r="F1608" i="12"/>
  <c r="E1609" i="12"/>
  <c r="F1609" i="12"/>
  <c r="E1610" i="12"/>
  <c r="F1610" i="12"/>
  <c r="E1611" i="12"/>
  <c r="F1611" i="12"/>
  <c r="E1612" i="12"/>
  <c r="F1612" i="12"/>
  <c r="E1613" i="12"/>
  <c r="F1613" i="12"/>
  <c r="E1614" i="12"/>
  <c r="F1614" i="12"/>
  <c r="E1615" i="12"/>
  <c r="F1615" i="12"/>
  <c r="E1616" i="12"/>
  <c r="F1616" i="12"/>
  <c r="E1617" i="12"/>
  <c r="F1617" i="12"/>
  <c r="E1618" i="12"/>
  <c r="F1618" i="12"/>
  <c r="E1619" i="12"/>
  <c r="F1619" i="12"/>
  <c r="E1620" i="12"/>
  <c r="F1620" i="12"/>
  <c r="E1621" i="12"/>
  <c r="F1621" i="12"/>
  <c r="E1622" i="12"/>
  <c r="F1622" i="12"/>
  <c r="E1623" i="12"/>
  <c r="F1623" i="12"/>
  <c r="E1624" i="12"/>
  <c r="F1624" i="12"/>
  <c r="E1625" i="12"/>
  <c r="F1625" i="12"/>
  <c r="E1626" i="12"/>
  <c r="F1626" i="12"/>
  <c r="E1627" i="12"/>
  <c r="F1627" i="12"/>
  <c r="E1628" i="12"/>
  <c r="F1628" i="12"/>
  <c r="E1629" i="12"/>
  <c r="F1629" i="12"/>
  <c r="E1630" i="12"/>
  <c r="F1630" i="12"/>
  <c r="E1631" i="12"/>
  <c r="F1631" i="12"/>
  <c r="E1632" i="12"/>
  <c r="F1632" i="12"/>
  <c r="E1633" i="12"/>
  <c r="F1633" i="12"/>
  <c r="E1634" i="12"/>
  <c r="F1634" i="12"/>
  <c r="E1635" i="12"/>
  <c r="F1635" i="12"/>
  <c r="E1636" i="12"/>
  <c r="F1636" i="12"/>
  <c r="E1637" i="12"/>
  <c r="F1637" i="12"/>
  <c r="E1638" i="12"/>
  <c r="F1638" i="12"/>
  <c r="E1639" i="12"/>
  <c r="F1639" i="12"/>
  <c r="E1640" i="12"/>
  <c r="F1640" i="12"/>
  <c r="E1641" i="12"/>
  <c r="F1641" i="12"/>
  <c r="E1642" i="12"/>
  <c r="F1642" i="12"/>
  <c r="E1643" i="12"/>
  <c r="F1643" i="12"/>
  <c r="E1644" i="12"/>
  <c r="F1644" i="12"/>
  <c r="E1645" i="12"/>
  <c r="F1645" i="12"/>
  <c r="E1646" i="12"/>
  <c r="F1646" i="12"/>
  <c r="F2" i="12"/>
  <c r="E2" i="12"/>
  <c r="S32" i="24"/>
  <c r="S31" i="24"/>
  <c r="S30" i="24"/>
  <c r="S29" i="24"/>
  <c r="S28" i="24"/>
  <c r="S27" i="24"/>
  <c r="S26" i="24"/>
  <c r="S25" i="24"/>
  <c r="S24" i="24"/>
  <c r="S23" i="24"/>
  <c r="S22" i="24"/>
  <c r="S21" i="24"/>
  <c r="S20" i="24"/>
  <c r="S19" i="24"/>
  <c r="S18" i="24"/>
  <c r="S17" i="24"/>
  <c r="S16" i="24"/>
  <c r="S15" i="24"/>
  <c r="S14" i="24"/>
  <c r="S13" i="24"/>
  <c r="S12" i="24"/>
  <c r="S11" i="24"/>
  <c r="S10" i="24"/>
  <c r="S9" i="24"/>
  <c r="S8" i="24"/>
  <c r="S7" i="24"/>
  <c r="S6" i="24"/>
  <c r="S5" i="24"/>
  <c r="S4" i="24"/>
  <c r="S3" i="24"/>
</calcChain>
</file>

<file path=xl/sharedStrings.xml><?xml version="1.0" encoding="utf-8"?>
<sst xmlns="http://schemas.openxmlformats.org/spreadsheetml/2006/main" count="22722" uniqueCount="649">
  <si>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</si>
  <si>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</si>
  <si>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</si>
  <si>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</si>
  <si>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</si>
  <si>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</si>
  <si>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</si>
  <si>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</si>
  <si>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</si>
  <si>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</si>
  <si>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</si>
  <si>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</si>
  <si>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</si>
  <si>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</si>
  <si>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</si>
  <si>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</si>
  <si>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</si>
  <si>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</si>
  <si>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</si>
  <si>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</si>
  <si>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</si>
  <si>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</si>
  <si>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</si>
  <si>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</si>
  <si>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</si>
  <si>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</si>
  <si>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</si>
  <si>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</si>
  <si>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</si>
  <si>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</si>
  <si>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</si>
  <si>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</si>
  <si>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</si>
  <si>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GSW</t>
  </si>
  <si>
    <t>DEN</t>
  </si>
  <si>
    <t>W, 123-107</t>
  </si>
  <si>
    <t>W, 126-106</t>
  </si>
  <si>
    <t>@</t>
  </si>
  <si>
    <t>W, 118-113</t>
  </si>
  <si>
    <t>L, 121-126</t>
  </si>
  <si>
    <t>W, 102-98</t>
  </si>
  <si>
    <t>*</t>
  </si>
  <si>
    <t>MEM</t>
  </si>
  <si>
    <t>W, 117-116</t>
  </si>
  <si>
    <t>L, 101-106</t>
  </si>
  <si>
    <t>W, 142-112</t>
  </si>
  <si>
    <t>W, 101-98</t>
  </si>
  <si>
    <t>L, 95-134</t>
  </si>
  <si>
    <t>W, 110-96</t>
  </si>
  <si>
    <t>DAL</t>
  </si>
  <si>
    <t>W, 112-87</t>
  </si>
  <si>
    <t>W, 126-117</t>
  </si>
  <si>
    <t>W, 109-100</t>
  </si>
  <si>
    <t>L, 109-119</t>
  </si>
  <si>
    <t>W, 120-110</t>
  </si>
  <si>
    <t>BOS</t>
  </si>
  <si>
    <t>L, 108-120</t>
  </si>
  <si>
    <t>W, 107-88</t>
  </si>
  <si>
    <t>L, 100-116</t>
  </si>
  <si>
    <t>W, 107-97</t>
  </si>
  <si>
    <t>W, 104-94</t>
  </si>
  <si>
    <t>W, 103-90</t>
  </si>
  <si>
    <t>LAL</t>
  </si>
  <si>
    <t>W 121-114</t>
  </si>
  <si>
    <t>LAC</t>
  </si>
  <si>
    <t>W 115-113</t>
  </si>
  <si>
    <t>SAC</t>
  </si>
  <si>
    <t>W 119-107</t>
  </si>
  <si>
    <t>OKC</t>
  </si>
  <si>
    <t>W 106-98</t>
  </si>
  <si>
    <t>L 101-104 (OT)</t>
  </si>
  <si>
    <t>W 103-82</t>
  </si>
  <si>
    <t>CHO</t>
  </si>
  <si>
    <t>W 114-92</t>
  </si>
  <si>
    <t>NOP</t>
  </si>
  <si>
    <t>W 126-85</t>
  </si>
  <si>
    <t>HOU</t>
  </si>
  <si>
    <t>W 120-107</t>
  </si>
  <si>
    <t>ATL</t>
  </si>
  <si>
    <t>W 127-113</t>
  </si>
  <si>
    <t>MIN</t>
  </si>
  <si>
    <t>W 123-110</t>
  </si>
  <si>
    <t>CHI</t>
  </si>
  <si>
    <t>W 119-93</t>
  </si>
  <si>
    <t>L 102-106</t>
  </si>
  <si>
    <t>BRK</t>
  </si>
  <si>
    <t>W 117-99</t>
  </si>
  <si>
    <t>CLE</t>
  </si>
  <si>
    <t>W 104-89</t>
  </si>
  <si>
    <t>DET</t>
  </si>
  <si>
    <t>W 105-102</t>
  </si>
  <si>
    <t>Inactive</t>
  </si>
  <si>
    <t>TOR</t>
  </si>
  <si>
    <t>W 119-104</t>
  </si>
  <si>
    <t>PHI</t>
  </si>
  <si>
    <t>W 116-96</t>
  </si>
  <si>
    <t>POR</t>
  </si>
  <si>
    <t>W 118-103</t>
  </si>
  <si>
    <t>W 105-90</t>
  </si>
  <si>
    <t>PHO</t>
  </si>
  <si>
    <t>L 96-104</t>
  </si>
  <si>
    <t>W 118-96</t>
  </si>
  <si>
    <t>SAS</t>
  </si>
  <si>
    <t>L 107-112</t>
  </si>
  <si>
    <t>ORL</t>
  </si>
  <si>
    <t>W 126-95</t>
  </si>
  <si>
    <t>W 104-94</t>
  </si>
  <si>
    <t>L 93-102</t>
  </si>
  <si>
    <t>IND</t>
  </si>
  <si>
    <t>W 102-100</t>
  </si>
  <si>
    <t>NYK</t>
  </si>
  <si>
    <t>W 105-96</t>
  </si>
  <si>
    <t>W 111-107</t>
  </si>
  <si>
    <t>L 100-119</t>
  </si>
  <si>
    <t>W 113-98</t>
  </si>
  <si>
    <t>W 113-104</t>
  </si>
  <si>
    <t>W 116-107</t>
  </si>
  <si>
    <t>L 86-89</t>
  </si>
  <si>
    <t>UTA</t>
  </si>
  <si>
    <t>W 123-116</t>
  </si>
  <si>
    <t>MIA</t>
  </si>
  <si>
    <t>W 115-108</t>
  </si>
  <si>
    <t>L 82-99</t>
  </si>
  <si>
    <t>L 96-101</t>
  </si>
  <si>
    <t>W 96-82</t>
  </si>
  <si>
    <t>L 108-116</t>
  </si>
  <si>
    <t>MIL</t>
  </si>
  <si>
    <t>L 99-118</t>
  </si>
  <si>
    <t>W 138-96</t>
  </si>
  <si>
    <t>L 99-119</t>
  </si>
  <si>
    <t>W 102-86</t>
  </si>
  <si>
    <t>L 117-121 (OT)</t>
  </si>
  <si>
    <t>W 105-103</t>
  </si>
  <si>
    <t>W 94-92</t>
  </si>
  <si>
    <t>W 130-92</t>
  </si>
  <si>
    <t>W 124-115</t>
  </si>
  <si>
    <t>W 110-106</t>
  </si>
  <si>
    <t>W 122-108</t>
  </si>
  <si>
    <t>W 124-120</t>
  </si>
  <si>
    <t>W 126-114</t>
  </si>
  <si>
    <t>W 110-98</t>
  </si>
  <si>
    <t>L 85-111</t>
  </si>
  <si>
    <t>L 114-116</t>
  </si>
  <si>
    <t>W 117-115</t>
  </si>
  <si>
    <t>L 104-119</t>
  </si>
  <si>
    <t>L 116-117</t>
  </si>
  <si>
    <t>W 132-95</t>
  </si>
  <si>
    <t>L 101-107</t>
  </si>
  <si>
    <t>L 114-129</t>
  </si>
  <si>
    <t>L 113-122</t>
  </si>
  <si>
    <t>L 116-124</t>
  </si>
  <si>
    <t>L 124-131</t>
  </si>
  <si>
    <t>W 112-97</t>
  </si>
  <si>
    <t>W 113-102</t>
  </si>
  <si>
    <t>W 122-109</t>
  </si>
  <si>
    <t>WAS</t>
  </si>
  <si>
    <t>W 126-112</t>
  </si>
  <si>
    <t>L 88-110</t>
  </si>
  <si>
    <t>L 108-110</t>
  </si>
  <si>
    <t>L 90-94</t>
  </si>
  <si>
    <t>W 118-104</t>
  </si>
  <si>
    <t>L 110-121</t>
  </si>
  <si>
    <t>L 115-123</t>
  </si>
  <si>
    <t>L 95-123</t>
  </si>
  <si>
    <t>L 103-107</t>
  </si>
  <si>
    <t>W 109-90</t>
  </si>
  <si>
    <t>W 128-112</t>
  </si>
  <si>
    <t>W 100-94</t>
  </si>
  <si>
    <t>W 128-107</t>
  </si>
  <si>
    <t>Not With Team</t>
  </si>
  <si>
    <t>W 123-107</t>
  </si>
  <si>
    <t>W 126-106</t>
  </si>
  <si>
    <t>W 118-113</t>
  </si>
  <si>
    <t>L 121-126</t>
  </si>
  <si>
    <t>W 102-98</t>
  </si>
  <si>
    <t>W 117-116</t>
  </si>
  <si>
    <t>L 101-106</t>
  </si>
  <si>
    <t>W 142-112</t>
  </si>
  <si>
    <t>W 101-98</t>
  </si>
  <si>
    <t>L 95-134</t>
  </si>
  <si>
    <t>W 110-96</t>
  </si>
  <si>
    <t>W 112-87</t>
  </si>
  <si>
    <t>W 126-117</t>
  </si>
  <si>
    <t>W 109-100</t>
  </si>
  <si>
    <t>L 109-119</t>
  </si>
  <si>
    <t>W 120-110</t>
  </si>
  <si>
    <t>L 108-120</t>
  </si>
  <si>
    <t>W 107-88</t>
  </si>
  <si>
    <t>L 100-116</t>
  </si>
  <si>
    <t>W 107-97</t>
  </si>
  <si>
    <t>W 103-90</t>
  </si>
  <si>
    <t>L 114-121</t>
  </si>
  <si>
    <t>L 105-115</t>
  </si>
  <si>
    <t>W 121-118</t>
  </si>
  <si>
    <t>W 125-121 (OT)</t>
  </si>
  <si>
    <t>W 113-101</t>
  </si>
  <si>
    <t>W 95-85</t>
  </si>
  <si>
    <t>W 119-117</t>
  </si>
  <si>
    <t>L 104-107</t>
  </si>
  <si>
    <t>L 90-105</t>
  </si>
  <si>
    <t>W 126-123 (OT)</t>
  </si>
  <si>
    <t>W 120-117 (OT)</t>
  </si>
  <si>
    <t>L 83-107</t>
  </si>
  <si>
    <t>W 114-106</t>
  </si>
  <si>
    <t>L 103-121</t>
  </si>
  <si>
    <t>L 102-109</t>
  </si>
  <si>
    <t>L 108-130</t>
  </si>
  <si>
    <t>W 121-116</t>
  </si>
  <si>
    <t>L 100-106</t>
  </si>
  <si>
    <t>W 124-116 (OT)</t>
  </si>
  <si>
    <t>Did Not Dress</t>
  </si>
  <si>
    <t>L 137-141 (3OT)</t>
  </si>
  <si>
    <t>W 117-92</t>
  </si>
  <si>
    <t>L 115-119</t>
  </si>
  <si>
    <t>W 117-102</t>
  </si>
  <si>
    <t>L 95-108</t>
  </si>
  <si>
    <t>W 116-95</t>
  </si>
  <si>
    <t>W 106-94</t>
  </si>
  <si>
    <t>W 107-104 (OT)</t>
  </si>
  <si>
    <t>L 92-110</t>
  </si>
  <si>
    <t>L 110-115</t>
  </si>
  <si>
    <t>L 90-108</t>
  </si>
  <si>
    <t>L 110-138</t>
  </si>
  <si>
    <t>L 115-122</t>
  </si>
  <si>
    <t>W 132-123</t>
  </si>
  <si>
    <t>L 99-104</t>
  </si>
  <si>
    <t>W 139-106</t>
  </si>
  <si>
    <t>W 108-103</t>
  </si>
  <si>
    <t>W 122-114</t>
  </si>
  <si>
    <t>W 134-118</t>
  </si>
  <si>
    <t>L 119-127</t>
  </si>
  <si>
    <t>L 116-125</t>
  </si>
  <si>
    <t>L 96-133</t>
  </si>
  <si>
    <t>W 101-95</t>
  </si>
  <si>
    <t>L 104-111</t>
  </si>
  <si>
    <t>W 116-105</t>
  </si>
  <si>
    <t>L 107-113</t>
  </si>
  <si>
    <t>W 106-96</t>
  </si>
  <si>
    <t>L 87-105</t>
  </si>
  <si>
    <t>L 114-117</t>
  </si>
  <si>
    <t>L 121-129</t>
  </si>
  <si>
    <t>W 99-94</t>
  </si>
  <si>
    <t>L 110-111</t>
  </si>
  <si>
    <t>W 122-115 (OT)</t>
  </si>
  <si>
    <t>L 116-131</t>
  </si>
  <si>
    <t>L 105-107</t>
  </si>
  <si>
    <t>L 115-117</t>
  </si>
  <si>
    <t>W 106-101</t>
  </si>
  <si>
    <t>L 102-105</t>
  </si>
  <si>
    <t>L 104-109</t>
  </si>
  <si>
    <t>L 111-132</t>
  </si>
  <si>
    <t>W 124-116</t>
  </si>
  <si>
    <t>L 110-117</t>
  </si>
  <si>
    <t>L 130-139 (OT)</t>
  </si>
  <si>
    <t>L 111-140</t>
  </si>
  <si>
    <t>L 103-114</t>
  </si>
  <si>
    <t>L 104-124</t>
  </si>
  <si>
    <t>W 128-123 (OT)</t>
  </si>
  <si>
    <t>W 131-120</t>
  </si>
  <si>
    <t>L 110-128</t>
  </si>
  <si>
    <t>L 109-122</t>
  </si>
  <si>
    <t>L 111-114</t>
  </si>
  <si>
    <t>L 118-129</t>
  </si>
  <si>
    <t>L 112-128</t>
  </si>
  <si>
    <t>W 120-101</t>
  </si>
  <si>
    <t>W 146-141 (OT)</t>
  </si>
  <si>
    <t>L 98-110</t>
  </si>
  <si>
    <t>W 115-105</t>
  </si>
  <si>
    <t>L 105-134</t>
  </si>
  <si>
    <t>L 107-110</t>
  </si>
  <si>
    <t>W 101-92</t>
  </si>
  <si>
    <t>W 112-100</t>
  </si>
  <si>
    <t>W 123-111</t>
  </si>
  <si>
    <t>W 121-117</t>
  </si>
  <si>
    <t>W 109-104</t>
  </si>
  <si>
    <t>W 119-109</t>
  </si>
  <si>
    <t>W 119-94</t>
  </si>
  <si>
    <t>W 115-89</t>
  </si>
  <si>
    <t>W 99-96</t>
  </si>
  <si>
    <t>W 105-98</t>
  </si>
  <si>
    <t>W 112-104</t>
  </si>
  <si>
    <t>W 126-97</t>
  </si>
  <si>
    <t>W 115-111</t>
  </si>
  <si>
    <t>W 120-115</t>
  </si>
  <si>
    <t>W 118-97</t>
  </si>
  <si>
    <t>W 113-107</t>
  </si>
  <si>
    <t>W 104-96</t>
  </si>
  <si>
    <t>W 114-103</t>
  </si>
  <si>
    <t>L 96-118</t>
  </si>
  <si>
    <t>W 108-104</t>
  </si>
  <si>
    <t>W 111-90</t>
  </si>
  <si>
    <t>L 95-111</t>
  </si>
  <si>
    <t>W 111-107 (OT)</t>
  </si>
  <si>
    <t>W 118-98</t>
  </si>
  <si>
    <t>W 137-106</t>
  </si>
  <si>
    <t>W 108-90</t>
  </si>
  <si>
    <t>L 107-116</t>
  </si>
  <si>
    <t>L 113-114</t>
  </si>
  <si>
    <t>W 115-97</t>
  </si>
  <si>
    <t>L 108-123</t>
  </si>
  <si>
    <t>W 133-99</t>
  </si>
  <si>
    <t>W 106-89</t>
  </si>
  <si>
    <t>L 100-123</t>
  </si>
  <si>
    <t>W 99-95</t>
  </si>
  <si>
    <t>W 112-94</t>
  </si>
  <si>
    <t>W 135-108</t>
  </si>
  <si>
    <t>W 121-107</t>
  </si>
  <si>
    <t>W 109-101</t>
  </si>
  <si>
    <t>W 113-103</t>
  </si>
  <si>
    <t>W 115-109</t>
  </si>
  <si>
    <t>W 105-97</t>
  </si>
  <si>
    <t>W 134-124</t>
  </si>
  <si>
    <t>W 115-110</t>
  </si>
  <si>
    <t>W 121-111</t>
  </si>
  <si>
    <t>L 115-124</t>
  </si>
  <si>
    <t>W 95-80</t>
  </si>
  <si>
    <t>W 127-124</t>
  </si>
  <si>
    <t>W 114-109</t>
  </si>
  <si>
    <t>W 131-107</t>
  </si>
  <si>
    <t>W 132-105</t>
  </si>
  <si>
    <t>W 103-96</t>
  </si>
  <si>
    <t>W 124-121</t>
  </si>
  <si>
    <t>W 124-104</t>
  </si>
  <si>
    <t>L 102-117</t>
  </si>
  <si>
    <t>L 114-118</t>
  </si>
  <si>
    <t>W 120-90</t>
  </si>
  <si>
    <t>W 115-114</t>
  </si>
  <si>
    <t>L 122-132</t>
  </si>
  <si>
    <t>W 102-99</t>
  </si>
  <si>
    <t>L 112-117</t>
  </si>
  <si>
    <t>W 140-111</t>
  </si>
  <si>
    <t>W 131-115</t>
  </si>
  <si>
    <t>W 129-112</t>
  </si>
  <si>
    <t>W 129-102</t>
  </si>
  <si>
    <t>W 127-124 (OT)</t>
  </si>
  <si>
    <t>W 125-116</t>
  </si>
  <si>
    <t>W 140-130</t>
  </si>
  <si>
    <t>W 114-104</t>
  </si>
  <si>
    <t>W 107-103</t>
  </si>
  <si>
    <t>L 114-122</t>
  </si>
  <si>
    <t>L 96-117</t>
  </si>
  <si>
    <t>W 121-110</t>
  </si>
  <si>
    <t>L 109-113</t>
  </si>
  <si>
    <t>W 111-105</t>
  </si>
  <si>
    <t>L 109-116</t>
  </si>
  <si>
    <t>W 110-99</t>
  </si>
  <si>
    <t>L 114-125</t>
  </si>
  <si>
    <t>W 114-111</t>
  </si>
  <si>
    <t>L 103-118</t>
  </si>
  <si>
    <t>W 129-109</t>
  </si>
  <si>
    <t>L 94-103</t>
  </si>
  <si>
    <t>L 101-111</t>
  </si>
  <si>
    <t>W 110-80</t>
  </si>
  <si>
    <t>L 86-113</t>
  </si>
  <si>
    <t>L 90-123</t>
  </si>
  <si>
    <t>Not</t>
  </si>
  <si>
    <t>Dress,Did</t>
  </si>
  <si>
    <t>Did</t>
  </si>
  <si>
    <t>Did Not Play</t>
  </si>
  <si>
    <t>Inactiv</t>
  </si>
  <si>
    <t>Inacti</t>
  </si>
  <si>
    <t>Inact</t>
  </si>
  <si>
    <t>Di</t>
  </si>
  <si>
    <t>Dress</t>
  </si>
  <si>
    <t>ot D</t>
  </si>
  <si>
    <t>ress,Did N</t>
  </si>
  <si>
    <t>ress</t>
  </si>
  <si>
    <t>Did N</t>
  </si>
  <si>
    <t>L 113-115</t>
  </si>
  <si>
    <t>L 114-120</t>
  </si>
  <si>
    <t>W 116-86</t>
  </si>
  <si>
    <t>L 79-92</t>
  </si>
  <si>
    <t>L 92-111</t>
  </si>
  <si>
    <t>W 126-115</t>
  </si>
  <si>
    <t>W 104-84</t>
  </si>
  <si>
    <t>W 120-106</t>
  </si>
  <si>
    <t>W 117-109</t>
  </si>
  <si>
    <t>W 112-109</t>
  </si>
  <si>
    <t>L 90-100</t>
  </si>
  <si>
    <t>W 106-92</t>
  </si>
  <si>
    <t>L 81-94</t>
  </si>
  <si>
    <t>W 97-91</t>
  </si>
  <si>
    <t>L 104-112 (OT)</t>
  </si>
  <si>
    <t>W 107-96</t>
  </si>
  <si>
    <t>L 104-123</t>
  </si>
  <si>
    <t>W 119-115</t>
  </si>
  <si>
    <t>W 102-90</t>
  </si>
  <si>
    <t>W 106-104</t>
  </si>
  <si>
    <t>W 111-95</t>
  </si>
  <si>
    <t>L 103-124</t>
  </si>
  <si>
    <t>L 103-104</t>
  </si>
  <si>
    <t>L 92-116</t>
  </si>
  <si>
    <t>W 105-89</t>
  </si>
  <si>
    <t>L 100-103</t>
  </si>
  <si>
    <t>L 108-124</t>
  </si>
  <si>
    <t>W 91-82</t>
  </si>
  <si>
    <t>W 120-116</t>
  </si>
  <si>
    <t>L 104-122</t>
  </si>
  <si>
    <t>L 89-106</t>
  </si>
  <si>
    <t>W 106-93</t>
  </si>
  <si>
    <t>W 87-85</t>
  </si>
  <si>
    <t>L 89-113</t>
  </si>
  <si>
    <t>L 94-101</t>
  </si>
  <si>
    <t>W 139-133</t>
  </si>
  <si>
    <t>L 128-130 (OT)</t>
  </si>
  <si>
    <t>W 102-101</t>
  </si>
  <si>
    <t>L 102-110</t>
  </si>
  <si>
    <t>W 116-115</t>
  </si>
  <si>
    <t>W 111-102</t>
  </si>
  <si>
    <t>W 115-90</t>
  </si>
  <si>
    <t>L 116-122</t>
  </si>
  <si>
    <t>W 111-110</t>
  </si>
  <si>
    <t>L 113-137</t>
  </si>
  <si>
    <t>L 109-135</t>
  </si>
  <si>
    <t>L 105-112</t>
  </si>
  <si>
    <t>W 99-97</t>
  </si>
  <si>
    <t>L 96-103</t>
  </si>
  <si>
    <t>W 142-111</t>
  </si>
  <si>
    <t>W 99-98</t>
  </si>
  <si>
    <t>W 113-100</t>
  </si>
  <si>
    <t>W 132-111</t>
  </si>
  <si>
    <t>L 93-116</t>
  </si>
  <si>
    <t>L 97-112</t>
  </si>
  <si>
    <t>L 106-112</t>
  </si>
  <si>
    <t>W 106-102</t>
  </si>
  <si>
    <t>L 111-120 (OT)</t>
  </si>
  <si>
    <t>L 92-121</t>
  </si>
  <si>
    <t>L 115-127</t>
  </si>
  <si>
    <t>L 97-122</t>
  </si>
  <si>
    <t>W 121-115</t>
  </si>
  <si>
    <t>L 130-135 (OT)</t>
  </si>
  <si>
    <t>W 153-119</t>
  </si>
  <si>
    <t>W 119-100</t>
  </si>
  <si>
    <t>W 113-109</t>
  </si>
  <si>
    <t>W 117-98</t>
  </si>
  <si>
    <t>W 138-88</t>
  </si>
  <si>
    <t>L 104-127</t>
  </si>
  <si>
    <t>W 104-90</t>
  </si>
  <si>
    <t>L 93-106</t>
  </si>
  <si>
    <t>W 117-91</t>
  </si>
  <si>
    <t>W 117-108</t>
  </si>
  <si>
    <t>W 96-90</t>
  </si>
  <si>
    <t>W 116-103</t>
  </si>
  <si>
    <t>L 95-118</t>
  </si>
  <si>
    <t>W 123-90</t>
  </si>
  <si>
    <t>W 120-112</t>
  </si>
  <si>
    <t>W 120-96</t>
  </si>
  <si>
    <t>L 99-117</t>
  </si>
  <si>
    <t>W 109-99</t>
  </si>
  <si>
    <t>W 117-112</t>
  </si>
  <si>
    <t>W 123-104</t>
  </si>
  <si>
    <t>W 112-110</t>
  </si>
  <si>
    <t>W 110-105</t>
  </si>
  <si>
    <t>L 107-111</t>
  </si>
  <si>
    <t>L 104-114</t>
  </si>
  <si>
    <t>W 113-105</t>
  </si>
  <si>
    <t>W 116-104</t>
  </si>
  <si>
    <t>W 131-129 (OT)</t>
  </si>
  <si>
    <t>W 114-105</t>
  </si>
  <si>
    <t>L 93-100</t>
  </si>
  <si>
    <t>W 122-115</t>
  </si>
  <si>
    <t>W 124-108</t>
  </si>
  <si>
    <t>L 116-120</t>
  </si>
  <si>
    <t>L 104-118</t>
  </si>
  <si>
    <t>W 129-121</t>
  </si>
  <si>
    <t>L 109-121</t>
  </si>
  <si>
    <t>W 121-119 (OT)</t>
  </si>
  <si>
    <t>L 108-114</t>
  </si>
  <si>
    <t>W 138-112</t>
  </si>
  <si>
    <t>L 109-130</t>
  </si>
  <si>
    <t>W 120-105</t>
  </si>
  <si>
    <t>L 107-114</t>
  </si>
  <si>
    <t>W 119-118</t>
  </si>
  <si>
    <t>L 125-136</t>
  </si>
  <si>
    <t>L 96-106</t>
  </si>
  <si>
    <t>L 118-124</t>
  </si>
  <si>
    <t>L 106-110</t>
  </si>
  <si>
    <t>L 111-121</t>
  </si>
  <si>
    <t>L 101-112</t>
  </si>
  <si>
    <t>L 102-125</t>
  </si>
  <si>
    <t>L 91-126</t>
  </si>
  <si>
    <t>L 112-113</t>
  </si>
  <si>
    <t>W 100-87</t>
  </si>
  <si>
    <t>W 103-93</t>
  </si>
  <si>
    <t>L 87-135</t>
  </si>
  <si>
    <t>W 123-120</t>
  </si>
  <si>
    <t>W 133-102</t>
  </si>
  <si>
    <t>W 125-109</t>
  </si>
  <si>
    <t>W 123-108</t>
  </si>
  <si>
    <t>W 125-119</t>
  </si>
  <si>
    <t>W 121-106</t>
  </si>
  <si>
    <t>L 100-129</t>
  </si>
  <si>
    <t>W 116-114 (OT)</t>
  </si>
  <si>
    <t>L 110-114</t>
  </si>
  <si>
    <t>W 118-114</t>
  </si>
  <si>
    <t>W 111-101</t>
  </si>
  <si>
    <t>L 88-93</t>
  </si>
  <si>
    <t>W 113-106</t>
  </si>
  <si>
    <t>W 126-121</t>
  </si>
  <si>
    <t>W 122-97</t>
  </si>
  <si>
    <t>L 116-118</t>
  </si>
  <si>
    <t>L 94-102</t>
  </si>
  <si>
    <t>W 144-114</t>
  </si>
  <si>
    <t>W 112-108</t>
  </si>
  <si>
    <t>W 131-122</t>
  </si>
  <si>
    <t>L 114-119</t>
  </si>
  <si>
    <t>W 133-120</t>
  </si>
  <si>
    <t>W 118-106</t>
  </si>
  <si>
    <t>W 131-111</t>
  </si>
  <si>
    <t>W 104-101 (OT)</t>
  </si>
  <si>
    <t>L 88-103</t>
  </si>
  <si>
    <t>W 132-97</t>
  </si>
  <si>
    <t>L 92-106</t>
  </si>
  <si>
    <t>L 103-119</t>
  </si>
  <si>
    <t>W 99-79</t>
  </si>
  <si>
    <t>W 116-108</t>
  </si>
  <si>
    <t>L 85-120</t>
  </si>
  <si>
    <t>L 90-99</t>
  </si>
  <si>
    <t>L 111-115</t>
  </si>
  <si>
    <t>W 109-85</t>
  </si>
  <si>
    <t>W 111-106</t>
  </si>
  <si>
    <t>L 103-117</t>
  </si>
  <si>
    <t>L 106-129</t>
  </si>
  <si>
    <t>W 126-123</t>
  </si>
  <si>
    <t>L 97-133</t>
  </si>
  <si>
    <t>L 108-109</t>
  </si>
  <si>
    <t>L 120-126</t>
  </si>
  <si>
    <t>W 132-121</t>
  </si>
  <si>
    <t>W 129-100</t>
  </si>
  <si>
    <t>W 110-107</t>
  </si>
  <si>
    <t>W 150-108</t>
  </si>
  <si>
    <t>L 111-113</t>
  </si>
  <si>
    <t>W 128-123</t>
  </si>
  <si>
    <t>L 120-132</t>
  </si>
  <si>
    <t>W 110-95</t>
  </si>
  <si>
    <t>L 110-119</t>
  </si>
  <si>
    <t>W 130-123</t>
  </si>
  <si>
    <t>L 119-120 (OT)</t>
  </si>
  <si>
    <t>W 118-105</t>
  </si>
  <si>
    <t>W 118-107</t>
  </si>
  <si>
    <t>W 134-126</t>
  </si>
  <si>
    <t>L 114-115</t>
  </si>
  <si>
    <t>L 103-109</t>
  </si>
  <si>
    <t>L 112-116</t>
  </si>
  <si>
    <t>Player</t>
  </si>
  <si>
    <t>Klay Thompson</t>
  </si>
  <si>
    <t>Kevin Durant</t>
  </si>
  <si>
    <t>Jordan Poole</t>
  </si>
  <si>
    <t>James Harden</t>
  </si>
  <si>
    <t>Ivica  Zubac</t>
  </si>
  <si>
    <t>Draymond Green</t>
  </si>
  <si>
    <t>Devin Booker</t>
  </si>
  <si>
    <t>Chris Paul</t>
  </si>
  <si>
    <t>Anthony Davis</t>
  </si>
  <si>
    <t>Andrew Wiggins</t>
  </si>
  <si>
    <t>Steph Curry</t>
  </si>
  <si>
    <t>Kyrie Irving</t>
  </si>
  <si>
    <t>LeBron James</t>
  </si>
  <si>
    <t>Mikal Bridges</t>
  </si>
  <si>
    <t>Paul George</t>
  </si>
  <si>
    <t>Russell Westbrook</t>
  </si>
  <si>
    <t>Reggie Jackson</t>
  </si>
  <si>
    <t>Terance Mann</t>
  </si>
  <si>
    <t>Offense Four Factors</t>
  </si>
  <si>
    <t>Defense Four Factors</t>
  </si>
  <si>
    <t>TeamAbbr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</si>
  <si>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</si>
  <si>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</si>
  <si>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</si>
  <si>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</si>
  <si>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</si>
  <si>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</si>
  <si>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</si>
  <si>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</si>
  <si>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</si>
  <si>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</si>
  <si>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</si>
  <si>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</si>
  <si>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</si>
  <si>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</si>
  <si>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</si>
  <si>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WinPct</t>
  </si>
  <si>
    <t>TOV%</t>
  </si>
  <si>
    <t>ORB%</t>
  </si>
  <si>
    <t>FT/FGA</t>
  </si>
  <si>
    <t>DRB%</t>
  </si>
  <si>
    <t>Arena</t>
  </si>
  <si>
    <t>Attend.</t>
  </si>
  <si>
    <t>Attend./G</t>
  </si>
  <si>
    <t>Boston Celtics*</t>
  </si>
  <si>
    <t>TD Garden</t>
  </si>
  <si>
    <t>Phoenix Suns*</t>
  </si>
  <si>
    <t>Phoenix Suns Arena</t>
  </si>
  <si>
    <t>Utah Jazz*</t>
  </si>
  <si>
    <t>Vivint Smart Home Arena</t>
  </si>
  <si>
    <t>Memphis Grizzlies*</t>
  </si>
  <si>
    <t>FedEx Forum</t>
  </si>
  <si>
    <t>Golden State Warriors*</t>
  </si>
  <si>
    <t>Chase Center</t>
  </si>
  <si>
    <t>Miami Heat*</t>
  </si>
  <si>
    <t>FTX Arena</t>
  </si>
  <si>
    <t>Dallas Mavericks*</t>
  </si>
  <si>
    <t>American Airlines Center</t>
  </si>
  <si>
    <t>Milwaukee Bucks*</t>
  </si>
  <si>
    <t>Fiserv Forum</t>
  </si>
  <si>
    <t>Philadelphia 76ers*</t>
  </si>
  <si>
    <t>Wells Fargo Center</t>
  </si>
  <si>
    <t>Minnesota Timberwolves*</t>
  </si>
  <si>
    <t>Target Center</t>
  </si>
  <si>
    <t>Denver Nuggets*</t>
  </si>
  <si>
    <t>Ball Arena</t>
  </si>
  <si>
    <t>Toronto Raptors*</t>
  </si>
  <si>
    <t>Scotiabank Arena</t>
  </si>
  <si>
    <t>Cleveland Cavaliers</t>
  </si>
  <si>
    <t>Rocket Mortgage Fieldhouse</t>
  </si>
  <si>
    <t>Atlanta Hawks*</t>
  </si>
  <si>
    <t>State Farm Arena</t>
  </si>
  <si>
    <t>Brooklyn Nets*</t>
  </si>
  <si>
    <t>Barclays Center</t>
  </si>
  <si>
    <t>Charlotte Hornets</t>
  </si>
  <si>
    <t>Spectrum Center</t>
  </si>
  <si>
    <t>San Antonio Spurs</t>
  </si>
  <si>
    <t>AT&amp;T Center</t>
  </si>
  <si>
    <t>Los Angeles Clippers</t>
  </si>
  <si>
    <t>Crypto.com Arena</t>
  </si>
  <si>
    <t>New York Knicks</t>
  </si>
  <si>
    <t>Madison Square Garden (IV)</t>
  </si>
  <si>
    <t>Chicago Bulls*</t>
  </si>
  <si>
    <t>United Center</t>
  </si>
  <si>
    <t>New Orleans Pelicans*</t>
  </si>
  <si>
    <t>Smoothie King Center</t>
  </si>
  <si>
    <t>Los Angeles Lakers</t>
  </si>
  <si>
    <t>Washington Wizards</t>
  </si>
  <si>
    <t>Capital One Arena</t>
  </si>
  <si>
    <t>Indiana Pacers</t>
  </si>
  <si>
    <t>Gainbridge Fieldhouse</t>
  </si>
  <si>
    <t>Sacramento Kings</t>
  </si>
  <si>
    <t>Golden 1 Center</t>
  </si>
  <si>
    <t>Detroit Pistons</t>
  </si>
  <si>
    <t>Little Caesars Arena</t>
  </si>
  <si>
    <t>Orlando Magic</t>
  </si>
  <si>
    <t>Amway Center</t>
  </si>
  <si>
    <t>Oklahoma City Thunder</t>
  </si>
  <si>
    <t>Paycom Center</t>
  </si>
  <si>
    <t>Houston Rockets</t>
  </si>
  <si>
    <t>Toyota Center</t>
  </si>
  <si>
    <t>Portland Trail Blazers</t>
  </si>
  <si>
    <t>Moda Center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</si>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</sst>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4"/>
      <color rgb="FF000000"/>
      <name val="Arial Unicode MS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  <border>
      <left style="medium">
        <color rgb="FF949698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14" fontId="18" fillId="0" borderId="0" xfId="0" applyNumberFormat="1" applyFont="1" applyAlignment="1">
      <alignment wrapText="1"/>
    </xf>
    <xf numFmtId="20" fontId="0" fillId="0" borderId="0" xfId="0" applyNumberFormat="1"/>
    <xf numFmtId="20" fontId="18" fillId="0" borderId="0" xfId="0" applyNumberFormat="1" applyFont="1" applyAlignment="1">
      <alignment wrapText="1"/>
    </xf>
    <xf numFmtId="46" fontId="0" fillId="0" borderId="0" xfId="0" applyNumberFormat="1"/>
    <xf numFmtId="46" fontId="18" fillId="0" borderId="0" xfId="0" applyNumberFormat="1" applyFont="1" applyAlignment="1">
      <alignment wrapText="1"/>
    </xf>
    <xf numFmtId="0" fontId="20" fillId="0" borderId="0" xfId="0" applyFont="1"/>
    <xf numFmtId="0" fontId="21" fillId="0" borderId="0" xfId="0" applyFont="1"/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9" fontId="0" fillId="0" borderId="0" xfId="42" applyFont="1" applyAlignment="1">
      <alignment wrapText="1"/>
    </xf>
    <xf numFmtId="3" fontId="18" fillId="0" borderId="0" xfId="0" applyNumberFormat="1" applyFont="1" applyAlignment="1">
      <alignment wrapText="1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0335-F6A7-F74E-8B1B-FCDBC75DA5B5}">
  <dimension ref="A1:AI106"/>
  <sheetViews>
    <sheetView zoomScale="112" workbookViewId="0">
      <selection activeCell="H2" sqref="H2:H105"/>
    </sheetView>
  </sheetViews>
  <sheetFormatPr baseColWidth="10" defaultColWidth="8.83203125" defaultRowHeight="16" x14ac:dyDescent="0.2"/>
  <cols>
    <col min="2" max="2" width="3" bestFit="1" customWidth="1"/>
    <col min="3" max="3" width="4.33203125" bestFit="1" customWidth="1"/>
    <col min="4" max="4" width="4" bestFit="1" customWidth="1"/>
    <col min="5" max="5" width="8.5" bestFit="1" customWidth="1"/>
    <col min="6" max="6" width="5" bestFit="1" customWidth="1"/>
    <col min="7" max="7" width="2.5" bestFit="1" customWidth="1"/>
    <col min="8" max="8" width="4.33203125" bestFit="1" customWidth="1"/>
    <col min="10" max="10" width="3" bestFit="1" customWidth="1"/>
    <col min="11" max="11" width="8.1640625" bestFit="1" customWidth="1"/>
    <col min="12" max="12" width="3.6640625" bestFit="1" customWidth="1"/>
    <col min="13" max="13" width="4" bestFit="1" customWidth="1"/>
    <col min="14" max="14" width="5.33203125" bestFit="1" customWidth="1"/>
    <col min="15" max="15" width="2.83203125" bestFit="1" customWidth="1"/>
    <col min="16" max="16" width="3.83203125" bestFit="1" customWidth="1"/>
    <col min="17" max="17" width="5.33203125" bestFit="1" customWidth="1"/>
    <col min="18" max="18" width="3.6640625" bestFit="1" customWidth="1"/>
    <col min="19" max="19" width="3.83203125" bestFit="1" customWidth="1"/>
    <col min="20" max="21" width="5.33203125" bestFit="1" customWidth="1"/>
    <col min="22" max="22" width="3.6640625" bestFit="1" customWidth="1"/>
    <col min="23" max="23" width="3.83203125" bestFit="1" customWidth="1"/>
    <col min="24" max="24" width="5.33203125" bestFit="1" customWidth="1"/>
    <col min="25" max="25" width="4.33203125" bestFit="1" customWidth="1"/>
    <col min="26" max="26" width="4.1640625" bestFit="1" customWidth="1"/>
    <col min="27" max="27" width="4" bestFit="1" customWidth="1"/>
    <col min="28" max="28" width="3.83203125" bestFit="1" customWidth="1"/>
    <col min="29" max="29" width="3.6640625" bestFit="1" customWidth="1"/>
    <col min="30" max="31" width="4" bestFit="1" customWidth="1"/>
    <col min="32" max="32" width="2.83203125" bestFit="1" customWidth="1"/>
    <col min="33" max="33" width="3.6640625" bestFit="1" customWidth="1"/>
    <col min="34" max="34" width="5.1640625" bestFit="1" customWidth="1"/>
    <col min="35" max="35" width="3.6640625" bestFit="1" customWidth="1"/>
  </cols>
  <sheetData>
    <row r="1" spans="1:35" x14ac:dyDescent="0.2">
      <c r="A1" t="s">
        <v>544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</row>
    <row r="2" spans="1:35" x14ac:dyDescent="0.2">
      <c r="A2" t="s">
        <v>555</v>
      </c>
      <c r="B2" s="1">
        <v>1</v>
      </c>
      <c r="C2" s="3">
        <v>113</v>
      </c>
      <c r="D2" s="3">
        <v>1</v>
      </c>
      <c r="E2" s="6">
        <v>44667</v>
      </c>
      <c r="F2" s="3" t="s">
        <v>33</v>
      </c>
      <c r="G2" s="2"/>
      <c r="H2" s="3" t="s">
        <v>34</v>
      </c>
      <c r="I2" s="3" t="s">
        <v>35</v>
      </c>
      <c r="J2" s="2"/>
      <c r="K2" s="8">
        <v>0.90347222222222223</v>
      </c>
      <c r="L2" s="3">
        <v>5</v>
      </c>
      <c r="M2" s="3">
        <v>13</v>
      </c>
      <c r="N2" s="3">
        <v>0.38500000000000001</v>
      </c>
      <c r="O2" s="3">
        <v>3</v>
      </c>
      <c r="P2" s="3">
        <v>6</v>
      </c>
      <c r="Q2" s="3">
        <v>0.5</v>
      </c>
      <c r="R2" s="3">
        <v>2</v>
      </c>
      <c r="S2" s="3">
        <v>7</v>
      </c>
      <c r="T2" s="3">
        <v>0.28599999999999998</v>
      </c>
      <c r="U2" s="3">
        <v>0.5</v>
      </c>
      <c r="V2" s="3">
        <v>3</v>
      </c>
      <c r="W2" s="3">
        <v>3</v>
      </c>
      <c r="X2" s="3">
        <v>1</v>
      </c>
      <c r="Y2" s="3">
        <v>2</v>
      </c>
      <c r="Z2" s="3">
        <v>1</v>
      </c>
      <c r="AA2" s="3">
        <v>3</v>
      </c>
      <c r="AB2" s="3">
        <v>4</v>
      </c>
      <c r="AC2" s="3">
        <v>1</v>
      </c>
      <c r="AD2" s="3">
        <v>0</v>
      </c>
      <c r="AE2" s="3">
        <v>1</v>
      </c>
      <c r="AF2" s="3">
        <v>1</v>
      </c>
      <c r="AG2" s="3">
        <v>16</v>
      </c>
      <c r="AH2" s="3">
        <v>13</v>
      </c>
      <c r="AI2" s="3">
        <v>17</v>
      </c>
    </row>
    <row r="3" spans="1:35" x14ac:dyDescent="0.2">
      <c r="A3" t="s">
        <v>555</v>
      </c>
      <c r="B3" s="1">
        <v>2</v>
      </c>
      <c r="C3" s="3">
        <v>114</v>
      </c>
      <c r="D3" s="3">
        <v>2</v>
      </c>
      <c r="E3" s="6">
        <v>44669</v>
      </c>
      <c r="F3" s="3" t="s">
        <v>33</v>
      </c>
      <c r="G3" s="2"/>
      <c r="H3" s="3" t="s">
        <v>34</v>
      </c>
      <c r="I3" s="3" t="s">
        <v>36</v>
      </c>
      <c r="J3" s="2"/>
      <c r="K3" s="8">
        <v>0.95625000000000004</v>
      </c>
      <c r="L3" s="3">
        <v>12</v>
      </c>
      <c r="M3" s="3">
        <v>17</v>
      </c>
      <c r="N3" s="3">
        <v>0.70599999999999996</v>
      </c>
      <c r="O3" s="3">
        <v>5</v>
      </c>
      <c r="P3" s="3">
        <v>10</v>
      </c>
      <c r="Q3" s="3">
        <v>0.5</v>
      </c>
      <c r="R3" s="3">
        <v>7</v>
      </c>
      <c r="S3" s="3">
        <v>7</v>
      </c>
      <c r="T3" s="3">
        <v>1</v>
      </c>
      <c r="U3" s="3">
        <v>0.85299999999999998</v>
      </c>
      <c r="V3" s="3">
        <v>5</v>
      </c>
      <c r="W3" s="3">
        <v>7</v>
      </c>
      <c r="X3" s="3">
        <v>0.71399999999999997</v>
      </c>
      <c r="Y3" s="3">
        <v>0</v>
      </c>
      <c r="Z3" s="3">
        <v>3</v>
      </c>
      <c r="AA3" s="3">
        <v>3</v>
      </c>
      <c r="AB3" s="3">
        <v>4</v>
      </c>
      <c r="AC3" s="3">
        <v>1</v>
      </c>
      <c r="AD3" s="3">
        <v>1</v>
      </c>
      <c r="AE3" s="3">
        <v>2</v>
      </c>
      <c r="AF3" s="3">
        <v>3</v>
      </c>
      <c r="AG3" s="3">
        <v>34</v>
      </c>
      <c r="AH3" s="3">
        <v>28.3</v>
      </c>
      <c r="AI3" s="3">
        <v>32</v>
      </c>
    </row>
    <row r="4" spans="1:35" x14ac:dyDescent="0.2">
      <c r="A4" t="s">
        <v>555</v>
      </c>
      <c r="B4" s="1">
        <v>3</v>
      </c>
      <c r="C4" s="3">
        <v>115</v>
      </c>
      <c r="D4" s="3">
        <v>3</v>
      </c>
      <c r="E4" s="6">
        <v>44672</v>
      </c>
      <c r="F4" s="3" t="s">
        <v>33</v>
      </c>
      <c r="G4" s="3" t="s">
        <v>37</v>
      </c>
      <c r="H4" s="3" t="s">
        <v>34</v>
      </c>
      <c r="I4" s="3" t="s">
        <v>38</v>
      </c>
      <c r="J4" s="2"/>
      <c r="K4" s="10">
        <v>1.28125</v>
      </c>
      <c r="L4" s="3">
        <v>9</v>
      </c>
      <c r="M4" s="3">
        <v>17</v>
      </c>
      <c r="N4" s="3">
        <v>0.52900000000000003</v>
      </c>
      <c r="O4" s="3">
        <v>3</v>
      </c>
      <c r="P4" s="3">
        <v>9</v>
      </c>
      <c r="Q4" s="3">
        <v>0.33300000000000002</v>
      </c>
      <c r="R4" s="3">
        <v>6</v>
      </c>
      <c r="S4" s="3">
        <v>8</v>
      </c>
      <c r="T4" s="3">
        <v>0.75</v>
      </c>
      <c r="U4" s="3">
        <v>0.61799999999999999</v>
      </c>
      <c r="V4" s="3">
        <v>6</v>
      </c>
      <c r="W4" s="3">
        <v>8</v>
      </c>
      <c r="X4" s="3">
        <v>0.75</v>
      </c>
      <c r="Y4" s="3">
        <v>0</v>
      </c>
      <c r="Z4" s="3">
        <v>3</v>
      </c>
      <c r="AA4" s="3">
        <v>3</v>
      </c>
      <c r="AB4" s="3">
        <v>6</v>
      </c>
      <c r="AC4" s="3">
        <v>0</v>
      </c>
      <c r="AD4" s="3">
        <v>0</v>
      </c>
      <c r="AE4" s="3">
        <v>4</v>
      </c>
      <c r="AF4" s="3">
        <v>3</v>
      </c>
      <c r="AG4" s="3">
        <v>27</v>
      </c>
      <c r="AH4" s="3">
        <v>17.8</v>
      </c>
      <c r="AI4" s="3">
        <v>3</v>
      </c>
    </row>
    <row r="5" spans="1:35" x14ac:dyDescent="0.2">
      <c r="A5" t="s">
        <v>555</v>
      </c>
      <c r="B5" s="1">
        <v>4</v>
      </c>
      <c r="C5" s="3">
        <v>116</v>
      </c>
      <c r="D5" s="3">
        <v>4</v>
      </c>
      <c r="E5" s="6">
        <v>44675</v>
      </c>
      <c r="F5" s="3" t="s">
        <v>33</v>
      </c>
      <c r="G5" s="3" t="s">
        <v>37</v>
      </c>
      <c r="H5" s="3" t="s">
        <v>34</v>
      </c>
      <c r="I5" s="3" t="s">
        <v>39</v>
      </c>
      <c r="J5" s="2"/>
      <c r="K5" s="10">
        <v>1.5347222222222223</v>
      </c>
      <c r="L5" s="3">
        <v>10</v>
      </c>
      <c r="M5" s="3">
        <v>23</v>
      </c>
      <c r="N5" s="3">
        <v>0.435</v>
      </c>
      <c r="O5" s="3">
        <v>3</v>
      </c>
      <c r="P5" s="3">
        <v>11</v>
      </c>
      <c r="Q5" s="3">
        <v>0.27300000000000002</v>
      </c>
      <c r="R5" s="3">
        <v>7</v>
      </c>
      <c r="S5" s="3">
        <v>12</v>
      </c>
      <c r="T5" s="3">
        <v>0.58299999999999996</v>
      </c>
      <c r="U5" s="3">
        <v>0.5</v>
      </c>
      <c r="V5" s="3">
        <v>10</v>
      </c>
      <c r="W5" s="3">
        <v>14</v>
      </c>
      <c r="X5" s="3">
        <v>0.71399999999999997</v>
      </c>
      <c r="Y5" s="3">
        <v>0</v>
      </c>
      <c r="Z5" s="3">
        <v>3</v>
      </c>
      <c r="AA5" s="3">
        <v>3</v>
      </c>
      <c r="AB5" s="3">
        <v>8</v>
      </c>
      <c r="AC5" s="3">
        <v>4</v>
      </c>
      <c r="AD5" s="3">
        <v>1</v>
      </c>
      <c r="AE5" s="3">
        <v>2</v>
      </c>
      <c r="AF5" s="3">
        <v>1</v>
      </c>
      <c r="AG5" s="3">
        <v>33</v>
      </c>
      <c r="AH5" s="3">
        <v>28.1</v>
      </c>
      <c r="AI5" s="3">
        <v>-4</v>
      </c>
    </row>
    <row r="6" spans="1:35" x14ac:dyDescent="0.2">
      <c r="A6" t="s">
        <v>555</v>
      </c>
      <c r="B6" s="1">
        <v>5</v>
      </c>
      <c r="C6" s="3">
        <v>117</v>
      </c>
      <c r="D6" s="3">
        <v>5</v>
      </c>
      <c r="E6" s="6">
        <v>44678</v>
      </c>
      <c r="F6" s="3" t="s">
        <v>33</v>
      </c>
      <c r="G6" s="2"/>
      <c r="H6" s="3" t="s">
        <v>34</v>
      </c>
      <c r="I6" s="3" t="s">
        <v>40</v>
      </c>
      <c r="J6" s="3" t="s">
        <v>41</v>
      </c>
      <c r="K6" s="10">
        <v>1.5770833333333334</v>
      </c>
      <c r="L6" s="3">
        <v>10</v>
      </c>
      <c r="M6" s="3">
        <v>22</v>
      </c>
      <c r="N6" s="3">
        <v>0.45500000000000002</v>
      </c>
      <c r="O6" s="3">
        <v>5</v>
      </c>
      <c r="P6" s="3">
        <v>11</v>
      </c>
      <c r="Q6" s="3">
        <v>0.45500000000000002</v>
      </c>
      <c r="R6" s="3">
        <v>5</v>
      </c>
      <c r="S6" s="3">
        <v>11</v>
      </c>
      <c r="T6" s="3">
        <v>0.45500000000000002</v>
      </c>
      <c r="U6" s="3">
        <v>0.56799999999999995</v>
      </c>
      <c r="V6" s="3">
        <v>5</v>
      </c>
      <c r="W6" s="3">
        <v>7</v>
      </c>
      <c r="X6" s="3">
        <v>0.71399999999999997</v>
      </c>
      <c r="Y6" s="3">
        <v>1</v>
      </c>
      <c r="Z6" s="3">
        <v>4</v>
      </c>
      <c r="AA6" s="3">
        <v>5</v>
      </c>
      <c r="AB6" s="3">
        <v>5</v>
      </c>
      <c r="AC6" s="3">
        <v>2</v>
      </c>
      <c r="AD6" s="3">
        <v>0</v>
      </c>
      <c r="AE6" s="3">
        <v>5</v>
      </c>
      <c r="AF6" s="3">
        <v>2</v>
      </c>
      <c r="AG6" s="3">
        <v>30</v>
      </c>
      <c r="AH6" s="3">
        <v>19.399999999999999</v>
      </c>
      <c r="AI6" s="3">
        <v>7</v>
      </c>
    </row>
    <row r="7" spans="1:35" x14ac:dyDescent="0.2">
      <c r="A7" t="s">
        <v>555</v>
      </c>
      <c r="B7" s="1">
        <v>6</v>
      </c>
      <c r="C7" s="3">
        <v>118</v>
      </c>
      <c r="D7" s="3">
        <v>6</v>
      </c>
      <c r="E7" s="6">
        <v>44682</v>
      </c>
      <c r="F7" s="3" t="s">
        <v>33</v>
      </c>
      <c r="G7" s="3" t="s">
        <v>37</v>
      </c>
      <c r="H7" s="3" t="s">
        <v>42</v>
      </c>
      <c r="I7" s="3" t="s">
        <v>43</v>
      </c>
      <c r="J7" s="3" t="s">
        <v>41</v>
      </c>
      <c r="K7" s="10">
        <v>1.5458333333333334</v>
      </c>
      <c r="L7" s="3">
        <v>8</v>
      </c>
      <c r="M7" s="3">
        <v>20</v>
      </c>
      <c r="N7" s="3">
        <v>0.4</v>
      </c>
      <c r="O7" s="3">
        <v>5</v>
      </c>
      <c r="P7" s="3">
        <v>12</v>
      </c>
      <c r="Q7" s="3">
        <v>0.41699999999999998</v>
      </c>
      <c r="R7" s="3">
        <v>3</v>
      </c>
      <c r="S7" s="3">
        <v>8</v>
      </c>
      <c r="T7" s="3">
        <v>0.375</v>
      </c>
      <c r="U7" s="3">
        <v>0.52500000000000002</v>
      </c>
      <c r="V7" s="3">
        <v>3</v>
      </c>
      <c r="W7" s="3">
        <v>4</v>
      </c>
      <c r="X7" s="3">
        <v>0.75</v>
      </c>
      <c r="Y7" s="3">
        <v>0</v>
      </c>
      <c r="Z7" s="3">
        <v>3</v>
      </c>
      <c r="AA7" s="3">
        <v>3</v>
      </c>
      <c r="AB7" s="3">
        <v>4</v>
      </c>
      <c r="AC7" s="3">
        <v>0</v>
      </c>
      <c r="AD7" s="3">
        <v>1</v>
      </c>
      <c r="AE7" s="3">
        <v>1</v>
      </c>
      <c r="AF7" s="3">
        <v>5</v>
      </c>
      <c r="AG7" s="3">
        <v>24</v>
      </c>
      <c r="AH7" s="3">
        <v>14.2</v>
      </c>
      <c r="AI7" s="3">
        <v>-9</v>
      </c>
    </row>
    <row r="8" spans="1:35" x14ac:dyDescent="0.2">
      <c r="A8" t="s">
        <v>555</v>
      </c>
      <c r="B8" s="1">
        <v>7</v>
      </c>
      <c r="C8" s="3">
        <v>119</v>
      </c>
      <c r="D8" s="3">
        <v>7</v>
      </c>
      <c r="E8" s="6">
        <v>44684</v>
      </c>
      <c r="F8" s="3" t="s">
        <v>33</v>
      </c>
      <c r="G8" s="3" t="s">
        <v>37</v>
      </c>
      <c r="H8" s="3" t="s">
        <v>42</v>
      </c>
      <c r="I8" s="3" t="s">
        <v>44</v>
      </c>
      <c r="J8" s="3" t="s">
        <v>41</v>
      </c>
      <c r="K8" s="10">
        <v>1.64375</v>
      </c>
      <c r="L8" s="3">
        <v>11</v>
      </c>
      <c r="M8" s="3">
        <v>25</v>
      </c>
      <c r="N8" s="3">
        <v>0.44</v>
      </c>
      <c r="O8" s="3">
        <v>3</v>
      </c>
      <c r="P8" s="3">
        <v>11</v>
      </c>
      <c r="Q8" s="3">
        <v>0.27300000000000002</v>
      </c>
      <c r="R8" s="3">
        <v>8</v>
      </c>
      <c r="S8" s="3">
        <v>14</v>
      </c>
      <c r="T8" s="3">
        <v>0.57099999999999995</v>
      </c>
      <c r="U8" s="3">
        <v>0.5</v>
      </c>
      <c r="V8" s="3">
        <v>2</v>
      </c>
      <c r="W8" s="3">
        <v>2</v>
      </c>
      <c r="X8" s="3">
        <v>1</v>
      </c>
      <c r="Y8" s="3">
        <v>3</v>
      </c>
      <c r="Z8" s="3">
        <v>6</v>
      </c>
      <c r="AA8" s="3">
        <v>9</v>
      </c>
      <c r="AB8" s="3">
        <v>8</v>
      </c>
      <c r="AC8" s="3">
        <v>1</v>
      </c>
      <c r="AD8" s="3">
        <v>0</v>
      </c>
      <c r="AE8" s="3">
        <v>5</v>
      </c>
      <c r="AF8" s="3">
        <v>1</v>
      </c>
      <c r="AG8" s="3">
        <v>27</v>
      </c>
      <c r="AH8" s="3">
        <v>19</v>
      </c>
      <c r="AI8" s="3">
        <v>-11</v>
      </c>
    </row>
    <row r="9" spans="1:35" x14ac:dyDescent="0.2">
      <c r="A9" t="s">
        <v>555</v>
      </c>
      <c r="B9" s="1">
        <v>8</v>
      </c>
      <c r="C9" s="3">
        <v>120</v>
      </c>
      <c r="D9" s="3">
        <v>8</v>
      </c>
      <c r="E9" s="6">
        <v>44688</v>
      </c>
      <c r="F9" s="3" t="s">
        <v>33</v>
      </c>
      <c r="G9" s="2"/>
      <c r="H9" s="3" t="s">
        <v>42</v>
      </c>
      <c r="I9" s="3" t="s">
        <v>45</v>
      </c>
      <c r="J9" s="3" t="s">
        <v>41</v>
      </c>
      <c r="K9" s="10">
        <v>1.4458333333333333</v>
      </c>
      <c r="L9" s="3">
        <v>7</v>
      </c>
      <c r="M9" s="3">
        <v>14</v>
      </c>
      <c r="N9" s="3">
        <v>0.5</v>
      </c>
      <c r="O9" s="3">
        <v>2</v>
      </c>
      <c r="P9" s="3">
        <v>8</v>
      </c>
      <c r="Q9" s="3">
        <v>0.25</v>
      </c>
      <c r="R9" s="3">
        <v>5</v>
      </c>
      <c r="S9" s="3">
        <v>6</v>
      </c>
      <c r="T9" s="3">
        <v>0.83299999999999996</v>
      </c>
      <c r="U9" s="3">
        <v>0.57099999999999995</v>
      </c>
      <c r="V9" s="3">
        <v>14</v>
      </c>
      <c r="W9" s="3">
        <v>14</v>
      </c>
      <c r="X9" s="3">
        <v>1</v>
      </c>
      <c r="Y9" s="3">
        <v>0</v>
      </c>
      <c r="Z9" s="3">
        <v>2</v>
      </c>
      <c r="AA9" s="3">
        <v>2</v>
      </c>
      <c r="AB9" s="3">
        <v>6</v>
      </c>
      <c r="AC9" s="3">
        <v>1</v>
      </c>
      <c r="AD9" s="3">
        <v>0</v>
      </c>
      <c r="AE9" s="3">
        <v>1</v>
      </c>
      <c r="AF9" s="3">
        <v>2</v>
      </c>
      <c r="AG9" s="3">
        <v>30</v>
      </c>
      <c r="AH9" s="3">
        <v>27</v>
      </c>
      <c r="AI9" s="3">
        <v>21</v>
      </c>
    </row>
    <row r="10" spans="1:35" x14ac:dyDescent="0.2">
      <c r="A10" t="s">
        <v>555</v>
      </c>
      <c r="B10" s="1">
        <v>9</v>
      </c>
      <c r="C10" s="3">
        <v>121</v>
      </c>
      <c r="D10" s="3">
        <v>9</v>
      </c>
      <c r="E10" s="6">
        <v>44690</v>
      </c>
      <c r="F10" s="3" t="s">
        <v>33</v>
      </c>
      <c r="G10" s="2"/>
      <c r="H10" s="3" t="s">
        <v>42</v>
      </c>
      <c r="I10" s="3" t="s">
        <v>46</v>
      </c>
      <c r="J10" s="3" t="s">
        <v>41</v>
      </c>
      <c r="K10" s="10">
        <v>1.5708333333333333</v>
      </c>
      <c r="L10" s="3">
        <v>10</v>
      </c>
      <c r="M10" s="3">
        <v>25</v>
      </c>
      <c r="N10" s="3">
        <v>0.4</v>
      </c>
      <c r="O10" s="3">
        <v>4</v>
      </c>
      <c r="P10" s="3">
        <v>14</v>
      </c>
      <c r="Q10" s="3">
        <v>0.28599999999999998</v>
      </c>
      <c r="R10" s="3">
        <v>6</v>
      </c>
      <c r="S10" s="3">
        <v>11</v>
      </c>
      <c r="T10" s="3">
        <v>0.54500000000000004</v>
      </c>
      <c r="U10" s="3">
        <v>0.48</v>
      </c>
      <c r="V10" s="3">
        <v>8</v>
      </c>
      <c r="W10" s="3">
        <v>9</v>
      </c>
      <c r="X10" s="3">
        <v>0.88900000000000001</v>
      </c>
      <c r="Y10" s="3">
        <v>0</v>
      </c>
      <c r="Z10" s="3">
        <v>5</v>
      </c>
      <c r="AA10" s="3">
        <v>5</v>
      </c>
      <c r="AB10" s="3">
        <v>8</v>
      </c>
      <c r="AC10" s="3">
        <v>1</v>
      </c>
      <c r="AD10" s="3">
        <v>0</v>
      </c>
      <c r="AE10" s="3">
        <v>3</v>
      </c>
      <c r="AF10" s="3">
        <v>3</v>
      </c>
      <c r="AG10" s="3">
        <v>32</v>
      </c>
      <c r="AH10" s="3">
        <v>22</v>
      </c>
      <c r="AI10" s="3">
        <v>6</v>
      </c>
    </row>
    <row r="11" spans="1:35" x14ac:dyDescent="0.2">
      <c r="A11" t="s">
        <v>555</v>
      </c>
      <c r="B11" s="1">
        <v>10</v>
      </c>
      <c r="C11" s="3">
        <v>122</v>
      </c>
      <c r="D11" s="3">
        <v>10</v>
      </c>
      <c r="E11" s="6">
        <v>44692</v>
      </c>
      <c r="F11" s="3" t="s">
        <v>33</v>
      </c>
      <c r="G11" s="3" t="s">
        <v>37</v>
      </c>
      <c r="H11" s="3" t="s">
        <v>42</v>
      </c>
      <c r="I11" s="3" t="s">
        <v>47</v>
      </c>
      <c r="J11" s="3" t="s">
        <v>41</v>
      </c>
      <c r="K11" s="10">
        <v>1.0416666666666667</v>
      </c>
      <c r="L11" s="3">
        <v>4</v>
      </c>
      <c r="M11" s="3">
        <v>10</v>
      </c>
      <c r="N11" s="3">
        <v>0.4</v>
      </c>
      <c r="O11" s="3">
        <v>3</v>
      </c>
      <c r="P11" s="3">
        <v>8</v>
      </c>
      <c r="Q11" s="3">
        <v>0.375</v>
      </c>
      <c r="R11" s="3">
        <v>1</v>
      </c>
      <c r="S11" s="3">
        <v>2</v>
      </c>
      <c r="T11" s="3">
        <v>0.5</v>
      </c>
      <c r="U11" s="3">
        <v>0.55000000000000004</v>
      </c>
      <c r="V11" s="3">
        <v>3</v>
      </c>
      <c r="W11" s="3">
        <v>4</v>
      </c>
      <c r="X11" s="3">
        <v>0.75</v>
      </c>
      <c r="Y11" s="3">
        <v>0</v>
      </c>
      <c r="Z11" s="3">
        <v>3</v>
      </c>
      <c r="AA11" s="3">
        <v>3</v>
      </c>
      <c r="AB11" s="3">
        <v>4</v>
      </c>
      <c r="AC11" s="3">
        <v>0</v>
      </c>
      <c r="AD11" s="3">
        <v>0</v>
      </c>
      <c r="AE11" s="3">
        <v>2</v>
      </c>
      <c r="AF11" s="3">
        <v>1</v>
      </c>
      <c r="AG11" s="3">
        <v>14</v>
      </c>
      <c r="AH11" s="3">
        <v>9.5</v>
      </c>
      <c r="AI11" s="3">
        <v>-37</v>
      </c>
    </row>
    <row r="12" spans="1:35" x14ac:dyDescent="0.2">
      <c r="A12" t="s">
        <v>555</v>
      </c>
      <c r="B12" s="1">
        <v>11</v>
      </c>
      <c r="C12" s="3">
        <v>123</v>
      </c>
      <c r="D12" s="3">
        <v>11</v>
      </c>
      <c r="E12" s="6">
        <v>44694</v>
      </c>
      <c r="F12" s="3" t="s">
        <v>33</v>
      </c>
      <c r="G12" s="2"/>
      <c r="H12" s="3" t="s">
        <v>42</v>
      </c>
      <c r="I12" s="3" t="s">
        <v>48</v>
      </c>
      <c r="J12" s="3" t="s">
        <v>41</v>
      </c>
      <c r="K12" s="10">
        <v>1.675</v>
      </c>
      <c r="L12" s="3">
        <v>10</v>
      </c>
      <c r="M12" s="3">
        <v>27</v>
      </c>
      <c r="N12" s="3">
        <v>0.37</v>
      </c>
      <c r="O12" s="3">
        <v>6</v>
      </c>
      <c r="P12" s="3">
        <v>17</v>
      </c>
      <c r="Q12" s="3">
        <v>0.35299999999999998</v>
      </c>
      <c r="R12" s="3">
        <v>4</v>
      </c>
      <c r="S12" s="3">
        <v>10</v>
      </c>
      <c r="T12" s="3">
        <v>0.4</v>
      </c>
      <c r="U12" s="3">
        <v>0.48099999999999998</v>
      </c>
      <c r="V12" s="3">
        <v>3</v>
      </c>
      <c r="W12" s="3">
        <v>4</v>
      </c>
      <c r="X12" s="3">
        <v>0.75</v>
      </c>
      <c r="Y12" s="3">
        <v>0</v>
      </c>
      <c r="Z12" s="3">
        <v>7</v>
      </c>
      <c r="AA12" s="3">
        <v>7</v>
      </c>
      <c r="AB12" s="3">
        <v>5</v>
      </c>
      <c r="AC12" s="3">
        <v>1</v>
      </c>
      <c r="AD12" s="3">
        <v>2</v>
      </c>
      <c r="AE12" s="3">
        <v>3</v>
      </c>
      <c r="AF12" s="3">
        <v>3</v>
      </c>
      <c r="AG12" s="3">
        <v>29</v>
      </c>
      <c r="AH12" s="3">
        <v>17.5</v>
      </c>
      <c r="AI12" s="3">
        <v>16</v>
      </c>
    </row>
    <row r="13" spans="1:35" x14ac:dyDescent="0.2">
      <c r="A13" t="s">
        <v>555</v>
      </c>
      <c r="B13" s="1">
        <v>12</v>
      </c>
      <c r="C13" s="3">
        <v>124</v>
      </c>
      <c r="D13" s="3">
        <v>12</v>
      </c>
      <c r="E13" s="6">
        <v>44699</v>
      </c>
      <c r="F13" s="3" t="s">
        <v>33</v>
      </c>
      <c r="G13" s="2"/>
      <c r="H13" s="3" t="s">
        <v>49</v>
      </c>
      <c r="I13" s="3" t="s">
        <v>50</v>
      </c>
      <c r="J13" s="3" t="s">
        <v>41</v>
      </c>
      <c r="K13" s="10">
        <v>1.2805555555555554</v>
      </c>
      <c r="L13" s="3">
        <v>7</v>
      </c>
      <c r="M13" s="3">
        <v>16</v>
      </c>
      <c r="N13" s="3">
        <v>0.438</v>
      </c>
      <c r="O13" s="3">
        <v>3</v>
      </c>
      <c r="P13" s="3">
        <v>9</v>
      </c>
      <c r="Q13" s="3">
        <v>0.33300000000000002</v>
      </c>
      <c r="R13" s="3">
        <v>4</v>
      </c>
      <c r="S13" s="3">
        <v>7</v>
      </c>
      <c r="T13" s="3">
        <v>0.57099999999999995</v>
      </c>
      <c r="U13" s="3">
        <v>0.53100000000000003</v>
      </c>
      <c r="V13" s="3">
        <v>4</v>
      </c>
      <c r="W13" s="3">
        <v>7</v>
      </c>
      <c r="X13" s="3">
        <v>0.57099999999999995</v>
      </c>
      <c r="Y13" s="3">
        <v>2</v>
      </c>
      <c r="Z13" s="3">
        <v>10</v>
      </c>
      <c r="AA13" s="3">
        <v>12</v>
      </c>
      <c r="AB13" s="3">
        <v>4</v>
      </c>
      <c r="AC13" s="3">
        <v>1</v>
      </c>
      <c r="AD13" s="3">
        <v>1</v>
      </c>
      <c r="AE13" s="3">
        <v>3</v>
      </c>
      <c r="AF13" s="3">
        <v>3</v>
      </c>
      <c r="AG13" s="3">
        <v>21</v>
      </c>
      <c r="AH13" s="3">
        <v>16.100000000000001</v>
      </c>
      <c r="AI13" s="3">
        <v>23</v>
      </c>
    </row>
    <row r="14" spans="1:35" x14ac:dyDescent="0.2">
      <c r="A14" t="s">
        <v>555</v>
      </c>
      <c r="B14" s="1">
        <v>13</v>
      </c>
      <c r="C14" s="3">
        <v>125</v>
      </c>
      <c r="D14" s="3">
        <v>13</v>
      </c>
      <c r="E14" s="6">
        <v>44701</v>
      </c>
      <c r="F14" s="3" t="s">
        <v>33</v>
      </c>
      <c r="G14" s="2"/>
      <c r="H14" s="3" t="s">
        <v>49</v>
      </c>
      <c r="I14" s="3" t="s">
        <v>51</v>
      </c>
      <c r="J14" s="3" t="s">
        <v>41</v>
      </c>
      <c r="K14" s="10">
        <v>1.5423611111111111</v>
      </c>
      <c r="L14" s="3">
        <v>11</v>
      </c>
      <c r="M14" s="3">
        <v>21</v>
      </c>
      <c r="N14" s="3">
        <v>0.52400000000000002</v>
      </c>
      <c r="O14" s="3">
        <v>6</v>
      </c>
      <c r="P14" s="3">
        <v>10</v>
      </c>
      <c r="Q14" s="3">
        <v>0.6</v>
      </c>
      <c r="R14" s="3">
        <v>5</v>
      </c>
      <c r="S14" s="3">
        <v>11</v>
      </c>
      <c r="T14" s="3">
        <v>0.45500000000000002</v>
      </c>
      <c r="U14" s="3">
        <v>0.66700000000000004</v>
      </c>
      <c r="V14" s="3">
        <v>4</v>
      </c>
      <c r="W14" s="3">
        <v>4</v>
      </c>
      <c r="X14" s="3">
        <v>1</v>
      </c>
      <c r="Y14" s="3">
        <v>0</v>
      </c>
      <c r="Z14" s="3">
        <v>8</v>
      </c>
      <c r="AA14" s="3">
        <v>8</v>
      </c>
      <c r="AB14" s="3">
        <v>5</v>
      </c>
      <c r="AC14" s="3">
        <v>0</v>
      </c>
      <c r="AD14" s="3">
        <v>0</v>
      </c>
      <c r="AE14" s="3">
        <v>3</v>
      </c>
      <c r="AF14" s="3">
        <v>4</v>
      </c>
      <c r="AG14" s="3">
        <v>32</v>
      </c>
      <c r="AH14" s="3">
        <v>23</v>
      </c>
      <c r="AI14" s="3">
        <v>15</v>
      </c>
    </row>
    <row r="15" spans="1:35" x14ac:dyDescent="0.2">
      <c r="A15" t="s">
        <v>555</v>
      </c>
      <c r="B15" s="1">
        <v>14</v>
      </c>
      <c r="C15" s="3">
        <v>126</v>
      </c>
      <c r="D15" s="3">
        <v>14</v>
      </c>
      <c r="E15" s="6">
        <v>44703</v>
      </c>
      <c r="F15" s="3" t="s">
        <v>33</v>
      </c>
      <c r="G15" s="3" t="s">
        <v>37</v>
      </c>
      <c r="H15" s="3" t="s">
        <v>49</v>
      </c>
      <c r="I15" s="3" t="s">
        <v>52</v>
      </c>
      <c r="J15" s="3" t="s">
        <v>41</v>
      </c>
      <c r="K15" s="10">
        <v>1.6256944444444446</v>
      </c>
      <c r="L15" s="3">
        <v>10</v>
      </c>
      <c r="M15" s="3">
        <v>20</v>
      </c>
      <c r="N15" s="3">
        <v>0.5</v>
      </c>
      <c r="O15" s="3">
        <v>5</v>
      </c>
      <c r="P15" s="3">
        <v>10</v>
      </c>
      <c r="Q15" s="3">
        <v>0.5</v>
      </c>
      <c r="R15" s="3">
        <v>5</v>
      </c>
      <c r="S15" s="3">
        <v>10</v>
      </c>
      <c r="T15" s="3">
        <v>0.5</v>
      </c>
      <c r="U15" s="3">
        <v>0.625</v>
      </c>
      <c r="V15" s="3">
        <v>6</v>
      </c>
      <c r="W15" s="3">
        <v>6</v>
      </c>
      <c r="X15" s="3">
        <v>1</v>
      </c>
      <c r="Y15" s="3">
        <v>1</v>
      </c>
      <c r="Z15" s="3">
        <v>4</v>
      </c>
      <c r="AA15" s="3">
        <v>5</v>
      </c>
      <c r="AB15" s="3">
        <v>11</v>
      </c>
      <c r="AC15" s="3">
        <v>0</v>
      </c>
      <c r="AD15" s="3">
        <v>0</v>
      </c>
      <c r="AE15" s="3">
        <v>3</v>
      </c>
      <c r="AF15" s="3">
        <v>5</v>
      </c>
      <c r="AG15" s="3">
        <v>31</v>
      </c>
      <c r="AH15" s="3">
        <v>25.6</v>
      </c>
      <c r="AI15" s="3">
        <v>19</v>
      </c>
    </row>
    <row r="16" spans="1:35" x14ac:dyDescent="0.2">
      <c r="A16" t="s">
        <v>555</v>
      </c>
      <c r="B16" s="1">
        <v>15</v>
      </c>
      <c r="C16" s="3">
        <v>127</v>
      </c>
      <c r="D16" s="3">
        <v>15</v>
      </c>
      <c r="E16" s="6">
        <v>44705</v>
      </c>
      <c r="F16" s="3" t="s">
        <v>33</v>
      </c>
      <c r="G16" s="3" t="s">
        <v>37</v>
      </c>
      <c r="H16" s="3" t="s">
        <v>49</v>
      </c>
      <c r="I16" s="3" t="s">
        <v>53</v>
      </c>
      <c r="J16" s="3" t="s">
        <v>41</v>
      </c>
      <c r="K16" s="10">
        <v>1.3569444444444445</v>
      </c>
      <c r="L16" s="3">
        <v>7</v>
      </c>
      <c r="M16" s="3">
        <v>16</v>
      </c>
      <c r="N16" s="3">
        <v>0.438</v>
      </c>
      <c r="O16" s="3">
        <v>2</v>
      </c>
      <c r="P16" s="3">
        <v>5</v>
      </c>
      <c r="Q16" s="3">
        <v>0.4</v>
      </c>
      <c r="R16" s="3">
        <v>5</v>
      </c>
      <c r="S16" s="3">
        <v>11</v>
      </c>
      <c r="T16" s="3">
        <v>0.45500000000000002</v>
      </c>
      <c r="U16" s="3">
        <v>0.5</v>
      </c>
      <c r="V16" s="3">
        <v>4</v>
      </c>
      <c r="W16" s="3">
        <v>5</v>
      </c>
      <c r="X16" s="3">
        <v>0.8</v>
      </c>
      <c r="Y16" s="3">
        <v>0</v>
      </c>
      <c r="Z16" s="3">
        <v>5</v>
      </c>
      <c r="AA16" s="3">
        <v>5</v>
      </c>
      <c r="AB16" s="3">
        <v>8</v>
      </c>
      <c r="AC16" s="3">
        <v>1</v>
      </c>
      <c r="AD16" s="3">
        <v>0</v>
      </c>
      <c r="AE16" s="3">
        <v>2</v>
      </c>
      <c r="AF16" s="3">
        <v>2</v>
      </c>
      <c r="AG16" s="3">
        <v>20</v>
      </c>
      <c r="AH16" s="3">
        <v>16.5</v>
      </c>
      <c r="AI16" s="3">
        <v>-23</v>
      </c>
    </row>
    <row r="17" spans="1:35" x14ac:dyDescent="0.2">
      <c r="A17" t="s">
        <v>555</v>
      </c>
      <c r="B17" s="1">
        <v>16</v>
      </c>
      <c r="C17" s="3">
        <v>128</v>
      </c>
      <c r="D17" s="3">
        <v>16</v>
      </c>
      <c r="E17" s="6">
        <v>44707</v>
      </c>
      <c r="F17" s="3" t="s">
        <v>33</v>
      </c>
      <c r="G17" s="2"/>
      <c r="H17" s="3" t="s">
        <v>49</v>
      </c>
      <c r="I17" s="3" t="s">
        <v>54</v>
      </c>
      <c r="J17" s="3" t="s">
        <v>41</v>
      </c>
      <c r="K17" s="10">
        <v>1.4513888888888888</v>
      </c>
      <c r="L17" s="3">
        <v>5</v>
      </c>
      <c r="M17" s="3">
        <v>17</v>
      </c>
      <c r="N17" s="3">
        <v>0.29399999999999998</v>
      </c>
      <c r="O17" s="3">
        <v>2</v>
      </c>
      <c r="P17" s="3">
        <v>7</v>
      </c>
      <c r="Q17" s="3">
        <v>0.28599999999999998</v>
      </c>
      <c r="R17" s="3">
        <v>3</v>
      </c>
      <c r="S17" s="3">
        <v>10</v>
      </c>
      <c r="T17" s="3">
        <v>0.3</v>
      </c>
      <c r="U17" s="3">
        <v>0.35299999999999998</v>
      </c>
      <c r="V17" s="3">
        <v>3</v>
      </c>
      <c r="W17" s="3">
        <v>3</v>
      </c>
      <c r="X17" s="3">
        <v>1</v>
      </c>
      <c r="Y17" s="3">
        <v>0</v>
      </c>
      <c r="Z17" s="3">
        <v>3</v>
      </c>
      <c r="AA17" s="3">
        <v>3</v>
      </c>
      <c r="AB17" s="3">
        <v>9</v>
      </c>
      <c r="AC17" s="3">
        <v>3</v>
      </c>
      <c r="AD17" s="3">
        <v>1</v>
      </c>
      <c r="AE17" s="3">
        <v>2</v>
      </c>
      <c r="AF17" s="3">
        <v>2</v>
      </c>
      <c r="AG17" s="3">
        <v>15</v>
      </c>
      <c r="AH17" s="3">
        <v>13.2</v>
      </c>
      <c r="AI17" s="3">
        <v>11</v>
      </c>
    </row>
    <row r="18" spans="1:35" x14ac:dyDescent="0.2">
      <c r="A18" t="s">
        <v>555</v>
      </c>
      <c r="B18" s="1">
        <v>17</v>
      </c>
      <c r="C18" s="3">
        <v>129</v>
      </c>
      <c r="D18" s="3">
        <v>17</v>
      </c>
      <c r="E18" s="6">
        <v>44714</v>
      </c>
      <c r="F18" s="3" t="s">
        <v>33</v>
      </c>
      <c r="G18" s="2"/>
      <c r="H18" s="3" t="s">
        <v>55</v>
      </c>
      <c r="I18" s="3" t="s">
        <v>56</v>
      </c>
      <c r="J18" s="3" t="s">
        <v>41</v>
      </c>
      <c r="K18" s="10">
        <v>1.5951388888888889</v>
      </c>
      <c r="L18" s="3">
        <v>12</v>
      </c>
      <c r="M18" s="3">
        <v>25</v>
      </c>
      <c r="N18" s="3">
        <v>0.48</v>
      </c>
      <c r="O18" s="3">
        <v>7</v>
      </c>
      <c r="P18" s="3">
        <v>14</v>
      </c>
      <c r="Q18" s="3">
        <v>0.5</v>
      </c>
      <c r="R18" s="3">
        <v>5</v>
      </c>
      <c r="S18" s="3">
        <v>11</v>
      </c>
      <c r="T18" s="3">
        <v>0.45500000000000002</v>
      </c>
      <c r="U18" s="3">
        <v>0.62</v>
      </c>
      <c r="V18" s="3">
        <v>3</v>
      </c>
      <c r="W18" s="3">
        <v>4</v>
      </c>
      <c r="X18" s="3">
        <v>0.75</v>
      </c>
      <c r="Y18" s="3">
        <v>0</v>
      </c>
      <c r="Z18" s="3">
        <v>5</v>
      </c>
      <c r="AA18" s="3">
        <v>5</v>
      </c>
      <c r="AB18" s="3">
        <v>5</v>
      </c>
      <c r="AC18" s="3">
        <v>3</v>
      </c>
      <c r="AD18" s="3">
        <v>0</v>
      </c>
      <c r="AE18" s="3">
        <v>2</v>
      </c>
      <c r="AF18" s="3">
        <v>3</v>
      </c>
      <c r="AG18" s="3">
        <v>34</v>
      </c>
      <c r="AH18" s="3">
        <v>25.7</v>
      </c>
      <c r="AI18" s="3">
        <v>-9</v>
      </c>
    </row>
    <row r="19" spans="1:35" x14ac:dyDescent="0.2">
      <c r="A19" t="s">
        <v>555</v>
      </c>
      <c r="B19" s="1">
        <v>18</v>
      </c>
      <c r="C19" s="3">
        <v>130</v>
      </c>
      <c r="D19" s="3">
        <v>18</v>
      </c>
      <c r="E19" s="6">
        <v>44717</v>
      </c>
      <c r="F19" s="3" t="s">
        <v>33</v>
      </c>
      <c r="G19" s="2"/>
      <c r="H19" s="3" t="s">
        <v>55</v>
      </c>
      <c r="I19" s="3" t="s">
        <v>57</v>
      </c>
      <c r="J19" s="3" t="s">
        <v>41</v>
      </c>
      <c r="K19" s="10">
        <v>1.3409722222222222</v>
      </c>
      <c r="L19" s="3">
        <v>9</v>
      </c>
      <c r="M19" s="3">
        <v>21</v>
      </c>
      <c r="N19" s="3">
        <v>0.42899999999999999</v>
      </c>
      <c r="O19" s="3">
        <v>5</v>
      </c>
      <c r="P19" s="3">
        <v>12</v>
      </c>
      <c r="Q19" s="3">
        <v>0.41699999999999998</v>
      </c>
      <c r="R19" s="3">
        <v>4</v>
      </c>
      <c r="S19" s="3">
        <v>9</v>
      </c>
      <c r="T19" s="3">
        <v>0.44400000000000001</v>
      </c>
      <c r="U19" s="3">
        <v>0.54800000000000004</v>
      </c>
      <c r="V19" s="3">
        <v>6</v>
      </c>
      <c r="W19" s="3">
        <v>7</v>
      </c>
      <c r="X19" s="3">
        <v>0.85699999999999998</v>
      </c>
      <c r="Y19" s="3">
        <v>0</v>
      </c>
      <c r="Z19" s="3">
        <v>6</v>
      </c>
      <c r="AA19" s="3">
        <v>6</v>
      </c>
      <c r="AB19" s="3">
        <v>4</v>
      </c>
      <c r="AC19" s="3">
        <v>3</v>
      </c>
      <c r="AD19" s="3">
        <v>0</v>
      </c>
      <c r="AE19" s="3">
        <v>2</v>
      </c>
      <c r="AF19" s="3">
        <v>2</v>
      </c>
      <c r="AG19" s="3">
        <v>29</v>
      </c>
      <c r="AH19" s="3">
        <v>22.3</v>
      </c>
      <c r="AI19" s="3">
        <v>24</v>
      </c>
    </row>
    <row r="20" spans="1:35" x14ac:dyDescent="0.2">
      <c r="A20" t="s">
        <v>555</v>
      </c>
      <c r="B20" s="1">
        <v>19</v>
      </c>
      <c r="C20" s="3">
        <v>131</v>
      </c>
      <c r="D20" s="3">
        <v>19</v>
      </c>
      <c r="E20" s="6">
        <v>44720</v>
      </c>
      <c r="F20" s="3" t="s">
        <v>33</v>
      </c>
      <c r="G20" s="3" t="s">
        <v>37</v>
      </c>
      <c r="H20" s="3" t="s">
        <v>55</v>
      </c>
      <c r="I20" s="3" t="s">
        <v>58</v>
      </c>
      <c r="J20" s="3" t="s">
        <v>41</v>
      </c>
      <c r="K20" s="10">
        <v>1.5472222222222223</v>
      </c>
      <c r="L20" s="3">
        <v>12</v>
      </c>
      <c r="M20" s="3">
        <v>22</v>
      </c>
      <c r="N20" s="3">
        <v>0.54500000000000004</v>
      </c>
      <c r="O20" s="3">
        <v>6</v>
      </c>
      <c r="P20" s="3">
        <v>11</v>
      </c>
      <c r="Q20" s="3">
        <v>0.54500000000000004</v>
      </c>
      <c r="R20" s="3">
        <v>6</v>
      </c>
      <c r="S20" s="3">
        <v>11</v>
      </c>
      <c r="T20" s="3">
        <v>0.54500000000000004</v>
      </c>
      <c r="U20" s="3">
        <v>0.68200000000000005</v>
      </c>
      <c r="V20" s="3">
        <v>1</v>
      </c>
      <c r="W20" s="3">
        <v>1</v>
      </c>
      <c r="X20" s="3">
        <v>1</v>
      </c>
      <c r="Y20" s="3">
        <v>0</v>
      </c>
      <c r="Z20" s="3">
        <v>4</v>
      </c>
      <c r="AA20" s="3">
        <v>4</v>
      </c>
      <c r="AB20" s="3">
        <v>2</v>
      </c>
      <c r="AC20" s="3">
        <v>2</v>
      </c>
      <c r="AD20" s="3">
        <v>0</v>
      </c>
      <c r="AE20" s="3">
        <v>3</v>
      </c>
      <c r="AF20" s="3">
        <v>4</v>
      </c>
      <c r="AG20" s="3">
        <v>31</v>
      </c>
      <c r="AH20" s="3">
        <v>20.399999999999999</v>
      </c>
      <c r="AI20" s="3">
        <v>-14</v>
      </c>
    </row>
    <row r="21" spans="1:35" x14ac:dyDescent="0.2">
      <c r="A21" t="s">
        <v>555</v>
      </c>
      <c r="B21" s="1">
        <v>20</v>
      </c>
      <c r="C21" s="3">
        <v>132</v>
      </c>
      <c r="D21" s="3">
        <v>20</v>
      </c>
      <c r="E21" s="6">
        <v>44722</v>
      </c>
      <c r="F21" s="3" t="s">
        <v>33</v>
      </c>
      <c r="G21" s="3" t="s">
        <v>37</v>
      </c>
      <c r="H21" s="3" t="s">
        <v>55</v>
      </c>
      <c r="I21" s="3" t="s">
        <v>59</v>
      </c>
      <c r="J21" s="3" t="s">
        <v>41</v>
      </c>
      <c r="K21" s="10">
        <v>1.695138888888889</v>
      </c>
      <c r="L21" s="3">
        <v>14</v>
      </c>
      <c r="M21" s="3">
        <v>26</v>
      </c>
      <c r="N21" s="3">
        <v>0.53800000000000003</v>
      </c>
      <c r="O21" s="3">
        <v>7</v>
      </c>
      <c r="P21" s="3">
        <v>14</v>
      </c>
      <c r="Q21" s="3">
        <v>0.5</v>
      </c>
      <c r="R21" s="3">
        <v>7</v>
      </c>
      <c r="S21" s="3">
        <v>12</v>
      </c>
      <c r="T21" s="3">
        <v>0.58299999999999996</v>
      </c>
      <c r="U21" s="3">
        <v>0.67300000000000004</v>
      </c>
      <c r="V21" s="3">
        <v>8</v>
      </c>
      <c r="W21" s="3">
        <v>9</v>
      </c>
      <c r="X21" s="3">
        <v>0.88900000000000001</v>
      </c>
      <c r="Y21" s="3">
        <v>2</v>
      </c>
      <c r="Z21" s="3">
        <v>8</v>
      </c>
      <c r="AA21" s="3">
        <v>10</v>
      </c>
      <c r="AB21" s="3">
        <v>4</v>
      </c>
      <c r="AC21" s="3">
        <v>0</v>
      </c>
      <c r="AD21" s="3">
        <v>0</v>
      </c>
      <c r="AE21" s="3">
        <v>5</v>
      </c>
      <c r="AF21" s="3">
        <v>3</v>
      </c>
      <c r="AG21" s="3">
        <v>43</v>
      </c>
      <c r="AH21" s="3">
        <v>30.4</v>
      </c>
      <c r="AI21" s="3">
        <v>11</v>
      </c>
    </row>
    <row r="22" spans="1:35" x14ac:dyDescent="0.2">
      <c r="A22" t="s">
        <v>555</v>
      </c>
      <c r="B22" s="1">
        <v>21</v>
      </c>
      <c r="C22" s="3">
        <v>133</v>
      </c>
      <c r="D22" s="3">
        <v>21</v>
      </c>
      <c r="E22" s="6">
        <v>44725</v>
      </c>
      <c r="F22" s="3" t="s">
        <v>33</v>
      </c>
      <c r="G22" s="2"/>
      <c r="H22" s="3" t="s">
        <v>55</v>
      </c>
      <c r="I22" s="3" t="s">
        <v>60</v>
      </c>
      <c r="J22" s="3" t="s">
        <v>41</v>
      </c>
      <c r="K22" s="10">
        <v>1.5472222222222223</v>
      </c>
      <c r="L22" s="3">
        <v>7</v>
      </c>
      <c r="M22" s="3">
        <v>22</v>
      </c>
      <c r="N22" s="3">
        <v>0.318</v>
      </c>
      <c r="O22" s="3">
        <v>0</v>
      </c>
      <c r="P22" s="3">
        <v>9</v>
      </c>
      <c r="Q22" s="3">
        <v>0</v>
      </c>
      <c r="R22" s="3">
        <v>7</v>
      </c>
      <c r="S22" s="3">
        <v>13</v>
      </c>
      <c r="T22" s="3">
        <v>0.53800000000000003</v>
      </c>
      <c r="U22" s="3">
        <v>0.318</v>
      </c>
      <c r="V22" s="3">
        <v>2</v>
      </c>
      <c r="W22" s="3">
        <v>3</v>
      </c>
      <c r="X22" s="3">
        <v>0.66700000000000004</v>
      </c>
      <c r="Y22" s="3">
        <v>0</v>
      </c>
      <c r="Z22" s="3">
        <v>4</v>
      </c>
      <c r="AA22" s="3">
        <v>4</v>
      </c>
      <c r="AB22" s="3">
        <v>8</v>
      </c>
      <c r="AC22" s="3">
        <v>2</v>
      </c>
      <c r="AD22" s="3">
        <v>0</v>
      </c>
      <c r="AE22" s="3">
        <v>1</v>
      </c>
      <c r="AF22" s="3">
        <v>2</v>
      </c>
      <c r="AG22" s="3">
        <v>16</v>
      </c>
      <c r="AH22" s="3">
        <v>10</v>
      </c>
      <c r="AI22" s="3">
        <v>15</v>
      </c>
    </row>
    <row r="23" spans="1:35" x14ac:dyDescent="0.2">
      <c r="A23" t="s">
        <v>555</v>
      </c>
      <c r="B23" s="1">
        <v>22</v>
      </c>
      <c r="C23" s="3">
        <v>134</v>
      </c>
      <c r="D23" s="3">
        <v>22</v>
      </c>
      <c r="E23" s="6">
        <v>44728</v>
      </c>
      <c r="F23" s="3" t="s">
        <v>33</v>
      </c>
      <c r="G23" s="3" t="s">
        <v>37</v>
      </c>
      <c r="H23" s="3" t="s">
        <v>55</v>
      </c>
      <c r="I23" s="3" t="s">
        <v>61</v>
      </c>
      <c r="J23" s="3" t="s">
        <v>41</v>
      </c>
      <c r="K23" s="10">
        <v>1.663888888888889</v>
      </c>
      <c r="L23" s="3">
        <v>12</v>
      </c>
      <c r="M23" s="3">
        <v>21</v>
      </c>
      <c r="N23" s="3">
        <v>0.57099999999999995</v>
      </c>
      <c r="O23" s="3">
        <v>6</v>
      </c>
      <c r="P23" s="3">
        <v>11</v>
      </c>
      <c r="Q23" s="3">
        <v>0.54500000000000004</v>
      </c>
      <c r="R23" s="3">
        <v>6</v>
      </c>
      <c r="S23" s="3">
        <v>10</v>
      </c>
      <c r="T23" s="3">
        <v>0.6</v>
      </c>
      <c r="U23" s="3">
        <v>0.71399999999999997</v>
      </c>
      <c r="V23" s="3">
        <v>4</v>
      </c>
      <c r="W23" s="3">
        <v>4</v>
      </c>
      <c r="X23" s="3">
        <v>1</v>
      </c>
      <c r="Y23" s="3">
        <v>0</v>
      </c>
      <c r="Z23" s="3">
        <v>7</v>
      </c>
      <c r="AA23" s="3">
        <v>7</v>
      </c>
      <c r="AB23" s="3">
        <v>7</v>
      </c>
      <c r="AC23" s="3">
        <v>2</v>
      </c>
      <c r="AD23" s="3">
        <v>1</v>
      </c>
      <c r="AE23" s="3">
        <v>2</v>
      </c>
      <c r="AF23" s="3">
        <v>4</v>
      </c>
      <c r="AG23" s="3">
        <v>34</v>
      </c>
      <c r="AH23" s="3">
        <v>30.2</v>
      </c>
      <c r="AI23" s="3">
        <v>8</v>
      </c>
    </row>
    <row r="24" spans="1:35" ht="36" x14ac:dyDescent="0.3">
      <c r="A24" t="s">
        <v>555</v>
      </c>
      <c r="B24" s="11">
        <v>1</v>
      </c>
      <c r="C24" s="2">
        <v>763</v>
      </c>
      <c r="D24" s="2">
        <v>1</v>
      </c>
      <c r="E24" s="5">
        <v>44488</v>
      </c>
      <c r="F24" s="2" t="s">
        <v>33</v>
      </c>
      <c r="G24" s="2" t="s">
        <v>37</v>
      </c>
      <c r="H24" s="2" t="s">
        <v>62</v>
      </c>
      <c r="I24" s="3" t="s">
        <v>63</v>
      </c>
      <c r="J24" s="3" t="s">
        <v>41</v>
      </c>
      <c r="K24" s="10">
        <v>1.507638888888889</v>
      </c>
      <c r="L24" s="3">
        <v>5</v>
      </c>
      <c r="M24" s="3">
        <v>21</v>
      </c>
      <c r="N24" s="3">
        <v>0.23799999999999999</v>
      </c>
      <c r="O24" s="3">
        <v>2</v>
      </c>
      <c r="P24" s="3">
        <v>8</v>
      </c>
      <c r="Q24" s="3">
        <v>0.25</v>
      </c>
      <c r="R24" s="3">
        <v>3</v>
      </c>
      <c r="S24" s="3">
        <v>13</v>
      </c>
      <c r="T24" s="3">
        <v>0.23100000000000001</v>
      </c>
      <c r="U24" s="3">
        <v>0.28599999999999998</v>
      </c>
      <c r="V24" s="3">
        <v>9</v>
      </c>
      <c r="W24" s="3">
        <v>9</v>
      </c>
      <c r="X24" s="3">
        <v>1</v>
      </c>
      <c r="Y24" s="3">
        <v>1</v>
      </c>
      <c r="Z24" s="3">
        <v>9</v>
      </c>
      <c r="AA24" s="3">
        <v>10</v>
      </c>
      <c r="AB24" s="3">
        <v>10</v>
      </c>
      <c r="AC24" s="3">
        <v>3</v>
      </c>
      <c r="AD24" s="3">
        <v>0</v>
      </c>
      <c r="AE24" s="3">
        <v>4</v>
      </c>
      <c r="AF24" s="3">
        <v>1</v>
      </c>
      <c r="AG24" s="3">
        <v>21</v>
      </c>
      <c r="AH24" s="3">
        <v>17.3</v>
      </c>
      <c r="AI24" s="3">
        <v>4</v>
      </c>
    </row>
    <row r="25" spans="1:35" ht="21" x14ac:dyDescent="0.3">
      <c r="A25" t="s">
        <v>555</v>
      </c>
      <c r="B25" s="11">
        <v>2</v>
      </c>
      <c r="C25">
        <v>764</v>
      </c>
      <c r="D25">
        <v>2</v>
      </c>
      <c r="E25" s="4">
        <v>44490</v>
      </c>
      <c r="F25" t="s">
        <v>33</v>
      </c>
      <c r="H25" t="s">
        <v>64</v>
      </c>
      <c r="I25" t="s">
        <v>65</v>
      </c>
      <c r="J25" t="s">
        <v>41</v>
      </c>
      <c r="K25" s="9">
        <v>1.5645833333333334</v>
      </c>
      <c r="L25">
        <v>16</v>
      </c>
      <c r="M25">
        <v>25</v>
      </c>
      <c r="N25">
        <v>0.64</v>
      </c>
      <c r="O25">
        <v>8</v>
      </c>
      <c r="P25">
        <v>13</v>
      </c>
      <c r="Q25">
        <v>0.61499999999999999</v>
      </c>
      <c r="R25">
        <v>8</v>
      </c>
      <c r="S25">
        <v>12</v>
      </c>
      <c r="T25">
        <v>0.66700000000000004</v>
      </c>
      <c r="U25">
        <v>0.8</v>
      </c>
      <c r="V25">
        <v>5</v>
      </c>
      <c r="W25">
        <v>5</v>
      </c>
      <c r="X25">
        <v>1</v>
      </c>
      <c r="Y25">
        <v>0</v>
      </c>
      <c r="Z25">
        <v>10</v>
      </c>
      <c r="AA25">
        <v>10</v>
      </c>
      <c r="AB25">
        <v>1</v>
      </c>
      <c r="AC25">
        <v>1</v>
      </c>
      <c r="AD25">
        <v>1</v>
      </c>
      <c r="AE25">
        <v>6</v>
      </c>
      <c r="AF25">
        <v>2</v>
      </c>
      <c r="AG25">
        <v>45</v>
      </c>
      <c r="AH25">
        <v>32.5</v>
      </c>
      <c r="AI25">
        <v>-2</v>
      </c>
    </row>
    <row r="26" spans="1:35" ht="21" x14ac:dyDescent="0.3">
      <c r="A26" t="s">
        <v>555</v>
      </c>
      <c r="B26" s="11">
        <v>3</v>
      </c>
      <c r="C26">
        <v>765</v>
      </c>
      <c r="D26">
        <v>3</v>
      </c>
      <c r="E26" s="4">
        <v>44493</v>
      </c>
      <c r="F26" t="s">
        <v>33</v>
      </c>
      <c r="G26" t="s">
        <v>37</v>
      </c>
      <c r="H26" t="s">
        <v>66</v>
      </c>
      <c r="I26" t="s">
        <v>67</v>
      </c>
      <c r="J26" t="s">
        <v>41</v>
      </c>
      <c r="K26" s="9">
        <v>1.4694444444444446</v>
      </c>
      <c r="L26">
        <v>9</v>
      </c>
      <c r="M26">
        <v>23</v>
      </c>
      <c r="N26">
        <v>0.39100000000000001</v>
      </c>
      <c r="O26">
        <v>4</v>
      </c>
      <c r="P26">
        <v>15</v>
      </c>
      <c r="Q26">
        <v>0.26700000000000002</v>
      </c>
      <c r="R26">
        <v>5</v>
      </c>
      <c r="S26">
        <v>8</v>
      </c>
      <c r="T26">
        <v>0.625</v>
      </c>
      <c r="U26">
        <v>0.47799999999999998</v>
      </c>
      <c r="V26">
        <v>5</v>
      </c>
      <c r="W26">
        <v>6</v>
      </c>
      <c r="X26">
        <v>0.83299999999999996</v>
      </c>
      <c r="Y26">
        <v>1</v>
      </c>
      <c r="Z26">
        <v>6</v>
      </c>
      <c r="AA26">
        <v>7</v>
      </c>
      <c r="AB26">
        <v>10</v>
      </c>
      <c r="AC26">
        <v>3</v>
      </c>
      <c r="AD26">
        <v>0</v>
      </c>
      <c r="AE26">
        <v>3</v>
      </c>
      <c r="AF26">
        <v>1</v>
      </c>
      <c r="AG26">
        <v>27</v>
      </c>
      <c r="AH26">
        <v>23.2</v>
      </c>
      <c r="AI26">
        <v>14</v>
      </c>
    </row>
    <row r="27" spans="1:35" ht="21" x14ac:dyDescent="0.3">
      <c r="A27" t="s">
        <v>555</v>
      </c>
      <c r="B27" s="11">
        <v>4</v>
      </c>
      <c r="C27">
        <v>766</v>
      </c>
      <c r="D27">
        <v>4</v>
      </c>
      <c r="E27" s="4">
        <v>44495</v>
      </c>
      <c r="F27" t="s">
        <v>33</v>
      </c>
      <c r="G27" t="s">
        <v>37</v>
      </c>
      <c r="H27" t="s">
        <v>68</v>
      </c>
      <c r="I27" t="s">
        <v>69</v>
      </c>
      <c r="J27" t="s">
        <v>41</v>
      </c>
      <c r="K27" s="9">
        <v>1.3458333333333334</v>
      </c>
      <c r="L27">
        <v>6</v>
      </c>
      <c r="M27">
        <v>14</v>
      </c>
      <c r="N27">
        <v>0.42899999999999999</v>
      </c>
      <c r="O27">
        <v>4</v>
      </c>
      <c r="P27">
        <v>9</v>
      </c>
      <c r="Q27">
        <v>0.44400000000000001</v>
      </c>
      <c r="R27">
        <v>2</v>
      </c>
      <c r="S27">
        <v>5</v>
      </c>
      <c r="T27">
        <v>0.4</v>
      </c>
      <c r="U27">
        <v>0.57099999999999995</v>
      </c>
      <c r="V27">
        <v>7</v>
      </c>
      <c r="W27">
        <v>7</v>
      </c>
      <c r="X27">
        <v>1</v>
      </c>
      <c r="Y27">
        <v>1</v>
      </c>
      <c r="Z27">
        <v>5</v>
      </c>
      <c r="AA27">
        <v>6</v>
      </c>
      <c r="AB27">
        <v>4</v>
      </c>
      <c r="AC27">
        <v>0</v>
      </c>
      <c r="AD27">
        <v>1</v>
      </c>
      <c r="AE27">
        <v>4</v>
      </c>
      <c r="AF27">
        <v>1</v>
      </c>
      <c r="AG27">
        <v>23</v>
      </c>
      <c r="AH27">
        <v>16.899999999999999</v>
      </c>
      <c r="AI27">
        <v>15</v>
      </c>
    </row>
    <row r="28" spans="1:35" ht="21" x14ac:dyDescent="0.3">
      <c r="A28" t="s">
        <v>555</v>
      </c>
      <c r="B28" s="11">
        <v>5</v>
      </c>
      <c r="C28">
        <v>767</v>
      </c>
      <c r="D28">
        <v>5</v>
      </c>
      <c r="E28" s="4">
        <v>44497</v>
      </c>
      <c r="F28" t="s">
        <v>33</v>
      </c>
      <c r="H28" t="s">
        <v>42</v>
      </c>
      <c r="I28" t="s">
        <v>70</v>
      </c>
      <c r="J28" t="s">
        <v>41</v>
      </c>
      <c r="K28" s="9">
        <v>1.6944444444444444</v>
      </c>
      <c r="L28">
        <v>11</v>
      </c>
      <c r="M28">
        <v>29</v>
      </c>
      <c r="N28">
        <v>0.379</v>
      </c>
      <c r="O28">
        <v>7</v>
      </c>
      <c r="P28">
        <v>20</v>
      </c>
      <c r="Q28">
        <v>0.35</v>
      </c>
      <c r="R28">
        <v>4</v>
      </c>
      <c r="S28">
        <v>9</v>
      </c>
      <c r="T28">
        <v>0.44400000000000001</v>
      </c>
      <c r="U28">
        <v>0.5</v>
      </c>
      <c r="V28">
        <v>7</v>
      </c>
      <c r="W28">
        <v>7</v>
      </c>
      <c r="X28">
        <v>1</v>
      </c>
      <c r="Y28">
        <v>1</v>
      </c>
      <c r="Z28">
        <v>6</v>
      </c>
      <c r="AA28">
        <v>7</v>
      </c>
      <c r="AB28">
        <v>8</v>
      </c>
      <c r="AC28">
        <v>1</v>
      </c>
      <c r="AD28">
        <v>0</v>
      </c>
      <c r="AE28">
        <v>5</v>
      </c>
      <c r="AF28">
        <v>2</v>
      </c>
      <c r="AG28">
        <v>36</v>
      </c>
      <c r="AH28">
        <v>23.4</v>
      </c>
      <c r="AI28">
        <v>12</v>
      </c>
    </row>
    <row r="29" spans="1:35" ht="21" x14ac:dyDescent="0.3">
      <c r="A29" t="s">
        <v>555</v>
      </c>
      <c r="B29" s="11">
        <v>6</v>
      </c>
      <c r="C29">
        <v>768</v>
      </c>
      <c r="D29">
        <v>6</v>
      </c>
      <c r="E29" s="4">
        <v>44499</v>
      </c>
      <c r="F29" t="s">
        <v>33</v>
      </c>
      <c r="H29" t="s">
        <v>68</v>
      </c>
      <c r="I29" t="s">
        <v>71</v>
      </c>
      <c r="J29" t="s">
        <v>41</v>
      </c>
      <c r="K29" s="9">
        <v>1.132638888888889</v>
      </c>
      <c r="L29">
        <v>7</v>
      </c>
      <c r="M29">
        <v>16</v>
      </c>
      <c r="N29">
        <v>0.438</v>
      </c>
      <c r="O29">
        <v>6</v>
      </c>
      <c r="P29">
        <v>15</v>
      </c>
      <c r="Q29">
        <v>0.4</v>
      </c>
      <c r="R29">
        <v>1</v>
      </c>
      <c r="S29">
        <v>1</v>
      </c>
      <c r="T29">
        <v>1</v>
      </c>
      <c r="U29">
        <v>0.625</v>
      </c>
      <c r="V29">
        <v>0</v>
      </c>
      <c r="W29">
        <v>0</v>
      </c>
      <c r="Y29">
        <v>0</v>
      </c>
      <c r="Z29">
        <v>5</v>
      </c>
      <c r="AA29">
        <v>5</v>
      </c>
      <c r="AB29">
        <v>6</v>
      </c>
      <c r="AC29">
        <v>1</v>
      </c>
      <c r="AD29">
        <v>1</v>
      </c>
      <c r="AE29">
        <v>2</v>
      </c>
      <c r="AF29">
        <v>1</v>
      </c>
      <c r="AG29">
        <v>20</v>
      </c>
      <c r="AH29">
        <v>16.600000000000001</v>
      </c>
      <c r="AI29">
        <v>17</v>
      </c>
    </row>
    <row r="30" spans="1:35" ht="21" x14ac:dyDescent="0.3">
      <c r="A30" t="s">
        <v>555</v>
      </c>
      <c r="B30" s="11">
        <v>7</v>
      </c>
      <c r="C30">
        <v>769</v>
      </c>
      <c r="D30">
        <v>7</v>
      </c>
      <c r="E30" s="4">
        <v>44503</v>
      </c>
      <c r="F30" t="s">
        <v>33</v>
      </c>
      <c r="H30" t="s">
        <v>72</v>
      </c>
      <c r="I30" t="s">
        <v>73</v>
      </c>
      <c r="J30" t="s">
        <v>41</v>
      </c>
      <c r="K30" s="9">
        <v>1.4756944444444444</v>
      </c>
      <c r="L30">
        <v>6</v>
      </c>
      <c r="M30">
        <v>15</v>
      </c>
      <c r="N30">
        <v>0.4</v>
      </c>
      <c r="O30">
        <v>3</v>
      </c>
      <c r="P30">
        <v>11</v>
      </c>
      <c r="Q30">
        <v>0.27300000000000002</v>
      </c>
      <c r="R30">
        <v>3</v>
      </c>
      <c r="S30">
        <v>4</v>
      </c>
      <c r="T30">
        <v>0.75</v>
      </c>
      <c r="U30">
        <v>0.5</v>
      </c>
      <c r="V30">
        <v>0</v>
      </c>
      <c r="W30">
        <v>0</v>
      </c>
      <c r="Y30">
        <v>1</v>
      </c>
      <c r="Z30">
        <v>7</v>
      </c>
      <c r="AA30">
        <v>8</v>
      </c>
      <c r="AB30">
        <v>9</v>
      </c>
      <c r="AC30">
        <v>1</v>
      </c>
      <c r="AD30">
        <v>1</v>
      </c>
      <c r="AE30">
        <v>4</v>
      </c>
      <c r="AF30">
        <v>3</v>
      </c>
      <c r="AG30">
        <v>15</v>
      </c>
      <c r="AH30">
        <v>12.5</v>
      </c>
      <c r="AI30">
        <v>-1</v>
      </c>
    </row>
    <row r="31" spans="1:35" ht="21" x14ac:dyDescent="0.3">
      <c r="A31" t="s">
        <v>555</v>
      </c>
      <c r="B31" s="11">
        <v>8</v>
      </c>
      <c r="C31">
        <v>770</v>
      </c>
      <c r="D31">
        <v>8</v>
      </c>
      <c r="E31" s="4">
        <v>44505</v>
      </c>
      <c r="F31" t="s">
        <v>33</v>
      </c>
      <c r="H31" t="s">
        <v>74</v>
      </c>
      <c r="I31" t="s">
        <v>75</v>
      </c>
      <c r="J31" t="s">
        <v>41</v>
      </c>
      <c r="K31" s="9">
        <v>1.2395833333333333</v>
      </c>
      <c r="L31">
        <v>5</v>
      </c>
      <c r="M31">
        <v>16</v>
      </c>
      <c r="N31">
        <v>0.313</v>
      </c>
      <c r="O31">
        <v>5</v>
      </c>
      <c r="P31">
        <v>13</v>
      </c>
      <c r="Q31">
        <v>0.38500000000000001</v>
      </c>
      <c r="R31">
        <v>0</v>
      </c>
      <c r="S31">
        <v>3</v>
      </c>
      <c r="T31">
        <v>0</v>
      </c>
      <c r="U31">
        <v>0.46899999999999997</v>
      </c>
      <c r="V31">
        <v>4</v>
      </c>
      <c r="W31">
        <v>4</v>
      </c>
      <c r="X31">
        <v>1</v>
      </c>
      <c r="Y31">
        <v>0</v>
      </c>
      <c r="Z31">
        <v>3</v>
      </c>
      <c r="AA31">
        <v>3</v>
      </c>
      <c r="AB31">
        <v>6</v>
      </c>
      <c r="AC31">
        <v>0</v>
      </c>
      <c r="AD31">
        <v>2</v>
      </c>
      <c r="AE31">
        <v>1</v>
      </c>
      <c r="AF31">
        <v>1</v>
      </c>
      <c r="AG31">
        <v>19</v>
      </c>
      <c r="AH31">
        <v>14.9</v>
      </c>
      <c r="AI31">
        <v>17</v>
      </c>
    </row>
    <row r="32" spans="1:35" ht="21" x14ac:dyDescent="0.3">
      <c r="A32" t="s">
        <v>555</v>
      </c>
      <c r="B32" s="11">
        <v>9</v>
      </c>
      <c r="C32">
        <v>771</v>
      </c>
      <c r="D32">
        <v>9</v>
      </c>
      <c r="E32" s="4">
        <v>44507</v>
      </c>
      <c r="F32" t="s">
        <v>33</v>
      </c>
      <c r="H32" t="s">
        <v>76</v>
      </c>
      <c r="I32" t="s">
        <v>77</v>
      </c>
      <c r="J32" t="s">
        <v>41</v>
      </c>
      <c r="K32" s="9">
        <v>1.117361111111111</v>
      </c>
      <c r="L32">
        <v>8</v>
      </c>
      <c r="M32">
        <v>16</v>
      </c>
      <c r="N32">
        <v>0.5</v>
      </c>
      <c r="O32">
        <v>4</v>
      </c>
      <c r="P32">
        <v>11</v>
      </c>
      <c r="Q32">
        <v>0.36399999999999999</v>
      </c>
      <c r="R32">
        <v>4</v>
      </c>
      <c r="S32">
        <v>5</v>
      </c>
      <c r="T32">
        <v>0.8</v>
      </c>
      <c r="U32">
        <v>0.625</v>
      </c>
      <c r="V32">
        <v>0</v>
      </c>
      <c r="W32">
        <v>0</v>
      </c>
      <c r="Y32">
        <v>2</v>
      </c>
      <c r="Z32">
        <v>1</v>
      </c>
      <c r="AA32">
        <v>3</v>
      </c>
      <c r="AB32">
        <v>2</v>
      </c>
      <c r="AC32">
        <v>3</v>
      </c>
      <c r="AD32">
        <v>0</v>
      </c>
      <c r="AE32">
        <v>0</v>
      </c>
      <c r="AF32">
        <v>3</v>
      </c>
      <c r="AG32">
        <v>20</v>
      </c>
      <c r="AH32">
        <v>16.899999999999999</v>
      </c>
      <c r="AI32">
        <v>16</v>
      </c>
    </row>
    <row r="33" spans="1:35" ht="21" x14ac:dyDescent="0.3">
      <c r="A33" t="s">
        <v>555</v>
      </c>
      <c r="B33" s="11">
        <v>10</v>
      </c>
      <c r="C33">
        <v>772</v>
      </c>
      <c r="D33">
        <v>10</v>
      </c>
      <c r="E33" s="4">
        <v>44508</v>
      </c>
      <c r="F33" t="s">
        <v>33</v>
      </c>
      <c r="H33" t="s">
        <v>78</v>
      </c>
      <c r="I33" t="s">
        <v>79</v>
      </c>
      <c r="J33" t="s">
        <v>41</v>
      </c>
      <c r="K33" s="9">
        <v>1.4597222222222221</v>
      </c>
      <c r="L33">
        <v>14</v>
      </c>
      <c r="M33">
        <v>28</v>
      </c>
      <c r="N33">
        <v>0.5</v>
      </c>
      <c r="O33">
        <v>9</v>
      </c>
      <c r="P33">
        <v>19</v>
      </c>
      <c r="Q33">
        <v>0.47399999999999998</v>
      </c>
      <c r="R33">
        <v>5</v>
      </c>
      <c r="S33">
        <v>9</v>
      </c>
      <c r="T33">
        <v>0.55600000000000005</v>
      </c>
      <c r="U33">
        <v>0.66100000000000003</v>
      </c>
      <c r="V33">
        <v>13</v>
      </c>
      <c r="W33">
        <v>13</v>
      </c>
      <c r="X33">
        <v>1</v>
      </c>
      <c r="Y33">
        <v>2</v>
      </c>
      <c r="Z33">
        <v>5</v>
      </c>
      <c r="AA33">
        <v>7</v>
      </c>
      <c r="AB33">
        <v>10</v>
      </c>
      <c r="AC33">
        <v>4</v>
      </c>
      <c r="AD33">
        <v>1</v>
      </c>
      <c r="AE33">
        <v>2</v>
      </c>
      <c r="AF33">
        <v>0</v>
      </c>
      <c r="AG33">
        <v>50</v>
      </c>
      <c r="AH33">
        <v>48.6</v>
      </c>
      <c r="AI33">
        <v>31</v>
      </c>
    </row>
    <row r="34" spans="1:35" ht="21" x14ac:dyDescent="0.3">
      <c r="A34" t="s">
        <v>555</v>
      </c>
      <c r="B34" s="11">
        <v>11</v>
      </c>
      <c r="C34">
        <v>773</v>
      </c>
      <c r="D34">
        <v>11</v>
      </c>
      <c r="E34" s="4">
        <v>44510</v>
      </c>
      <c r="F34" t="s">
        <v>33</v>
      </c>
      <c r="H34" t="s">
        <v>80</v>
      </c>
      <c r="I34" t="s">
        <v>81</v>
      </c>
      <c r="J34" t="s">
        <v>41</v>
      </c>
      <c r="K34" s="9">
        <v>1.4208333333333334</v>
      </c>
      <c r="L34">
        <v>8</v>
      </c>
      <c r="M34">
        <v>16</v>
      </c>
      <c r="N34">
        <v>0.5</v>
      </c>
      <c r="O34">
        <v>3</v>
      </c>
      <c r="P34">
        <v>9</v>
      </c>
      <c r="Q34">
        <v>0.33300000000000002</v>
      </c>
      <c r="R34">
        <v>5</v>
      </c>
      <c r="S34">
        <v>7</v>
      </c>
      <c r="T34">
        <v>0.71399999999999997</v>
      </c>
      <c r="U34">
        <v>0.59399999999999997</v>
      </c>
      <c r="V34">
        <v>6</v>
      </c>
      <c r="W34">
        <v>8</v>
      </c>
      <c r="X34">
        <v>0.75</v>
      </c>
      <c r="Y34">
        <v>0</v>
      </c>
      <c r="Z34">
        <v>5</v>
      </c>
      <c r="AA34">
        <v>5</v>
      </c>
      <c r="AB34">
        <v>6</v>
      </c>
      <c r="AC34">
        <v>1</v>
      </c>
      <c r="AD34">
        <v>0</v>
      </c>
      <c r="AE34">
        <v>3</v>
      </c>
      <c r="AF34">
        <v>2</v>
      </c>
      <c r="AG34">
        <v>25</v>
      </c>
      <c r="AH34">
        <v>19.100000000000001</v>
      </c>
      <c r="AI34">
        <v>11</v>
      </c>
    </row>
    <row r="35" spans="1:35" ht="21" x14ac:dyDescent="0.3">
      <c r="A35" t="s">
        <v>555</v>
      </c>
      <c r="B35" s="11">
        <v>12</v>
      </c>
      <c r="C35">
        <v>774</v>
      </c>
      <c r="D35">
        <v>12</v>
      </c>
      <c r="E35" s="4">
        <v>44512</v>
      </c>
      <c r="F35" t="s">
        <v>33</v>
      </c>
      <c r="H35" t="s">
        <v>82</v>
      </c>
      <c r="I35" t="s">
        <v>83</v>
      </c>
      <c r="J35" t="s">
        <v>41</v>
      </c>
      <c r="K35" s="9">
        <v>1.4256944444444444</v>
      </c>
      <c r="L35">
        <v>15</v>
      </c>
      <c r="M35">
        <v>24</v>
      </c>
      <c r="N35">
        <v>0.625</v>
      </c>
      <c r="O35">
        <v>9</v>
      </c>
      <c r="P35">
        <v>17</v>
      </c>
      <c r="Q35">
        <v>0.52900000000000003</v>
      </c>
      <c r="R35">
        <v>6</v>
      </c>
      <c r="S35">
        <v>7</v>
      </c>
      <c r="T35">
        <v>0.85699999999999998</v>
      </c>
      <c r="U35">
        <v>0.81299999999999994</v>
      </c>
      <c r="V35">
        <v>1</v>
      </c>
      <c r="W35">
        <v>1</v>
      </c>
      <c r="X35">
        <v>1</v>
      </c>
      <c r="Y35">
        <v>0</v>
      </c>
      <c r="Z35">
        <v>4</v>
      </c>
      <c r="AA35">
        <v>4</v>
      </c>
      <c r="AB35">
        <v>5</v>
      </c>
      <c r="AC35">
        <v>1</v>
      </c>
      <c r="AD35">
        <v>1</v>
      </c>
      <c r="AE35">
        <v>6</v>
      </c>
      <c r="AF35">
        <v>1</v>
      </c>
      <c r="AG35">
        <v>40</v>
      </c>
      <c r="AH35">
        <v>29.2</v>
      </c>
      <c r="AI35">
        <v>31</v>
      </c>
    </row>
    <row r="36" spans="1:35" ht="21" x14ac:dyDescent="0.3">
      <c r="A36" t="s">
        <v>555</v>
      </c>
      <c r="B36" s="11">
        <v>13</v>
      </c>
      <c r="C36">
        <v>775</v>
      </c>
      <c r="D36">
        <v>13</v>
      </c>
      <c r="E36" s="4">
        <v>44514</v>
      </c>
      <c r="F36" t="s">
        <v>33</v>
      </c>
      <c r="G36" t="s">
        <v>37</v>
      </c>
      <c r="H36" t="s">
        <v>72</v>
      </c>
      <c r="I36" t="s">
        <v>84</v>
      </c>
      <c r="J36" t="s">
        <v>41</v>
      </c>
      <c r="K36" s="9">
        <v>1.4875</v>
      </c>
      <c r="L36">
        <v>7</v>
      </c>
      <c r="M36">
        <v>22</v>
      </c>
      <c r="N36">
        <v>0.318</v>
      </c>
      <c r="O36">
        <v>3</v>
      </c>
      <c r="P36">
        <v>13</v>
      </c>
      <c r="Q36">
        <v>0.23100000000000001</v>
      </c>
      <c r="R36">
        <v>4</v>
      </c>
      <c r="S36">
        <v>9</v>
      </c>
      <c r="T36">
        <v>0.44400000000000001</v>
      </c>
      <c r="U36">
        <v>0.38600000000000001</v>
      </c>
      <c r="V36">
        <v>7</v>
      </c>
      <c r="W36">
        <v>7</v>
      </c>
      <c r="X36">
        <v>1</v>
      </c>
      <c r="Y36">
        <v>1</v>
      </c>
      <c r="Z36">
        <v>5</v>
      </c>
      <c r="AA36">
        <v>6</v>
      </c>
      <c r="AB36">
        <v>10</v>
      </c>
      <c r="AC36">
        <v>3</v>
      </c>
      <c r="AD36">
        <v>1</v>
      </c>
      <c r="AE36">
        <v>3</v>
      </c>
      <c r="AF36">
        <v>2</v>
      </c>
      <c r="AG36">
        <v>24</v>
      </c>
      <c r="AH36">
        <v>20.5</v>
      </c>
      <c r="AI36">
        <v>14</v>
      </c>
    </row>
    <row r="37" spans="1:35" ht="21" x14ac:dyDescent="0.3">
      <c r="A37" t="s">
        <v>555</v>
      </c>
      <c r="B37" s="11">
        <v>14</v>
      </c>
      <c r="C37">
        <v>776</v>
      </c>
      <c r="D37">
        <v>14</v>
      </c>
      <c r="E37" s="4">
        <v>44516</v>
      </c>
      <c r="F37" t="s">
        <v>33</v>
      </c>
      <c r="G37" t="s">
        <v>37</v>
      </c>
      <c r="H37" t="s">
        <v>85</v>
      </c>
      <c r="I37" t="s">
        <v>86</v>
      </c>
      <c r="J37" t="s">
        <v>41</v>
      </c>
      <c r="K37" s="9">
        <v>1.21875</v>
      </c>
      <c r="L37">
        <v>12</v>
      </c>
      <c r="M37">
        <v>19</v>
      </c>
      <c r="N37">
        <v>0.63200000000000001</v>
      </c>
      <c r="O37">
        <v>9</v>
      </c>
      <c r="P37">
        <v>14</v>
      </c>
      <c r="Q37">
        <v>0.64300000000000002</v>
      </c>
      <c r="R37">
        <v>3</v>
      </c>
      <c r="S37">
        <v>5</v>
      </c>
      <c r="T37">
        <v>0.6</v>
      </c>
      <c r="U37">
        <v>0.86799999999999999</v>
      </c>
      <c r="V37">
        <v>4</v>
      </c>
      <c r="W37">
        <v>4</v>
      </c>
      <c r="X37">
        <v>1</v>
      </c>
      <c r="Y37">
        <v>0</v>
      </c>
      <c r="Z37">
        <v>7</v>
      </c>
      <c r="AA37">
        <v>7</v>
      </c>
      <c r="AB37">
        <v>5</v>
      </c>
      <c r="AC37">
        <v>2</v>
      </c>
      <c r="AD37">
        <v>1</v>
      </c>
      <c r="AE37">
        <v>2</v>
      </c>
      <c r="AF37">
        <v>4</v>
      </c>
      <c r="AG37">
        <v>37</v>
      </c>
      <c r="AH37">
        <v>33.200000000000003</v>
      </c>
      <c r="AI37">
        <v>16</v>
      </c>
    </row>
    <row r="38" spans="1:35" ht="21" x14ac:dyDescent="0.3">
      <c r="A38" t="s">
        <v>555</v>
      </c>
      <c r="B38" s="11">
        <v>15</v>
      </c>
      <c r="C38">
        <v>777</v>
      </c>
      <c r="D38">
        <v>15</v>
      </c>
      <c r="E38" s="4">
        <v>44518</v>
      </c>
      <c r="F38" t="s">
        <v>33</v>
      </c>
      <c r="G38" t="s">
        <v>37</v>
      </c>
      <c r="H38" t="s">
        <v>87</v>
      </c>
      <c r="I38" t="s">
        <v>88</v>
      </c>
      <c r="J38" t="s">
        <v>41</v>
      </c>
      <c r="K38" s="9">
        <v>1.4743055555555555</v>
      </c>
      <c r="L38">
        <v>15</v>
      </c>
      <c r="M38">
        <v>27</v>
      </c>
      <c r="N38">
        <v>0.55600000000000005</v>
      </c>
      <c r="O38">
        <v>9</v>
      </c>
      <c r="P38">
        <v>16</v>
      </c>
      <c r="Q38">
        <v>0.56299999999999994</v>
      </c>
      <c r="R38">
        <v>6</v>
      </c>
      <c r="S38">
        <v>11</v>
      </c>
      <c r="T38">
        <v>0.54500000000000004</v>
      </c>
      <c r="U38">
        <v>0.72199999999999998</v>
      </c>
      <c r="V38">
        <v>1</v>
      </c>
      <c r="W38">
        <v>1</v>
      </c>
      <c r="X38">
        <v>1</v>
      </c>
      <c r="Y38">
        <v>0</v>
      </c>
      <c r="Z38">
        <v>4</v>
      </c>
      <c r="AA38">
        <v>4</v>
      </c>
      <c r="AB38">
        <v>6</v>
      </c>
      <c r="AC38">
        <v>2</v>
      </c>
      <c r="AD38">
        <v>0</v>
      </c>
      <c r="AE38">
        <v>3</v>
      </c>
      <c r="AF38">
        <v>4</v>
      </c>
      <c r="AG38">
        <v>40</v>
      </c>
      <c r="AH38">
        <v>29.9</v>
      </c>
      <c r="AI38">
        <v>8</v>
      </c>
    </row>
    <row r="39" spans="1:35" ht="21" x14ac:dyDescent="0.3">
      <c r="A39" t="s">
        <v>555</v>
      </c>
      <c r="B39" s="11">
        <v>15</v>
      </c>
      <c r="D39">
        <v>16</v>
      </c>
      <c r="E39" s="4">
        <v>44519</v>
      </c>
      <c r="F39" t="s">
        <v>33</v>
      </c>
      <c r="G39" t="s">
        <v>37</v>
      </c>
      <c r="H39" t="s">
        <v>89</v>
      </c>
      <c r="I39" t="s">
        <v>90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  <c r="O39" t="s">
        <v>91</v>
      </c>
      <c r="P39" t="s">
        <v>91</v>
      </c>
      <c r="Q39" t="s">
        <v>91</v>
      </c>
      <c r="R39" t="s">
        <v>91</v>
      </c>
      <c r="S39" t="s">
        <v>91</v>
      </c>
      <c r="T39" t="s">
        <v>91</v>
      </c>
      <c r="U39" t="s">
        <v>91</v>
      </c>
      <c r="V39" t="s">
        <v>91</v>
      </c>
      <c r="W39" t="s">
        <v>91</v>
      </c>
      <c r="X39" t="s">
        <v>91</v>
      </c>
      <c r="Y39" t="s">
        <v>91</v>
      </c>
      <c r="Z39" t="s">
        <v>91</v>
      </c>
      <c r="AA39" t="s">
        <v>91</v>
      </c>
      <c r="AB39" t="s">
        <v>91</v>
      </c>
      <c r="AC39" t="s">
        <v>91</v>
      </c>
      <c r="AD39" t="s">
        <v>91</v>
      </c>
      <c r="AE39" t="s">
        <v>91</v>
      </c>
      <c r="AF39" t="s">
        <v>91</v>
      </c>
      <c r="AG39" t="s">
        <v>91</v>
      </c>
      <c r="AH39" t="s">
        <v>91</v>
      </c>
      <c r="AI39" t="s">
        <v>91</v>
      </c>
    </row>
    <row r="40" spans="1:35" ht="21" x14ac:dyDescent="0.3">
      <c r="A40" t="s">
        <v>555</v>
      </c>
      <c r="B40" s="11">
        <v>16</v>
      </c>
      <c r="C40">
        <v>778</v>
      </c>
      <c r="D40">
        <v>17</v>
      </c>
      <c r="E40" s="4">
        <v>44521</v>
      </c>
      <c r="F40" t="s">
        <v>33</v>
      </c>
      <c r="H40" t="s">
        <v>92</v>
      </c>
      <c r="I40" t="s">
        <v>93</v>
      </c>
      <c r="J40" t="s">
        <v>41</v>
      </c>
      <c r="K40" s="9">
        <v>1.5444444444444445</v>
      </c>
      <c r="L40">
        <v>2</v>
      </c>
      <c r="M40">
        <v>10</v>
      </c>
      <c r="N40">
        <v>0.2</v>
      </c>
      <c r="O40">
        <v>1</v>
      </c>
      <c r="P40">
        <v>6</v>
      </c>
      <c r="Q40">
        <v>0.16700000000000001</v>
      </c>
      <c r="R40">
        <v>1</v>
      </c>
      <c r="S40">
        <v>4</v>
      </c>
      <c r="T40">
        <v>0.25</v>
      </c>
      <c r="U40">
        <v>0.25</v>
      </c>
      <c r="V40">
        <v>7</v>
      </c>
      <c r="W40">
        <v>7</v>
      </c>
      <c r="X40">
        <v>1</v>
      </c>
      <c r="Y40">
        <v>0</v>
      </c>
      <c r="Z40">
        <v>2</v>
      </c>
      <c r="AA40">
        <v>2</v>
      </c>
      <c r="AB40">
        <v>8</v>
      </c>
      <c r="AC40">
        <v>1</v>
      </c>
      <c r="AD40">
        <v>0</v>
      </c>
      <c r="AE40">
        <v>4</v>
      </c>
      <c r="AF40">
        <v>1</v>
      </c>
      <c r="AG40">
        <v>12</v>
      </c>
      <c r="AH40">
        <v>8.6</v>
      </c>
      <c r="AI40">
        <v>19</v>
      </c>
    </row>
    <row r="41" spans="1:35" ht="21" x14ac:dyDescent="0.3">
      <c r="A41" t="s">
        <v>555</v>
      </c>
      <c r="B41" s="11">
        <v>17</v>
      </c>
      <c r="C41">
        <v>779</v>
      </c>
      <c r="D41">
        <v>18</v>
      </c>
      <c r="E41" s="4">
        <v>44524</v>
      </c>
      <c r="F41" t="s">
        <v>33</v>
      </c>
      <c r="H41" t="s">
        <v>94</v>
      </c>
      <c r="I41" t="s">
        <v>95</v>
      </c>
      <c r="J41" t="s">
        <v>41</v>
      </c>
      <c r="K41" s="9">
        <v>1.4548611111111112</v>
      </c>
      <c r="L41">
        <v>9</v>
      </c>
      <c r="M41">
        <v>16</v>
      </c>
      <c r="N41">
        <v>0.56299999999999994</v>
      </c>
      <c r="O41">
        <v>6</v>
      </c>
      <c r="P41">
        <v>11</v>
      </c>
      <c r="Q41">
        <v>0.54500000000000004</v>
      </c>
      <c r="R41">
        <v>3</v>
      </c>
      <c r="S41">
        <v>5</v>
      </c>
      <c r="T41">
        <v>0.6</v>
      </c>
      <c r="U41">
        <v>0.75</v>
      </c>
      <c r="V41">
        <v>1</v>
      </c>
      <c r="W41">
        <v>2</v>
      </c>
      <c r="X41">
        <v>0.5</v>
      </c>
      <c r="Y41">
        <v>0</v>
      </c>
      <c r="Z41">
        <v>4</v>
      </c>
      <c r="AA41">
        <v>4</v>
      </c>
      <c r="AB41">
        <v>10</v>
      </c>
      <c r="AC41">
        <v>1</v>
      </c>
      <c r="AD41">
        <v>0</v>
      </c>
      <c r="AE41">
        <v>4</v>
      </c>
      <c r="AF41">
        <v>1</v>
      </c>
      <c r="AG41">
        <v>25</v>
      </c>
      <c r="AH41">
        <v>21.8</v>
      </c>
      <c r="AI41">
        <v>29</v>
      </c>
    </row>
    <row r="42" spans="1:35" ht="21" x14ac:dyDescent="0.3">
      <c r="A42" t="s">
        <v>555</v>
      </c>
      <c r="B42" s="11">
        <v>18</v>
      </c>
      <c r="C42">
        <v>780</v>
      </c>
      <c r="D42">
        <v>19</v>
      </c>
      <c r="E42" s="4">
        <v>44526</v>
      </c>
      <c r="F42" t="s">
        <v>33</v>
      </c>
      <c r="H42" t="s">
        <v>96</v>
      </c>
      <c r="I42" t="s">
        <v>97</v>
      </c>
      <c r="J42" t="s">
        <v>41</v>
      </c>
      <c r="K42" s="9">
        <v>1.586111111111111</v>
      </c>
      <c r="L42">
        <v>12</v>
      </c>
      <c r="M42">
        <v>25</v>
      </c>
      <c r="N42">
        <v>0.48</v>
      </c>
      <c r="O42">
        <v>6</v>
      </c>
      <c r="P42">
        <v>15</v>
      </c>
      <c r="Q42">
        <v>0.4</v>
      </c>
      <c r="R42">
        <v>6</v>
      </c>
      <c r="S42">
        <v>10</v>
      </c>
      <c r="T42">
        <v>0.6</v>
      </c>
      <c r="U42">
        <v>0.6</v>
      </c>
      <c r="V42">
        <v>2</v>
      </c>
      <c r="W42">
        <v>3</v>
      </c>
      <c r="X42">
        <v>0.66700000000000004</v>
      </c>
      <c r="Y42">
        <v>0</v>
      </c>
      <c r="Z42">
        <v>7</v>
      </c>
      <c r="AA42">
        <v>7</v>
      </c>
      <c r="AB42">
        <v>8</v>
      </c>
      <c r="AC42">
        <v>1</v>
      </c>
      <c r="AD42">
        <v>0</v>
      </c>
      <c r="AE42">
        <v>3</v>
      </c>
      <c r="AF42">
        <v>2</v>
      </c>
      <c r="AG42">
        <v>32</v>
      </c>
      <c r="AH42">
        <v>23.8</v>
      </c>
      <c r="AI42">
        <v>18</v>
      </c>
    </row>
    <row r="43" spans="1:35" ht="21" x14ac:dyDescent="0.3">
      <c r="A43" t="s">
        <v>555</v>
      </c>
      <c r="B43" s="11">
        <v>19</v>
      </c>
      <c r="C43">
        <v>781</v>
      </c>
      <c r="D43">
        <v>20</v>
      </c>
      <c r="E43" s="4">
        <v>44528</v>
      </c>
      <c r="F43" t="s">
        <v>33</v>
      </c>
      <c r="G43" t="s">
        <v>37</v>
      </c>
      <c r="H43" t="s">
        <v>64</v>
      </c>
      <c r="I43" t="s">
        <v>98</v>
      </c>
      <c r="J43" t="s">
        <v>41</v>
      </c>
      <c r="K43" s="9">
        <v>1.4493055555555556</v>
      </c>
      <c r="L43">
        <v>12</v>
      </c>
      <c r="M43">
        <v>22</v>
      </c>
      <c r="N43">
        <v>0.54500000000000004</v>
      </c>
      <c r="O43">
        <v>7</v>
      </c>
      <c r="P43">
        <v>13</v>
      </c>
      <c r="Q43">
        <v>0.53800000000000003</v>
      </c>
      <c r="R43">
        <v>5</v>
      </c>
      <c r="S43">
        <v>9</v>
      </c>
      <c r="T43">
        <v>0.55600000000000005</v>
      </c>
      <c r="U43">
        <v>0.70499999999999996</v>
      </c>
      <c r="V43">
        <v>2</v>
      </c>
      <c r="W43">
        <v>2</v>
      </c>
      <c r="X43">
        <v>1</v>
      </c>
      <c r="Y43">
        <v>0</v>
      </c>
      <c r="Z43">
        <v>5</v>
      </c>
      <c r="AA43">
        <v>5</v>
      </c>
      <c r="AB43">
        <v>6</v>
      </c>
      <c r="AC43">
        <v>6</v>
      </c>
      <c r="AD43">
        <v>0</v>
      </c>
      <c r="AE43">
        <v>3</v>
      </c>
      <c r="AF43">
        <v>4</v>
      </c>
      <c r="AG43">
        <v>33</v>
      </c>
      <c r="AH43">
        <v>29.5</v>
      </c>
      <c r="AI43">
        <v>14</v>
      </c>
    </row>
    <row r="44" spans="1:35" ht="21" x14ac:dyDescent="0.3">
      <c r="A44" t="s">
        <v>555</v>
      </c>
      <c r="B44" s="11">
        <v>20</v>
      </c>
      <c r="C44">
        <v>782</v>
      </c>
      <c r="D44">
        <v>21</v>
      </c>
      <c r="E44" s="4">
        <v>44530</v>
      </c>
      <c r="F44" t="s">
        <v>33</v>
      </c>
      <c r="G44" t="s">
        <v>37</v>
      </c>
      <c r="H44" t="s">
        <v>99</v>
      </c>
      <c r="I44" t="s">
        <v>100</v>
      </c>
      <c r="J44" t="s">
        <v>41</v>
      </c>
      <c r="K44" s="9">
        <v>1.4986111111111111</v>
      </c>
      <c r="L44">
        <v>4</v>
      </c>
      <c r="M44">
        <v>21</v>
      </c>
      <c r="N44">
        <v>0.19</v>
      </c>
      <c r="O44">
        <v>3</v>
      </c>
      <c r="P44">
        <v>14</v>
      </c>
      <c r="Q44">
        <v>0.214</v>
      </c>
      <c r="R44">
        <v>1</v>
      </c>
      <c r="S44">
        <v>7</v>
      </c>
      <c r="T44">
        <v>0.14299999999999999</v>
      </c>
      <c r="U44">
        <v>0.26200000000000001</v>
      </c>
      <c r="V44">
        <v>1</v>
      </c>
      <c r="W44">
        <v>1</v>
      </c>
      <c r="X44">
        <v>1</v>
      </c>
      <c r="Y44">
        <v>1</v>
      </c>
      <c r="Z44">
        <v>2</v>
      </c>
      <c r="AA44">
        <v>3</v>
      </c>
      <c r="AB44">
        <v>2</v>
      </c>
      <c r="AC44">
        <v>1</v>
      </c>
      <c r="AD44">
        <v>1</v>
      </c>
      <c r="AE44">
        <v>2</v>
      </c>
      <c r="AF44">
        <v>0</v>
      </c>
      <c r="AG44">
        <v>12</v>
      </c>
      <c r="AH44">
        <v>1.3</v>
      </c>
      <c r="AI44">
        <v>-17</v>
      </c>
    </row>
    <row r="45" spans="1:35" ht="21" x14ac:dyDescent="0.3">
      <c r="A45" t="s">
        <v>555</v>
      </c>
      <c r="B45" s="11">
        <v>21</v>
      </c>
      <c r="C45">
        <v>783</v>
      </c>
      <c r="D45">
        <v>22</v>
      </c>
      <c r="E45" s="4">
        <v>44533</v>
      </c>
      <c r="F45" t="s">
        <v>33</v>
      </c>
      <c r="H45" t="s">
        <v>99</v>
      </c>
      <c r="I45" t="s">
        <v>101</v>
      </c>
      <c r="J45" t="s">
        <v>41</v>
      </c>
      <c r="K45" s="9">
        <v>1.3916666666666666</v>
      </c>
      <c r="L45">
        <v>8</v>
      </c>
      <c r="M45">
        <v>20</v>
      </c>
      <c r="N45">
        <v>0.4</v>
      </c>
      <c r="O45">
        <v>6</v>
      </c>
      <c r="P45">
        <v>11</v>
      </c>
      <c r="Q45">
        <v>0.54500000000000004</v>
      </c>
      <c r="R45">
        <v>2</v>
      </c>
      <c r="S45">
        <v>9</v>
      </c>
      <c r="T45">
        <v>0.222</v>
      </c>
      <c r="U45">
        <v>0.55000000000000004</v>
      </c>
      <c r="V45">
        <v>1</v>
      </c>
      <c r="W45">
        <v>2</v>
      </c>
      <c r="X45">
        <v>0.5</v>
      </c>
      <c r="Y45">
        <v>2</v>
      </c>
      <c r="Z45">
        <v>3</v>
      </c>
      <c r="AA45">
        <v>5</v>
      </c>
      <c r="AB45">
        <v>5</v>
      </c>
      <c r="AC45">
        <v>0</v>
      </c>
      <c r="AD45">
        <v>0</v>
      </c>
      <c r="AE45">
        <v>3</v>
      </c>
      <c r="AF45">
        <v>2</v>
      </c>
      <c r="AG45">
        <v>23</v>
      </c>
      <c r="AH45">
        <v>13.8</v>
      </c>
      <c r="AI45">
        <v>10</v>
      </c>
    </row>
    <row r="46" spans="1:35" ht="21" x14ac:dyDescent="0.3">
      <c r="A46" t="s">
        <v>555</v>
      </c>
      <c r="B46" s="11">
        <v>22</v>
      </c>
      <c r="C46">
        <v>784</v>
      </c>
      <c r="D46">
        <v>23</v>
      </c>
      <c r="E46" s="4">
        <v>44534</v>
      </c>
      <c r="F46" t="s">
        <v>33</v>
      </c>
      <c r="H46" t="s">
        <v>102</v>
      </c>
      <c r="I46" t="s">
        <v>103</v>
      </c>
      <c r="J46" t="s">
        <v>41</v>
      </c>
      <c r="K46" s="9">
        <v>1.5361111111111112</v>
      </c>
      <c r="L46">
        <v>7</v>
      </c>
      <c r="M46">
        <v>28</v>
      </c>
      <c r="N46">
        <v>0.25</v>
      </c>
      <c r="O46">
        <v>5</v>
      </c>
      <c r="P46">
        <v>17</v>
      </c>
      <c r="Q46">
        <v>0.29399999999999998</v>
      </c>
      <c r="R46">
        <v>2</v>
      </c>
      <c r="S46">
        <v>11</v>
      </c>
      <c r="T46">
        <v>0.182</v>
      </c>
      <c r="U46">
        <v>0.33900000000000002</v>
      </c>
      <c r="V46">
        <v>8</v>
      </c>
      <c r="W46">
        <v>9</v>
      </c>
      <c r="X46">
        <v>0.88900000000000001</v>
      </c>
      <c r="Y46">
        <v>1</v>
      </c>
      <c r="Z46">
        <v>7</v>
      </c>
      <c r="AA46">
        <v>8</v>
      </c>
      <c r="AB46">
        <v>5</v>
      </c>
      <c r="AC46">
        <v>3</v>
      </c>
      <c r="AD46">
        <v>0</v>
      </c>
      <c r="AE46">
        <v>1</v>
      </c>
      <c r="AF46">
        <v>1</v>
      </c>
      <c r="AG46">
        <v>27</v>
      </c>
      <c r="AH46">
        <v>17.7</v>
      </c>
      <c r="AI46">
        <v>3</v>
      </c>
    </row>
    <row r="47" spans="1:35" ht="21" x14ac:dyDescent="0.3">
      <c r="A47" t="s">
        <v>555</v>
      </c>
      <c r="B47" s="11">
        <v>23</v>
      </c>
      <c r="C47">
        <v>785</v>
      </c>
      <c r="D47">
        <v>24</v>
      </c>
      <c r="E47" s="4">
        <v>44536</v>
      </c>
      <c r="F47" t="s">
        <v>33</v>
      </c>
      <c r="H47" t="s">
        <v>104</v>
      </c>
      <c r="I47" t="s">
        <v>105</v>
      </c>
      <c r="J47" t="s">
        <v>41</v>
      </c>
      <c r="K47" s="9">
        <v>1.2902777777777779</v>
      </c>
      <c r="L47">
        <v>8</v>
      </c>
      <c r="M47">
        <v>16</v>
      </c>
      <c r="N47">
        <v>0.5</v>
      </c>
      <c r="O47">
        <v>7</v>
      </c>
      <c r="P47">
        <v>13</v>
      </c>
      <c r="Q47">
        <v>0.53800000000000003</v>
      </c>
      <c r="R47">
        <v>1</v>
      </c>
      <c r="S47">
        <v>3</v>
      </c>
      <c r="T47">
        <v>0.33300000000000002</v>
      </c>
      <c r="U47">
        <v>0.71899999999999997</v>
      </c>
      <c r="V47">
        <v>8</v>
      </c>
      <c r="W47">
        <v>8</v>
      </c>
      <c r="X47">
        <v>1</v>
      </c>
      <c r="Y47">
        <v>0</v>
      </c>
      <c r="Z47">
        <v>3</v>
      </c>
      <c r="AA47">
        <v>3</v>
      </c>
      <c r="AB47">
        <v>8</v>
      </c>
      <c r="AC47">
        <v>2</v>
      </c>
      <c r="AD47">
        <v>0</v>
      </c>
      <c r="AE47">
        <v>3</v>
      </c>
      <c r="AF47">
        <v>2</v>
      </c>
      <c r="AG47">
        <v>31</v>
      </c>
      <c r="AH47">
        <v>27.7</v>
      </c>
      <c r="AI47">
        <v>9</v>
      </c>
    </row>
    <row r="48" spans="1:35" ht="21" x14ac:dyDescent="0.3">
      <c r="A48" t="s">
        <v>555</v>
      </c>
      <c r="B48" s="11">
        <v>24</v>
      </c>
      <c r="C48">
        <v>786</v>
      </c>
      <c r="D48">
        <v>25</v>
      </c>
      <c r="E48" s="4">
        <v>44538</v>
      </c>
      <c r="F48" t="s">
        <v>33</v>
      </c>
      <c r="H48" t="s">
        <v>96</v>
      </c>
      <c r="I48" t="s">
        <v>106</v>
      </c>
      <c r="J48" t="s">
        <v>41</v>
      </c>
      <c r="K48" s="9">
        <v>1.3895833333333334</v>
      </c>
      <c r="L48">
        <v>8</v>
      </c>
      <c r="M48">
        <v>19</v>
      </c>
      <c r="N48">
        <v>0.42099999999999999</v>
      </c>
      <c r="O48">
        <v>6</v>
      </c>
      <c r="P48">
        <v>17</v>
      </c>
      <c r="Q48">
        <v>0.35299999999999998</v>
      </c>
      <c r="R48">
        <v>2</v>
      </c>
      <c r="S48">
        <v>2</v>
      </c>
      <c r="T48">
        <v>1</v>
      </c>
      <c r="U48">
        <v>0.57899999999999996</v>
      </c>
      <c r="V48">
        <v>0</v>
      </c>
      <c r="W48">
        <v>0</v>
      </c>
      <c r="Y48">
        <v>2</v>
      </c>
      <c r="Z48">
        <v>0</v>
      </c>
      <c r="AA48">
        <v>2</v>
      </c>
      <c r="AB48">
        <v>2</v>
      </c>
      <c r="AC48">
        <v>1</v>
      </c>
      <c r="AD48">
        <v>0</v>
      </c>
      <c r="AE48">
        <v>4</v>
      </c>
      <c r="AF48">
        <v>3</v>
      </c>
      <c r="AG48">
        <v>22</v>
      </c>
      <c r="AH48">
        <v>10.5</v>
      </c>
      <c r="AI48">
        <v>16</v>
      </c>
    </row>
    <row r="49" spans="1:35" ht="21" x14ac:dyDescent="0.3">
      <c r="A49" t="s">
        <v>555</v>
      </c>
      <c r="B49" s="11">
        <v>25</v>
      </c>
      <c r="C49">
        <v>787</v>
      </c>
      <c r="D49">
        <v>26</v>
      </c>
      <c r="E49" s="4">
        <v>44541</v>
      </c>
      <c r="F49" t="s">
        <v>33</v>
      </c>
      <c r="G49" t="s">
        <v>37</v>
      </c>
      <c r="H49" t="s">
        <v>94</v>
      </c>
      <c r="I49" t="s">
        <v>107</v>
      </c>
      <c r="J49" t="s">
        <v>41</v>
      </c>
      <c r="K49" s="9">
        <v>1.5097222222222222</v>
      </c>
      <c r="L49">
        <v>6</v>
      </c>
      <c r="M49">
        <v>20</v>
      </c>
      <c r="N49">
        <v>0.3</v>
      </c>
      <c r="O49">
        <v>3</v>
      </c>
      <c r="P49">
        <v>14</v>
      </c>
      <c r="Q49">
        <v>0.214</v>
      </c>
      <c r="R49">
        <v>3</v>
      </c>
      <c r="S49">
        <v>6</v>
      </c>
      <c r="T49">
        <v>0.5</v>
      </c>
      <c r="U49">
        <v>0.375</v>
      </c>
      <c r="V49">
        <v>3</v>
      </c>
      <c r="W49">
        <v>4</v>
      </c>
      <c r="X49">
        <v>0.75</v>
      </c>
      <c r="Y49">
        <v>2</v>
      </c>
      <c r="Z49">
        <v>7</v>
      </c>
      <c r="AA49">
        <v>9</v>
      </c>
      <c r="AB49">
        <v>5</v>
      </c>
      <c r="AC49">
        <v>0</v>
      </c>
      <c r="AD49">
        <v>0</v>
      </c>
      <c r="AE49">
        <v>3</v>
      </c>
      <c r="AF49">
        <v>1</v>
      </c>
      <c r="AG49">
        <v>18</v>
      </c>
      <c r="AH49">
        <v>9.6</v>
      </c>
      <c r="AI49">
        <v>-9</v>
      </c>
    </row>
    <row r="50" spans="1:35" ht="21" x14ac:dyDescent="0.3">
      <c r="A50" t="s">
        <v>555</v>
      </c>
      <c r="B50" s="11">
        <v>26</v>
      </c>
      <c r="C50">
        <v>788</v>
      </c>
      <c r="D50">
        <v>27</v>
      </c>
      <c r="E50" s="4">
        <v>44543</v>
      </c>
      <c r="F50" t="s">
        <v>33</v>
      </c>
      <c r="G50" t="s">
        <v>37</v>
      </c>
      <c r="H50" t="s">
        <v>108</v>
      </c>
      <c r="I50" t="s">
        <v>109</v>
      </c>
      <c r="J50" t="s">
        <v>41</v>
      </c>
      <c r="K50" s="9">
        <v>1.4729166666666667</v>
      </c>
      <c r="L50">
        <v>8</v>
      </c>
      <c r="M50">
        <v>20</v>
      </c>
      <c r="N50">
        <v>0.4</v>
      </c>
      <c r="O50">
        <v>5</v>
      </c>
      <c r="P50">
        <v>15</v>
      </c>
      <c r="Q50">
        <v>0.33300000000000002</v>
      </c>
      <c r="R50">
        <v>3</v>
      </c>
      <c r="S50">
        <v>5</v>
      </c>
      <c r="T50">
        <v>0.6</v>
      </c>
      <c r="U50">
        <v>0.52500000000000002</v>
      </c>
      <c r="V50">
        <v>5</v>
      </c>
      <c r="W50">
        <v>5</v>
      </c>
      <c r="X50">
        <v>1</v>
      </c>
      <c r="Y50">
        <v>1</v>
      </c>
      <c r="Z50">
        <v>5</v>
      </c>
      <c r="AA50">
        <v>6</v>
      </c>
      <c r="AB50">
        <v>6</v>
      </c>
      <c r="AC50">
        <v>1</v>
      </c>
      <c r="AD50">
        <v>1</v>
      </c>
      <c r="AE50">
        <v>7</v>
      </c>
      <c r="AF50">
        <v>1</v>
      </c>
      <c r="AG50">
        <v>26</v>
      </c>
      <c r="AH50">
        <v>15.9</v>
      </c>
      <c r="AI50">
        <v>17</v>
      </c>
    </row>
    <row r="51" spans="1:35" ht="21" x14ac:dyDescent="0.3">
      <c r="A51" t="s">
        <v>555</v>
      </c>
      <c r="B51" s="11">
        <v>27</v>
      </c>
      <c r="C51">
        <v>789</v>
      </c>
      <c r="D51">
        <v>28</v>
      </c>
      <c r="E51" s="4">
        <v>44544</v>
      </c>
      <c r="F51" t="s">
        <v>33</v>
      </c>
      <c r="G51" t="s">
        <v>37</v>
      </c>
      <c r="H51" t="s">
        <v>110</v>
      </c>
      <c r="I51" t="s">
        <v>111</v>
      </c>
      <c r="J51" t="s">
        <v>41</v>
      </c>
      <c r="K51" s="9">
        <v>1.4465277777777779</v>
      </c>
      <c r="L51">
        <v>8</v>
      </c>
      <c r="M51">
        <v>19</v>
      </c>
      <c r="N51">
        <v>0.42099999999999999</v>
      </c>
      <c r="O51">
        <v>5</v>
      </c>
      <c r="P51">
        <v>14</v>
      </c>
      <c r="Q51">
        <v>0.35699999999999998</v>
      </c>
      <c r="R51">
        <v>3</v>
      </c>
      <c r="S51">
        <v>5</v>
      </c>
      <c r="T51">
        <v>0.6</v>
      </c>
      <c r="U51">
        <v>0.55300000000000005</v>
      </c>
      <c r="V51">
        <v>1</v>
      </c>
      <c r="W51">
        <v>2</v>
      </c>
      <c r="X51">
        <v>0.5</v>
      </c>
      <c r="Y51">
        <v>0</v>
      </c>
      <c r="Z51">
        <v>3</v>
      </c>
      <c r="AA51">
        <v>3</v>
      </c>
      <c r="AB51">
        <v>3</v>
      </c>
      <c r="AC51">
        <v>1</v>
      </c>
      <c r="AD51">
        <v>1</v>
      </c>
      <c r="AE51">
        <v>4</v>
      </c>
      <c r="AF51">
        <v>4</v>
      </c>
      <c r="AG51">
        <v>22</v>
      </c>
      <c r="AH51">
        <v>10.6</v>
      </c>
      <c r="AI51">
        <v>13</v>
      </c>
    </row>
    <row r="52" spans="1:35" ht="21" x14ac:dyDescent="0.3">
      <c r="A52" t="s">
        <v>555</v>
      </c>
      <c r="B52" s="11">
        <v>28</v>
      </c>
      <c r="C52">
        <v>790</v>
      </c>
      <c r="D52">
        <v>29</v>
      </c>
      <c r="E52" s="4">
        <v>44547</v>
      </c>
      <c r="F52" t="s">
        <v>33</v>
      </c>
      <c r="G52" t="s">
        <v>37</v>
      </c>
      <c r="H52" t="s">
        <v>55</v>
      </c>
      <c r="I52" t="s">
        <v>112</v>
      </c>
      <c r="J52" t="s">
        <v>41</v>
      </c>
      <c r="K52" s="9">
        <v>1.46875</v>
      </c>
      <c r="L52">
        <v>8</v>
      </c>
      <c r="M52">
        <v>21</v>
      </c>
      <c r="N52">
        <v>0.38100000000000001</v>
      </c>
      <c r="O52">
        <v>5</v>
      </c>
      <c r="P52">
        <v>14</v>
      </c>
      <c r="Q52">
        <v>0.35699999999999998</v>
      </c>
      <c r="R52">
        <v>3</v>
      </c>
      <c r="S52">
        <v>7</v>
      </c>
      <c r="T52">
        <v>0.42899999999999999</v>
      </c>
      <c r="U52">
        <v>0.5</v>
      </c>
      <c r="V52">
        <v>9</v>
      </c>
      <c r="W52">
        <v>9</v>
      </c>
      <c r="X52">
        <v>1</v>
      </c>
      <c r="Y52">
        <v>1</v>
      </c>
      <c r="Z52">
        <v>4</v>
      </c>
      <c r="AA52">
        <v>5</v>
      </c>
      <c r="AB52">
        <v>4</v>
      </c>
      <c r="AC52">
        <v>1</v>
      </c>
      <c r="AD52">
        <v>0</v>
      </c>
      <c r="AE52">
        <v>6</v>
      </c>
      <c r="AF52">
        <v>6</v>
      </c>
      <c r="AG52">
        <v>30</v>
      </c>
      <c r="AH52">
        <v>15.8</v>
      </c>
      <c r="AI52">
        <v>-10</v>
      </c>
    </row>
    <row r="53" spans="1:35" ht="21" x14ac:dyDescent="0.3">
      <c r="A53" t="s">
        <v>555</v>
      </c>
      <c r="B53" s="11">
        <v>28</v>
      </c>
      <c r="D53">
        <v>30</v>
      </c>
      <c r="E53" s="4">
        <v>44548</v>
      </c>
      <c r="F53" t="s">
        <v>33</v>
      </c>
      <c r="G53" t="s">
        <v>37</v>
      </c>
      <c r="H53" t="s">
        <v>92</v>
      </c>
      <c r="I53" t="s">
        <v>113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  <c r="O53" t="s">
        <v>91</v>
      </c>
      <c r="P53" t="s">
        <v>91</v>
      </c>
      <c r="Q53" t="s">
        <v>91</v>
      </c>
      <c r="R53" t="s">
        <v>91</v>
      </c>
      <c r="S53" t="s">
        <v>91</v>
      </c>
      <c r="T53" t="s">
        <v>91</v>
      </c>
      <c r="U53" t="s">
        <v>91</v>
      </c>
      <c r="V53" t="s">
        <v>91</v>
      </c>
      <c r="W53" t="s">
        <v>91</v>
      </c>
      <c r="X53" t="s">
        <v>91</v>
      </c>
      <c r="Y53" t="s">
        <v>91</v>
      </c>
      <c r="Z53" t="s">
        <v>91</v>
      </c>
      <c r="AA53" t="s">
        <v>91</v>
      </c>
      <c r="AB53" t="s">
        <v>91</v>
      </c>
      <c r="AC53" t="s">
        <v>91</v>
      </c>
      <c r="AD53" t="s">
        <v>91</v>
      </c>
      <c r="AE53" t="s">
        <v>91</v>
      </c>
      <c r="AF53" t="s">
        <v>91</v>
      </c>
      <c r="AG53" t="s">
        <v>91</v>
      </c>
      <c r="AH53" t="s">
        <v>91</v>
      </c>
      <c r="AI53" t="s">
        <v>91</v>
      </c>
    </row>
    <row r="54" spans="1:35" ht="21" x14ac:dyDescent="0.3">
      <c r="A54" t="s">
        <v>555</v>
      </c>
      <c r="B54" s="11">
        <v>29</v>
      </c>
      <c r="C54">
        <v>791</v>
      </c>
      <c r="D54">
        <v>31</v>
      </c>
      <c r="E54" s="4">
        <v>44550</v>
      </c>
      <c r="F54" t="s">
        <v>33</v>
      </c>
      <c r="H54" t="s">
        <v>66</v>
      </c>
      <c r="I54" t="s">
        <v>114</v>
      </c>
      <c r="J54" t="s">
        <v>41</v>
      </c>
      <c r="K54" s="9">
        <v>1.5097222222222222</v>
      </c>
      <c r="L54">
        <v>13</v>
      </c>
      <c r="M54">
        <v>27</v>
      </c>
      <c r="N54">
        <v>0.48099999999999998</v>
      </c>
      <c r="O54">
        <v>4</v>
      </c>
      <c r="P54">
        <v>12</v>
      </c>
      <c r="Q54">
        <v>0.33300000000000002</v>
      </c>
      <c r="R54">
        <v>9</v>
      </c>
      <c r="S54">
        <v>15</v>
      </c>
      <c r="T54">
        <v>0.6</v>
      </c>
      <c r="U54">
        <v>0.55600000000000005</v>
      </c>
      <c r="V54">
        <v>0</v>
      </c>
      <c r="W54">
        <v>1</v>
      </c>
      <c r="X54">
        <v>0</v>
      </c>
      <c r="Y54">
        <v>0</v>
      </c>
      <c r="Z54">
        <v>3</v>
      </c>
      <c r="AA54">
        <v>3</v>
      </c>
      <c r="AB54">
        <v>4</v>
      </c>
      <c r="AC54">
        <v>0</v>
      </c>
      <c r="AD54">
        <v>2</v>
      </c>
      <c r="AE54">
        <v>4</v>
      </c>
      <c r="AF54">
        <v>1</v>
      </c>
      <c r="AG54">
        <v>30</v>
      </c>
      <c r="AH54">
        <v>16.600000000000001</v>
      </c>
      <c r="AI54">
        <v>16</v>
      </c>
    </row>
    <row r="55" spans="1:35" ht="21" x14ac:dyDescent="0.3">
      <c r="A55" t="s">
        <v>555</v>
      </c>
      <c r="B55" s="11">
        <v>30</v>
      </c>
      <c r="C55">
        <v>792</v>
      </c>
      <c r="D55">
        <v>32</v>
      </c>
      <c r="E55" s="4">
        <v>44553</v>
      </c>
      <c r="F55" t="s">
        <v>33</v>
      </c>
      <c r="H55" t="s">
        <v>42</v>
      </c>
      <c r="I55" t="s">
        <v>115</v>
      </c>
      <c r="J55" t="s">
        <v>41</v>
      </c>
      <c r="K55" s="9">
        <v>1.554861111111111</v>
      </c>
      <c r="L55">
        <v>13</v>
      </c>
      <c r="M55">
        <v>22</v>
      </c>
      <c r="N55">
        <v>0.59099999999999997</v>
      </c>
      <c r="O55">
        <v>8</v>
      </c>
      <c r="P55">
        <v>14</v>
      </c>
      <c r="Q55">
        <v>0.57099999999999995</v>
      </c>
      <c r="R55">
        <v>5</v>
      </c>
      <c r="S55">
        <v>8</v>
      </c>
      <c r="T55">
        <v>0.625</v>
      </c>
      <c r="U55">
        <v>0.77300000000000002</v>
      </c>
      <c r="V55">
        <v>12</v>
      </c>
      <c r="W55">
        <v>12</v>
      </c>
      <c r="X55">
        <v>1</v>
      </c>
      <c r="Y55">
        <v>0</v>
      </c>
      <c r="Z55">
        <v>4</v>
      </c>
      <c r="AA55">
        <v>4</v>
      </c>
      <c r="AB55">
        <v>4</v>
      </c>
      <c r="AC55">
        <v>2</v>
      </c>
      <c r="AD55">
        <v>0</v>
      </c>
      <c r="AE55">
        <v>3</v>
      </c>
      <c r="AF55">
        <v>1</v>
      </c>
      <c r="AG55">
        <v>46</v>
      </c>
      <c r="AH55">
        <v>38.4</v>
      </c>
      <c r="AI55">
        <v>15</v>
      </c>
    </row>
    <row r="56" spans="1:35" ht="21" x14ac:dyDescent="0.3">
      <c r="A56" t="s">
        <v>555</v>
      </c>
      <c r="B56" s="11">
        <v>31</v>
      </c>
      <c r="C56">
        <v>793</v>
      </c>
      <c r="D56">
        <v>33</v>
      </c>
      <c r="E56" s="4">
        <v>44555</v>
      </c>
      <c r="F56" t="s">
        <v>33</v>
      </c>
      <c r="G56" t="s">
        <v>37</v>
      </c>
      <c r="H56" t="s">
        <v>99</v>
      </c>
      <c r="I56" t="s">
        <v>116</v>
      </c>
      <c r="J56" t="s">
        <v>41</v>
      </c>
      <c r="K56" s="9">
        <v>1.55</v>
      </c>
      <c r="L56">
        <v>10</v>
      </c>
      <c r="M56">
        <v>27</v>
      </c>
      <c r="N56">
        <v>0.37</v>
      </c>
      <c r="O56">
        <v>5</v>
      </c>
      <c r="P56">
        <v>16</v>
      </c>
      <c r="Q56">
        <v>0.313</v>
      </c>
      <c r="R56">
        <v>5</v>
      </c>
      <c r="S56">
        <v>11</v>
      </c>
      <c r="T56">
        <v>0.45500000000000002</v>
      </c>
      <c r="U56">
        <v>0.46300000000000002</v>
      </c>
      <c r="V56">
        <v>8</v>
      </c>
      <c r="W56">
        <v>9</v>
      </c>
      <c r="X56">
        <v>0.88900000000000001</v>
      </c>
      <c r="Y56">
        <v>0</v>
      </c>
      <c r="Z56">
        <v>4</v>
      </c>
      <c r="AA56">
        <v>4</v>
      </c>
      <c r="AB56">
        <v>6</v>
      </c>
      <c r="AC56">
        <v>3</v>
      </c>
      <c r="AD56">
        <v>1</v>
      </c>
      <c r="AE56">
        <v>1</v>
      </c>
      <c r="AF56">
        <v>3</v>
      </c>
      <c r="AG56">
        <v>33</v>
      </c>
      <c r="AH56">
        <v>24.6</v>
      </c>
      <c r="AI56">
        <v>24</v>
      </c>
    </row>
    <row r="57" spans="1:35" ht="21" x14ac:dyDescent="0.3">
      <c r="A57" t="s">
        <v>555</v>
      </c>
      <c r="B57" s="11">
        <v>32</v>
      </c>
      <c r="C57">
        <v>794</v>
      </c>
      <c r="D57">
        <v>34</v>
      </c>
      <c r="E57" s="4">
        <v>44558</v>
      </c>
      <c r="F57" t="s">
        <v>33</v>
      </c>
      <c r="H57" t="s">
        <v>34</v>
      </c>
      <c r="I57" t="s">
        <v>117</v>
      </c>
      <c r="J57" t="s">
        <v>41</v>
      </c>
      <c r="K57" s="9">
        <v>1.6284722222222223</v>
      </c>
      <c r="L57">
        <v>6</v>
      </c>
      <c r="M57">
        <v>16</v>
      </c>
      <c r="N57">
        <v>0.375</v>
      </c>
      <c r="O57">
        <v>5</v>
      </c>
      <c r="P57">
        <v>14</v>
      </c>
      <c r="Q57">
        <v>0.35699999999999998</v>
      </c>
      <c r="R57">
        <v>1</v>
      </c>
      <c r="S57">
        <v>2</v>
      </c>
      <c r="T57">
        <v>0.5</v>
      </c>
      <c r="U57">
        <v>0.53100000000000003</v>
      </c>
      <c r="V57">
        <v>6</v>
      </c>
      <c r="W57">
        <v>7</v>
      </c>
      <c r="X57">
        <v>0.85699999999999998</v>
      </c>
      <c r="Y57">
        <v>0</v>
      </c>
      <c r="Z57">
        <v>4</v>
      </c>
      <c r="AA57">
        <v>4</v>
      </c>
      <c r="AB57">
        <v>4</v>
      </c>
      <c r="AC57">
        <v>0</v>
      </c>
      <c r="AD57">
        <v>0</v>
      </c>
      <c r="AE57">
        <v>6</v>
      </c>
      <c r="AF57">
        <v>3</v>
      </c>
      <c r="AG57">
        <v>23</v>
      </c>
      <c r="AH57">
        <v>10.6</v>
      </c>
      <c r="AI57">
        <v>5</v>
      </c>
    </row>
    <row r="58" spans="1:35" ht="21" x14ac:dyDescent="0.3">
      <c r="A58" t="s">
        <v>555</v>
      </c>
      <c r="B58" s="11">
        <v>33</v>
      </c>
      <c r="C58">
        <v>795</v>
      </c>
      <c r="D58">
        <v>35</v>
      </c>
      <c r="E58" s="4">
        <v>44562</v>
      </c>
      <c r="F58" t="s">
        <v>33</v>
      </c>
      <c r="G58" t="s">
        <v>37</v>
      </c>
      <c r="H58" t="s">
        <v>118</v>
      </c>
      <c r="I58" t="s">
        <v>119</v>
      </c>
      <c r="J58" t="s">
        <v>41</v>
      </c>
      <c r="K58" s="9">
        <v>1.4798611111111111</v>
      </c>
      <c r="L58">
        <v>8</v>
      </c>
      <c r="M58">
        <v>18</v>
      </c>
      <c r="N58">
        <v>0.44400000000000001</v>
      </c>
      <c r="O58">
        <v>6</v>
      </c>
      <c r="P58">
        <v>12</v>
      </c>
      <c r="Q58">
        <v>0.5</v>
      </c>
      <c r="R58">
        <v>2</v>
      </c>
      <c r="S58">
        <v>6</v>
      </c>
      <c r="T58">
        <v>0.33300000000000002</v>
      </c>
      <c r="U58">
        <v>0.61099999999999999</v>
      </c>
      <c r="V58">
        <v>6</v>
      </c>
      <c r="W58">
        <v>7</v>
      </c>
      <c r="X58">
        <v>0.85699999999999998</v>
      </c>
      <c r="Y58">
        <v>0</v>
      </c>
      <c r="Z58">
        <v>6</v>
      </c>
      <c r="AA58">
        <v>6</v>
      </c>
      <c r="AB58">
        <v>9</v>
      </c>
      <c r="AC58">
        <v>0</v>
      </c>
      <c r="AD58">
        <v>1</v>
      </c>
      <c r="AE58">
        <v>3</v>
      </c>
      <c r="AF58">
        <v>3</v>
      </c>
      <c r="AG58">
        <v>28</v>
      </c>
      <c r="AH58">
        <v>22.8</v>
      </c>
      <c r="AI58">
        <v>4</v>
      </c>
    </row>
    <row r="59" spans="1:35" ht="21" x14ac:dyDescent="0.3">
      <c r="A59" t="s">
        <v>555</v>
      </c>
      <c r="B59" s="11">
        <v>34</v>
      </c>
      <c r="C59">
        <v>796</v>
      </c>
      <c r="D59">
        <v>36</v>
      </c>
      <c r="E59" s="4">
        <v>44564</v>
      </c>
      <c r="F59" t="s">
        <v>33</v>
      </c>
      <c r="H59" t="s">
        <v>120</v>
      </c>
      <c r="I59" t="s">
        <v>121</v>
      </c>
      <c r="J59" t="s">
        <v>41</v>
      </c>
      <c r="K59" s="9">
        <v>1.3340277777777778</v>
      </c>
      <c r="L59">
        <v>3</v>
      </c>
      <c r="M59">
        <v>17</v>
      </c>
      <c r="N59">
        <v>0.17599999999999999</v>
      </c>
      <c r="O59">
        <v>1</v>
      </c>
      <c r="P59">
        <v>10</v>
      </c>
      <c r="Q59">
        <v>0.1</v>
      </c>
      <c r="R59">
        <v>2</v>
      </c>
      <c r="S59">
        <v>7</v>
      </c>
      <c r="T59">
        <v>0.28599999999999998</v>
      </c>
      <c r="U59">
        <v>0.20599999999999999</v>
      </c>
      <c r="V59">
        <v>2</v>
      </c>
      <c r="W59">
        <v>2</v>
      </c>
      <c r="X59">
        <v>1</v>
      </c>
      <c r="Y59">
        <v>0</v>
      </c>
      <c r="Z59">
        <v>3</v>
      </c>
      <c r="AA59">
        <v>3</v>
      </c>
      <c r="AB59">
        <v>10</v>
      </c>
      <c r="AC59">
        <v>0</v>
      </c>
      <c r="AD59">
        <v>1</v>
      </c>
      <c r="AE59">
        <v>2</v>
      </c>
      <c r="AF59">
        <v>3</v>
      </c>
      <c r="AG59">
        <v>9</v>
      </c>
      <c r="AH59">
        <v>3.7</v>
      </c>
      <c r="AI59">
        <v>0</v>
      </c>
    </row>
    <row r="60" spans="1:35" ht="21" x14ac:dyDescent="0.3">
      <c r="A60" t="s">
        <v>555</v>
      </c>
      <c r="B60" s="11">
        <v>35</v>
      </c>
      <c r="C60">
        <v>797</v>
      </c>
      <c r="D60">
        <v>37</v>
      </c>
      <c r="E60" s="4">
        <v>44566</v>
      </c>
      <c r="F60" t="s">
        <v>33</v>
      </c>
      <c r="G60" t="s">
        <v>37</v>
      </c>
      <c r="H60" t="s">
        <v>49</v>
      </c>
      <c r="I60" t="s">
        <v>122</v>
      </c>
      <c r="J60" t="s">
        <v>41</v>
      </c>
      <c r="K60" s="9">
        <v>1.5027777777777778</v>
      </c>
      <c r="L60">
        <v>5</v>
      </c>
      <c r="M60">
        <v>24</v>
      </c>
      <c r="N60">
        <v>0.20799999999999999</v>
      </c>
      <c r="O60">
        <v>1</v>
      </c>
      <c r="P60">
        <v>9</v>
      </c>
      <c r="Q60">
        <v>0.111</v>
      </c>
      <c r="R60">
        <v>4</v>
      </c>
      <c r="S60">
        <v>15</v>
      </c>
      <c r="T60">
        <v>0.26700000000000002</v>
      </c>
      <c r="U60">
        <v>0.22900000000000001</v>
      </c>
      <c r="V60">
        <v>3</v>
      </c>
      <c r="W60">
        <v>4</v>
      </c>
      <c r="X60">
        <v>0.75</v>
      </c>
      <c r="Y60">
        <v>0</v>
      </c>
      <c r="Z60">
        <v>9</v>
      </c>
      <c r="AA60">
        <v>9</v>
      </c>
      <c r="AB60">
        <v>5</v>
      </c>
      <c r="AC60">
        <v>0</v>
      </c>
      <c r="AD60">
        <v>1</v>
      </c>
      <c r="AE60">
        <v>5</v>
      </c>
      <c r="AF60">
        <v>2</v>
      </c>
      <c r="AG60">
        <v>14</v>
      </c>
      <c r="AH60">
        <v>-0.1</v>
      </c>
      <c r="AI60">
        <v>0</v>
      </c>
    </row>
    <row r="61" spans="1:35" ht="21" x14ac:dyDescent="0.3">
      <c r="A61" t="s">
        <v>555</v>
      </c>
      <c r="B61" s="11">
        <v>35</v>
      </c>
      <c r="D61">
        <v>38</v>
      </c>
      <c r="E61" s="4">
        <v>44567</v>
      </c>
      <c r="F61" t="s">
        <v>33</v>
      </c>
      <c r="G61" t="s">
        <v>37</v>
      </c>
      <c r="H61" t="s">
        <v>74</v>
      </c>
      <c r="I61" t="s">
        <v>123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  <c r="O61" t="s">
        <v>91</v>
      </c>
      <c r="P61" t="s">
        <v>91</v>
      </c>
      <c r="Q61" t="s">
        <v>91</v>
      </c>
      <c r="R61" t="s">
        <v>91</v>
      </c>
      <c r="S61" t="s">
        <v>91</v>
      </c>
      <c r="T61" t="s">
        <v>91</v>
      </c>
      <c r="U61" t="s">
        <v>91</v>
      </c>
      <c r="V61" t="s">
        <v>91</v>
      </c>
      <c r="W61" t="s">
        <v>91</v>
      </c>
      <c r="X61" t="s">
        <v>91</v>
      </c>
      <c r="Y61" t="s">
        <v>91</v>
      </c>
      <c r="Z61" t="s">
        <v>91</v>
      </c>
      <c r="AA61" t="s">
        <v>91</v>
      </c>
      <c r="AB61" t="s">
        <v>91</v>
      </c>
      <c r="AC61" t="s">
        <v>91</v>
      </c>
      <c r="AD61" t="s">
        <v>91</v>
      </c>
      <c r="AE61" t="s">
        <v>91</v>
      </c>
      <c r="AF61" t="s">
        <v>91</v>
      </c>
      <c r="AG61" t="s">
        <v>91</v>
      </c>
      <c r="AH61" t="s">
        <v>91</v>
      </c>
      <c r="AI61" t="s">
        <v>91</v>
      </c>
    </row>
    <row r="62" spans="1:35" ht="21" x14ac:dyDescent="0.3">
      <c r="A62" t="s">
        <v>555</v>
      </c>
      <c r="B62" s="11">
        <v>36</v>
      </c>
      <c r="C62">
        <v>798</v>
      </c>
      <c r="D62">
        <v>39</v>
      </c>
      <c r="E62" s="4">
        <v>44570</v>
      </c>
      <c r="F62" t="s">
        <v>33</v>
      </c>
      <c r="H62" t="s">
        <v>87</v>
      </c>
      <c r="I62" t="s">
        <v>124</v>
      </c>
      <c r="J62" t="s">
        <v>41</v>
      </c>
      <c r="K62" s="9">
        <v>1.5215277777777778</v>
      </c>
      <c r="L62">
        <v>10</v>
      </c>
      <c r="M62">
        <v>21</v>
      </c>
      <c r="N62">
        <v>0.47599999999999998</v>
      </c>
      <c r="O62">
        <v>4</v>
      </c>
      <c r="P62">
        <v>11</v>
      </c>
      <c r="Q62">
        <v>0.36399999999999999</v>
      </c>
      <c r="R62">
        <v>6</v>
      </c>
      <c r="S62">
        <v>10</v>
      </c>
      <c r="T62">
        <v>0.6</v>
      </c>
      <c r="U62">
        <v>0.57099999999999995</v>
      </c>
      <c r="V62">
        <v>4</v>
      </c>
      <c r="W62">
        <v>4</v>
      </c>
      <c r="X62">
        <v>1</v>
      </c>
      <c r="Y62">
        <v>3</v>
      </c>
      <c r="Z62">
        <v>2</v>
      </c>
      <c r="AA62">
        <v>5</v>
      </c>
      <c r="AB62">
        <v>5</v>
      </c>
      <c r="AC62">
        <v>1</v>
      </c>
      <c r="AD62">
        <v>0</v>
      </c>
      <c r="AE62">
        <v>5</v>
      </c>
      <c r="AF62">
        <v>3</v>
      </c>
      <c r="AG62">
        <v>28</v>
      </c>
      <c r="AH62">
        <v>18.3</v>
      </c>
      <c r="AI62">
        <v>23</v>
      </c>
    </row>
    <row r="63" spans="1:35" ht="21" x14ac:dyDescent="0.3">
      <c r="A63" t="s">
        <v>555</v>
      </c>
      <c r="B63" s="11">
        <v>37</v>
      </c>
      <c r="C63">
        <v>799</v>
      </c>
      <c r="D63">
        <v>40</v>
      </c>
      <c r="E63" s="4">
        <v>44572</v>
      </c>
      <c r="F63" t="s">
        <v>33</v>
      </c>
      <c r="G63" t="s">
        <v>37</v>
      </c>
      <c r="H63" t="s">
        <v>42</v>
      </c>
      <c r="I63" t="s">
        <v>125</v>
      </c>
      <c r="J63" t="s">
        <v>41</v>
      </c>
      <c r="K63" s="9">
        <v>1.6118055555555555</v>
      </c>
      <c r="L63">
        <v>8</v>
      </c>
      <c r="M63">
        <v>21</v>
      </c>
      <c r="N63">
        <v>0.38100000000000001</v>
      </c>
      <c r="O63">
        <v>2</v>
      </c>
      <c r="P63">
        <v>9</v>
      </c>
      <c r="Q63">
        <v>0.222</v>
      </c>
      <c r="R63">
        <v>6</v>
      </c>
      <c r="S63">
        <v>12</v>
      </c>
      <c r="T63">
        <v>0.5</v>
      </c>
      <c r="U63">
        <v>0.42899999999999999</v>
      </c>
      <c r="V63">
        <v>9</v>
      </c>
      <c r="W63">
        <v>10</v>
      </c>
      <c r="X63">
        <v>0.9</v>
      </c>
      <c r="Y63">
        <v>1</v>
      </c>
      <c r="Z63">
        <v>9</v>
      </c>
      <c r="AA63">
        <v>10</v>
      </c>
      <c r="AB63">
        <v>10</v>
      </c>
      <c r="AC63">
        <v>2</v>
      </c>
      <c r="AD63">
        <v>0</v>
      </c>
      <c r="AE63">
        <v>3</v>
      </c>
      <c r="AF63">
        <v>3</v>
      </c>
      <c r="AG63">
        <v>27</v>
      </c>
      <c r="AH63">
        <v>23.3</v>
      </c>
      <c r="AI63">
        <v>-1</v>
      </c>
    </row>
    <row r="64" spans="1:35" ht="21" x14ac:dyDescent="0.3">
      <c r="A64" t="s">
        <v>555</v>
      </c>
      <c r="B64" s="11">
        <v>38</v>
      </c>
      <c r="C64">
        <v>800</v>
      </c>
      <c r="D64">
        <v>41</v>
      </c>
      <c r="E64" s="4">
        <v>44574</v>
      </c>
      <c r="F64" t="s">
        <v>33</v>
      </c>
      <c r="G64" t="s">
        <v>37</v>
      </c>
      <c r="H64" t="s">
        <v>126</v>
      </c>
      <c r="I64" t="s">
        <v>127</v>
      </c>
      <c r="J64" t="s">
        <v>41</v>
      </c>
      <c r="K64" s="9">
        <v>1.21875</v>
      </c>
      <c r="L64">
        <v>4</v>
      </c>
      <c r="M64">
        <v>11</v>
      </c>
      <c r="N64">
        <v>0.36399999999999999</v>
      </c>
      <c r="O64">
        <v>2</v>
      </c>
      <c r="P64">
        <v>6</v>
      </c>
      <c r="Q64">
        <v>0.33300000000000002</v>
      </c>
      <c r="R64">
        <v>2</v>
      </c>
      <c r="S64">
        <v>5</v>
      </c>
      <c r="T64">
        <v>0.4</v>
      </c>
      <c r="U64">
        <v>0.45500000000000002</v>
      </c>
      <c r="V64">
        <v>2</v>
      </c>
      <c r="W64">
        <v>2</v>
      </c>
      <c r="X64">
        <v>1</v>
      </c>
      <c r="Y64">
        <v>0</v>
      </c>
      <c r="Z64">
        <v>8</v>
      </c>
      <c r="AA64">
        <v>8</v>
      </c>
      <c r="AB64">
        <v>4</v>
      </c>
      <c r="AC64">
        <v>2</v>
      </c>
      <c r="AD64">
        <v>0</v>
      </c>
      <c r="AE64">
        <v>4</v>
      </c>
      <c r="AF64">
        <v>0</v>
      </c>
      <c r="AG64">
        <v>12</v>
      </c>
      <c r="AH64">
        <v>9.1</v>
      </c>
      <c r="AI64">
        <v>-25</v>
      </c>
    </row>
    <row r="65" spans="1:35" ht="21" x14ac:dyDescent="0.3">
      <c r="A65" t="s">
        <v>555</v>
      </c>
      <c r="B65" s="11">
        <v>39</v>
      </c>
      <c r="C65">
        <v>801</v>
      </c>
      <c r="D65">
        <v>42</v>
      </c>
      <c r="E65" s="4">
        <v>44575</v>
      </c>
      <c r="F65" t="s">
        <v>33</v>
      </c>
      <c r="G65" t="s">
        <v>37</v>
      </c>
      <c r="H65" t="s">
        <v>82</v>
      </c>
      <c r="I65" t="s">
        <v>128</v>
      </c>
      <c r="J65" t="s">
        <v>41</v>
      </c>
      <c r="K65" s="9">
        <v>1.1506944444444445</v>
      </c>
      <c r="L65">
        <v>7</v>
      </c>
      <c r="M65">
        <v>15</v>
      </c>
      <c r="N65">
        <v>0.46700000000000003</v>
      </c>
      <c r="O65">
        <v>4</v>
      </c>
      <c r="P65">
        <v>10</v>
      </c>
      <c r="Q65">
        <v>0.4</v>
      </c>
      <c r="R65">
        <v>3</v>
      </c>
      <c r="S65">
        <v>5</v>
      </c>
      <c r="T65">
        <v>0.6</v>
      </c>
      <c r="U65">
        <v>0.6</v>
      </c>
      <c r="V65">
        <v>1</v>
      </c>
      <c r="W65">
        <v>2</v>
      </c>
      <c r="X65">
        <v>0.5</v>
      </c>
      <c r="Y65">
        <v>0</v>
      </c>
      <c r="Z65">
        <v>2</v>
      </c>
      <c r="AA65">
        <v>2</v>
      </c>
      <c r="AB65">
        <v>2</v>
      </c>
      <c r="AC65">
        <v>1</v>
      </c>
      <c r="AD65">
        <v>0</v>
      </c>
      <c r="AE65">
        <v>1</v>
      </c>
      <c r="AF65">
        <v>0</v>
      </c>
      <c r="AG65">
        <v>19</v>
      </c>
      <c r="AH65">
        <v>12.9</v>
      </c>
      <c r="AI65">
        <v>24</v>
      </c>
    </row>
    <row r="66" spans="1:35" ht="21" x14ac:dyDescent="0.3">
      <c r="A66" t="s">
        <v>555</v>
      </c>
      <c r="B66" s="11">
        <v>39</v>
      </c>
      <c r="D66">
        <v>43</v>
      </c>
      <c r="E66" s="4">
        <v>44577</v>
      </c>
      <c r="F66" t="s">
        <v>33</v>
      </c>
      <c r="G66" t="s">
        <v>37</v>
      </c>
      <c r="H66" t="s">
        <v>80</v>
      </c>
      <c r="I66" t="s">
        <v>129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  <c r="O66" t="s">
        <v>91</v>
      </c>
      <c r="P66" t="s">
        <v>91</v>
      </c>
      <c r="Q66" t="s">
        <v>91</v>
      </c>
      <c r="R66" t="s">
        <v>91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91</v>
      </c>
      <c r="Y66" t="s">
        <v>91</v>
      </c>
      <c r="Z66" t="s">
        <v>91</v>
      </c>
      <c r="AA66" t="s">
        <v>91</v>
      </c>
      <c r="AB66" t="s">
        <v>91</v>
      </c>
      <c r="AC66" t="s">
        <v>91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 t="s">
        <v>91</v>
      </c>
    </row>
    <row r="67" spans="1:35" ht="21" x14ac:dyDescent="0.3">
      <c r="A67" t="s">
        <v>555</v>
      </c>
      <c r="B67" s="11">
        <v>40</v>
      </c>
      <c r="C67">
        <v>802</v>
      </c>
      <c r="D67">
        <v>44</v>
      </c>
      <c r="E67" s="4">
        <v>44579</v>
      </c>
      <c r="F67" t="s">
        <v>33</v>
      </c>
      <c r="H67" t="s">
        <v>89</v>
      </c>
      <c r="I67" t="s">
        <v>130</v>
      </c>
      <c r="J67" t="s">
        <v>41</v>
      </c>
      <c r="K67" s="9">
        <v>1.1895833333333334</v>
      </c>
      <c r="L67">
        <v>6</v>
      </c>
      <c r="M67">
        <v>11</v>
      </c>
      <c r="N67">
        <v>0.54500000000000004</v>
      </c>
      <c r="O67">
        <v>4</v>
      </c>
      <c r="P67">
        <v>8</v>
      </c>
      <c r="Q67">
        <v>0.5</v>
      </c>
      <c r="R67">
        <v>2</v>
      </c>
      <c r="S67">
        <v>3</v>
      </c>
      <c r="T67">
        <v>0.66700000000000004</v>
      </c>
      <c r="U67">
        <v>0.72699999999999998</v>
      </c>
      <c r="V67">
        <v>2</v>
      </c>
      <c r="W67">
        <v>2</v>
      </c>
      <c r="X67">
        <v>1</v>
      </c>
      <c r="Y67">
        <v>0</v>
      </c>
      <c r="Z67">
        <v>3</v>
      </c>
      <c r="AA67">
        <v>3</v>
      </c>
      <c r="AB67">
        <v>8</v>
      </c>
      <c r="AC67">
        <v>3</v>
      </c>
      <c r="AD67">
        <v>0</v>
      </c>
      <c r="AE67">
        <v>1</v>
      </c>
      <c r="AF67">
        <v>1</v>
      </c>
      <c r="AG67">
        <v>18</v>
      </c>
      <c r="AH67">
        <v>20.8</v>
      </c>
      <c r="AI67">
        <v>21</v>
      </c>
    </row>
    <row r="68" spans="1:35" ht="21" x14ac:dyDescent="0.3">
      <c r="A68" t="s">
        <v>555</v>
      </c>
      <c r="B68" s="11">
        <v>41</v>
      </c>
      <c r="C68">
        <v>803</v>
      </c>
      <c r="D68">
        <v>45</v>
      </c>
      <c r="E68" s="4">
        <v>44581</v>
      </c>
      <c r="F68" t="s">
        <v>33</v>
      </c>
      <c r="H68" t="s">
        <v>108</v>
      </c>
      <c r="I68" t="s">
        <v>131</v>
      </c>
      <c r="J68" t="s">
        <v>41</v>
      </c>
      <c r="K68" s="9">
        <v>1.83125</v>
      </c>
      <c r="L68">
        <v>12</v>
      </c>
      <c r="M68">
        <v>27</v>
      </c>
      <c r="N68">
        <v>0.44400000000000001</v>
      </c>
      <c r="O68">
        <v>6</v>
      </c>
      <c r="P68">
        <v>16</v>
      </c>
      <c r="Q68">
        <v>0.375</v>
      </c>
      <c r="R68">
        <v>6</v>
      </c>
      <c r="S68">
        <v>11</v>
      </c>
      <c r="T68">
        <v>0.54500000000000004</v>
      </c>
      <c r="U68">
        <v>0.55600000000000005</v>
      </c>
      <c r="V68">
        <v>9</v>
      </c>
      <c r="W68">
        <v>9</v>
      </c>
      <c r="X68">
        <v>1</v>
      </c>
      <c r="Y68">
        <v>0</v>
      </c>
      <c r="Z68">
        <v>5</v>
      </c>
      <c r="AA68">
        <v>5</v>
      </c>
      <c r="AB68">
        <v>8</v>
      </c>
      <c r="AC68">
        <v>1</v>
      </c>
      <c r="AD68">
        <v>0</v>
      </c>
      <c r="AE68">
        <v>2</v>
      </c>
      <c r="AF68">
        <v>3</v>
      </c>
      <c r="AG68">
        <v>39</v>
      </c>
      <c r="AH68">
        <v>29.8</v>
      </c>
      <c r="AI68">
        <v>-4</v>
      </c>
    </row>
    <row r="69" spans="1:35" ht="21" x14ac:dyDescent="0.3">
      <c r="A69" t="s">
        <v>555</v>
      </c>
      <c r="B69" s="11">
        <v>42</v>
      </c>
      <c r="C69">
        <v>804</v>
      </c>
      <c r="D69">
        <v>46</v>
      </c>
      <c r="E69" s="4">
        <v>44582</v>
      </c>
      <c r="F69" t="s">
        <v>33</v>
      </c>
      <c r="H69" t="s">
        <v>76</v>
      </c>
      <c r="I69" t="s">
        <v>132</v>
      </c>
      <c r="J69" t="s">
        <v>41</v>
      </c>
      <c r="K69" s="9">
        <v>1.6222222222222222</v>
      </c>
      <c r="L69">
        <v>6</v>
      </c>
      <c r="M69">
        <v>21</v>
      </c>
      <c r="N69">
        <v>0.28599999999999998</v>
      </c>
      <c r="O69">
        <v>4</v>
      </c>
      <c r="P69">
        <v>13</v>
      </c>
      <c r="Q69">
        <v>0.308</v>
      </c>
      <c r="R69">
        <v>2</v>
      </c>
      <c r="S69">
        <v>8</v>
      </c>
      <c r="T69">
        <v>0.25</v>
      </c>
      <c r="U69">
        <v>0.38100000000000001</v>
      </c>
      <c r="V69">
        <v>6</v>
      </c>
      <c r="W69">
        <v>8</v>
      </c>
      <c r="X69">
        <v>0.75</v>
      </c>
      <c r="Y69">
        <v>0</v>
      </c>
      <c r="Z69">
        <v>4</v>
      </c>
      <c r="AA69">
        <v>4</v>
      </c>
      <c r="AB69">
        <v>12</v>
      </c>
      <c r="AC69">
        <v>1</v>
      </c>
      <c r="AD69">
        <v>1</v>
      </c>
      <c r="AE69">
        <v>2</v>
      </c>
      <c r="AF69">
        <v>3</v>
      </c>
      <c r="AG69">
        <v>22</v>
      </c>
      <c r="AH69">
        <v>17</v>
      </c>
      <c r="AI69">
        <v>2</v>
      </c>
    </row>
    <row r="70" spans="1:35" ht="21" x14ac:dyDescent="0.3">
      <c r="A70" t="s">
        <v>555</v>
      </c>
      <c r="B70" s="11">
        <v>43</v>
      </c>
      <c r="C70">
        <v>805</v>
      </c>
      <c r="D70">
        <v>47</v>
      </c>
      <c r="E70" s="4">
        <v>44584</v>
      </c>
      <c r="F70" t="s">
        <v>33</v>
      </c>
      <c r="H70" t="s">
        <v>118</v>
      </c>
      <c r="I70" t="s">
        <v>133</v>
      </c>
      <c r="J70" t="s">
        <v>41</v>
      </c>
      <c r="K70" s="9">
        <v>1.4597222222222221</v>
      </c>
      <c r="L70">
        <v>5</v>
      </c>
      <c r="M70">
        <v>20</v>
      </c>
      <c r="N70">
        <v>0.25</v>
      </c>
      <c r="O70">
        <v>1</v>
      </c>
      <c r="P70">
        <v>13</v>
      </c>
      <c r="Q70">
        <v>7.6999999999999999E-2</v>
      </c>
      <c r="R70">
        <v>4</v>
      </c>
      <c r="S70">
        <v>7</v>
      </c>
      <c r="T70">
        <v>0.57099999999999995</v>
      </c>
      <c r="U70">
        <v>0.27500000000000002</v>
      </c>
      <c r="V70">
        <v>2</v>
      </c>
      <c r="W70">
        <v>2</v>
      </c>
      <c r="X70">
        <v>1</v>
      </c>
      <c r="Y70">
        <v>2</v>
      </c>
      <c r="Z70">
        <v>2</v>
      </c>
      <c r="AA70">
        <v>4</v>
      </c>
      <c r="AB70">
        <v>6</v>
      </c>
      <c r="AC70">
        <v>0</v>
      </c>
      <c r="AD70">
        <v>0</v>
      </c>
      <c r="AE70">
        <v>1</v>
      </c>
      <c r="AF70">
        <v>0</v>
      </c>
      <c r="AG70">
        <v>13</v>
      </c>
      <c r="AH70">
        <v>6.2</v>
      </c>
      <c r="AI70">
        <v>-5</v>
      </c>
    </row>
    <row r="71" spans="1:35" ht="21" x14ac:dyDescent="0.3">
      <c r="A71" t="s">
        <v>555</v>
      </c>
      <c r="B71" s="11">
        <v>44</v>
      </c>
      <c r="C71">
        <v>806</v>
      </c>
      <c r="D71">
        <v>48</v>
      </c>
      <c r="E71" s="4">
        <v>44586</v>
      </c>
      <c r="F71" t="s">
        <v>33</v>
      </c>
      <c r="H71" t="s">
        <v>49</v>
      </c>
      <c r="I71" t="s">
        <v>134</v>
      </c>
      <c r="J71" t="s">
        <v>41</v>
      </c>
      <c r="K71" s="9">
        <v>1.2069444444444444</v>
      </c>
      <c r="L71">
        <v>7</v>
      </c>
      <c r="M71">
        <v>16</v>
      </c>
      <c r="N71">
        <v>0.438</v>
      </c>
      <c r="O71">
        <v>2</v>
      </c>
      <c r="P71">
        <v>10</v>
      </c>
      <c r="Q71">
        <v>0.2</v>
      </c>
      <c r="R71">
        <v>5</v>
      </c>
      <c r="S71">
        <v>6</v>
      </c>
      <c r="T71">
        <v>0.83299999999999996</v>
      </c>
      <c r="U71">
        <v>0.5</v>
      </c>
      <c r="V71">
        <v>2</v>
      </c>
      <c r="W71">
        <v>3</v>
      </c>
      <c r="X71">
        <v>0.66700000000000004</v>
      </c>
      <c r="Y71">
        <v>2</v>
      </c>
      <c r="Z71">
        <v>7</v>
      </c>
      <c r="AA71">
        <v>9</v>
      </c>
      <c r="AB71">
        <v>7</v>
      </c>
      <c r="AC71">
        <v>1</v>
      </c>
      <c r="AD71">
        <v>0</v>
      </c>
      <c r="AE71">
        <v>4</v>
      </c>
      <c r="AF71">
        <v>3</v>
      </c>
      <c r="AG71">
        <v>18</v>
      </c>
      <c r="AH71">
        <v>13.4</v>
      </c>
      <c r="AI71">
        <v>23</v>
      </c>
    </row>
    <row r="72" spans="1:35" ht="21" x14ac:dyDescent="0.3">
      <c r="A72" t="s">
        <v>555</v>
      </c>
      <c r="B72" s="11">
        <v>45</v>
      </c>
      <c r="C72">
        <v>807</v>
      </c>
      <c r="D72">
        <v>49</v>
      </c>
      <c r="E72" s="4">
        <v>44588</v>
      </c>
      <c r="F72" t="s">
        <v>33</v>
      </c>
      <c r="H72" t="s">
        <v>80</v>
      </c>
      <c r="I72" t="s">
        <v>135</v>
      </c>
      <c r="J72" t="s">
        <v>41</v>
      </c>
      <c r="K72" s="9">
        <v>1.5979166666666667</v>
      </c>
      <c r="L72">
        <v>10</v>
      </c>
      <c r="M72">
        <v>20</v>
      </c>
      <c r="N72">
        <v>0.5</v>
      </c>
      <c r="O72">
        <v>6</v>
      </c>
      <c r="P72">
        <v>10</v>
      </c>
      <c r="Q72">
        <v>0.6</v>
      </c>
      <c r="R72">
        <v>4</v>
      </c>
      <c r="S72">
        <v>10</v>
      </c>
      <c r="T72">
        <v>0.4</v>
      </c>
      <c r="U72">
        <v>0.65</v>
      </c>
      <c r="V72">
        <v>3</v>
      </c>
      <c r="W72">
        <v>3</v>
      </c>
      <c r="X72">
        <v>1</v>
      </c>
      <c r="Y72">
        <v>0</v>
      </c>
      <c r="Z72">
        <v>8</v>
      </c>
      <c r="AA72">
        <v>8</v>
      </c>
      <c r="AB72">
        <v>6</v>
      </c>
      <c r="AC72">
        <v>3</v>
      </c>
      <c r="AD72">
        <v>0</v>
      </c>
      <c r="AE72">
        <v>4</v>
      </c>
      <c r="AF72">
        <v>1</v>
      </c>
      <c r="AG72">
        <v>29</v>
      </c>
      <c r="AH72">
        <v>24.2</v>
      </c>
      <c r="AI72">
        <v>13</v>
      </c>
    </row>
    <row r="73" spans="1:35" ht="21" x14ac:dyDescent="0.3">
      <c r="A73" t="s">
        <v>555</v>
      </c>
      <c r="B73" s="11">
        <v>46</v>
      </c>
      <c r="C73">
        <v>808</v>
      </c>
      <c r="D73">
        <v>50</v>
      </c>
      <c r="E73" s="4">
        <v>44590</v>
      </c>
      <c r="F73" t="s">
        <v>33</v>
      </c>
      <c r="H73" t="s">
        <v>85</v>
      </c>
      <c r="I73" t="s">
        <v>136</v>
      </c>
      <c r="J73" t="s">
        <v>41</v>
      </c>
      <c r="K73" s="9">
        <v>1.4798611111111111</v>
      </c>
      <c r="L73">
        <v>5</v>
      </c>
      <c r="M73">
        <v>18</v>
      </c>
      <c r="N73">
        <v>0.27800000000000002</v>
      </c>
      <c r="O73">
        <v>3</v>
      </c>
      <c r="P73">
        <v>10</v>
      </c>
      <c r="Q73">
        <v>0.3</v>
      </c>
      <c r="R73">
        <v>2</v>
      </c>
      <c r="S73">
        <v>8</v>
      </c>
      <c r="T73">
        <v>0.25</v>
      </c>
      <c r="U73">
        <v>0.36099999999999999</v>
      </c>
      <c r="V73">
        <v>6</v>
      </c>
      <c r="W73">
        <v>6</v>
      </c>
      <c r="X73">
        <v>1</v>
      </c>
      <c r="Y73">
        <v>2</v>
      </c>
      <c r="Z73">
        <v>5</v>
      </c>
      <c r="AA73">
        <v>7</v>
      </c>
      <c r="AB73">
        <v>8</v>
      </c>
      <c r="AC73">
        <v>3</v>
      </c>
      <c r="AD73">
        <v>0</v>
      </c>
      <c r="AE73">
        <v>5</v>
      </c>
      <c r="AF73">
        <v>5</v>
      </c>
      <c r="AG73">
        <v>19</v>
      </c>
      <c r="AH73">
        <v>12.9</v>
      </c>
      <c r="AI73">
        <v>-3</v>
      </c>
    </row>
    <row r="74" spans="1:35" ht="21" x14ac:dyDescent="0.3">
      <c r="A74" t="s">
        <v>555</v>
      </c>
      <c r="B74" s="11">
        <v>47</v>
      </c>
      <c r="C74">
        <v>809</v>
      </c>
      <c r="D74">
        <v>51</v>
      </c>
      <c r="E74" s="4">
        <v>44592</v>
      </c>
      <c r="F74" t="s">
        <v>33</v>
      </c>
      <c r="G74" t="s">
        <v>37</v>
      </c>
      <c r="H74" t="s">
        <v>76</v>
      </c>
      <c r="I74" t="s">
        <v>137</v>
      </c>
      <c r="J74" t="s">
        <v>41</v>
      </c>
      <c r="K74" s="9">
        <v>1.58125</v>
      </c>
      <c r="L74">
        <v>13</v>
      </c>
      <c r="M74">
        <v>23</v>
      </c>
      <c r="N74">
        <v>0.56499999999999995</v>
      </c>
      <c r="O74">
        <v>7</v>
      </c>
      <c r="P74">
        <v>14</v>
      </c>
      <c r="Q74">
        <v>0.5</v>
      </c>
      <c r="R74">
        <v>6</v>
      </c>
      <c r="S74">
        <v>9</v>
      </c>
      <c r="T74">
        <v>0.66700000000000004</v>
      </c>
      <c r="U74">
        <v>0.71699999999999997</v>
      </c>
      <c r="V74">
        <v>7</v>
      </c>
      <c r="W74">
        <v>8</v>
      </c>
      <c r="X74">
        <v>0.875</v>
      </c>
      <c r="Y74">
        <v>0</v>
      </c>
      <c r="Z74">
        <v>5</v>
      </c>
      <c r="AA74">
        <v>5</v>
      </c>
      <c r="AB74">
        <v>9</v>
      </c>
      <c r="AC74">
        <v>1</v>
      </c>
      <c r="AD74">
        <v>1</v>
      </c>
      <c r="AE74">
        <v>1</v>
      </c>
      <c r="AF74">
        <v>0</v>
      </c>
      <c r="AG74">
        <v>40</v>
      </c>
      <c r="AH74">
        <v>37.200000000000003</v>
      </c>
      <c r="AI74">
        <v>18</v>
      </c>
    </row>
    <row r="75" spans="1:35" ht="21" x14ac:dyDescent="0.3">
      <c r="A75" t="s">
        <v>555</v>
      </c>
      <c r="B75" s="11">
        <v>47</v>
      </c>
      <c r="D75">
        <v>52</v>
      </c>
      <c r="E75" s="4">
        <v>44593</v>
      </c>
      <c r="F75" t="s">
        <v>33</v>
      </c>
      <c r="G75" t="s">
        <v>37</v>
      </c>
      <c r="H75" t="s">
        <v>102</v>
      </c>
      <c r="I75" t="s">
        <v>138</v>
      </c>
      <c r="J75" t="s">
        <v>91</v>
      </c>
      <c r="K75" t="s">
        <v>91</v>
      </c>
      <c r="L75" t="s">
        <v>91</v>
      </c>
      <c r="M75" t="s">
        <v>91</v>
      </c>
      <c r="N75" t="s">
        <v>91</v>
      </c>
      <c r="O75" t="s">
        <v>91</v>
      </c>
      <c r="P75" t="s">
        <v>91</v>
      </c>
      <c r="Q75" t="s">
        <v>91</v>
      </c>
      <c r="R75" t="s">
        <v>91</v>
      </c>
      <c r="S75" t="s">
        <v>91</v>
      </c>
      <c r="T75" t="s">
        <v>91</v>
      </c>
      <c r="U75" t="s">
        <v>91</v>
      </c>
      <c r="V75" t="s">
        <v>91</v>
      </c>
      <c r="W75" t="s">
        <v>91</v>
      </c>
      <c r="X75" t="s">
        <v>91</v>
      </c>
      <c r="Y75" t="s">
        <v>91</v>
      </c>
      <c r="Z75" t="s">
        <v>91</v>
      </c>
      <c r="AA75" t="s">
        <v>91</v>
      </c>
      <c r="AB75" t="s">
        <v>91</v>
      </c>
      <c r="AC75" t="s">
        <v>91</v>
      </c>
      <c r="AD75" t="s">
        <v>91</v>
      </c>
      <c r="AE75" t="s">
        <v>91</v>
      </c>
      <c r="AF75" t="s">
        <v>91</v>
      </c>
      <c r="AG75" t="s">
        <v>91</v>
      </c>
      <c r="AH75" t="s">
        <v>91</v>
      </c>
      <c r="AI75" t="s">
        <v>91</v>
      </c>
    </row>
    <row r="76" spans="1:35" ht="21" x14ac:dyDescent="0.3">
      <c r="A76" t="s">
        <v>555</v>
      </c>
      <c r="B76" s="11">
        <v>48</v>
      </c>
      <c r="C76">
        <v>810</v>
      </c>
      <c r="D76">
        <v>53</v>
      </c>
      <c r="E76" s="4">
        <v>44595</v>
      </c>
      <c r="F76" t="s">
        <v>33</v>
      </c>
      <c r="H76" t="s">
        <v>66</v>
      </c>
      <c r="I76" t="s">
        <v>139</v>
      </c>
      <c r="J76" t="s">
        <v>41</v>
      </c>
      <c r="K76" s="9">
        <v>1.3194444444444444</v>
      </c>
      <c r="L76">
        <v>7</v>
      </c>
      <c r="M76">
        <v>11</v>
      </c>
      <c r="N76">
        <v>0.63600000000000001</v>
      </c>
      <c r="O76">
        <v>4</v>
      </c>
      <c r="P76">
        <v>7</v>
      </c>
      <c r="Q76">
        <v>0.57099999999999995</v>
      </c>
      <c r="R76">
        <v>3</v>
      </c>
      <c r="S76">
        <v>4</v>
      </c>
      <c r="T76">
        <v>0.75</v>
      </c>
      <c r="U76">
        <v>0.81799999999999995</v>
      </c>
      <c r="V76">
        <v>2</v>
      </c>
      <c r="W76">
        <v>2</v>
      </c>
      <c r="X76">
        <v>1</v>
      </c>
      <c r="Y76">
        <v>0</v>
      </c>
      <c r="Z76">
        <v>1</v>
      </c>
      <c r="AA76">
        <v>1</v>
      </c>
      <c r="AB76">
        <v>7</v>
      </c>
      <c r="AC76">
        <v>2</v>
      </c>
      <c r="AD76">
        <v>0</v>
      </c>
      <c r="AE76">
        <v>4</v>
      </c>
      <c r="AF76">
        <v>4</v>
      </c>
      <c r="AG76">
        <v>20</v>
      </c>
      <c r="AH76">
        <v>16.7</v>
      </c>
      <c r="AI76">
        <v>21</v>
      </c>
    </row>
    <row r="77" spans="1:35" ht="21" x14ac:dyDescent="0.3">
      <c r="A77" t="s">
        <v>555</v>
      </c>
      <c r="B77" s="11">
        <v>49</v>
      </c>
      <c r="C77">
        <v>811</v>
      </c>
      <c r="D77">
        <v>54</v>
      </c>
      <c r="E77" s="4">
        <v>44599</v>
      </c>
      <c r="F77" t="s">
        <v>33</v>
      </c>
      <c r="G77" t="s">
        <v>37</v>
      </c>
      <c r="H77" t="s">
        <v>68</v>
      </c>
      <c r="I77" t="s">
        <v>140</v>
      </c>
      <c r="J77" t="s">
        <v>41</v>
      </c>
      <c r="K77" s="9">
        <v>1.523611111111111</v>
      </c>
      <c r="L77">
        <v>6</v>
      </c>
      <c r="M77">
        <v>12</v>
      </c>
      <c r="N77">
        <v>0.5</v>
      </c>
      <c r="O77">
        <v>4</v>
      </c>
      <c r="P77">
        <v>10</v>
      </c>
      <c r="Q77">
        <v>0.4</v>
      </c>
      <c r="R77">
        <v>2</v>
      </c>
      <c r="S77">
        <v>2</v>
      </c>
      <c r="T77">
        <v>1</v>
      </c>
      <c r="U77">
        <v>0.66700000000000004</v>
      </c>
      <c r="V77">
        <v>2</v>
      </c>
      <c r="W77">
        <v>2</v>
      </c>
      <c r="X77">
        <v>1</v>
      </c>
      <c r="Y77">
        <v>0</v>
      </c>
      <c r="Z77">
        <v>9</v>
      </c>
      <c r="AA77">
        <v>9</v>
      </c>
      <c r="AB77">
        <v>10</v>
      </c>
      <c r="AC77">
        <v>1</v>
      </c>
      <c r="AD77">
        <v>0</v>
      </c>
      <c r="AE77">
        <v>4</v>
      </c>
      <c r="AF77">
        <v>2</v>
      </c>
      <c r="AG77">
        <v>18</v>
      </c>
      <c r="AH77">
        <v>17.899999999999999</v>
      </c>
      <c r="AI77">
        <v>4</v>
      </c>
    </row>
    <row r="78" spans="1:35" ht="21" x14ac:dyDescent="0.3">
      <c r="A78" t="s">
        <v>555</v>
      </c>
      <c r="B78" s="11">
        <v>50</v>
      </c>
      <c r="C78">
        <v>812</v>
      </c>
      <c r="D78">
        <v>55</v>
      </c>
      <c r="E78" s="4">
        <v>44601</v>
      </c>
      <c r="F78" t="s">
        <v>33</v>
      </c>
      <c r="G78" t="s">
        <v>37</v>
      </c>
      <c r="H78" t="s">
        <v>118</v>
      </c>
      <c r="I78" t="s">
        <v>141</v>
      </c>
      <c r="J78" t="s">
        <v>41</v>
      </c>
      <c r="K78" s="9">
        <v>1.2354166666666666</v>
      </c>
      <c r="L78">
        <v>5</v>
      </c>
      <c r="M78">
        <v>13</v>
      </c>
      <c r="N78">
        <v>0.38500000000000001</v>
      </c>
      <c r="O78">
        <v>3</v>
      </c>
      <c r="P78">
        <v>8</v>
      </c>
      <c r="Q78">
        <v>0.375</v>
      </c>
      <c r="R78">
        <v>2</v>
      </c>
      <c r="S78">
        <v>5</v>
      </c>
      <c r="T78">
        <v>0.4</v>
      </c>
      <c r="U78">
        <v>0.5</v>
      </c>
      <c r="V78">
        <v>3</v>
      </c>
      <c r="W78">
        <v>4</v>
      </c>
      <c r="X78">
        <v>0.75</v>
      </c>
      <c r="Y78">
        <v>1</v>
      </c>
      <c r="Z78">
        <v>6</v>
      </c>
      <c r="AA78">
        <v>7</v>
      </c>
      <c r="AB78">
        <v>2</v>
      </c>
      <c r="AC78">
        <v>0</v>
      </c>
      <c r="AD78">
        <v>0</v>
      </c>
      <c r="AE78">
        <v>4</v>
      </c>
      <c r="AF78">
        <v>2</v>
      </c>
      <c r="AG78">
        <v>16</v>
      </c>
      <c r="AH78">
        <v>7.6</v>
      </c>
      <c r="AI78">
        <v>-14</v>
      </c>
    </row>
    <row r="79" spans="1:35" ht="21" x14ac:dyDescent="0.3">
      <c r="A79" t="s">
        <v>555</v>
      </c>
      <c r="B79" s="11">
        <v>51</v>
      </c>
      <c r="C79">
        <v>813</v>
      </c>
      <c r="D79">
        <v>56</v>
      </c>
      <c r="E79" s="4">
        <v>44602</v>
      </c>
      <c r="F79" t="s">
        <v>33</v>
      </c>
      <c r="H79" t="s">
        <v>110</v>
      </c>
      <c r="I79" t="s">
        <v>142</v>
      </c>
      <c r="J79" t="s">
        <v>41</v>
      </c>
      <c r="K79" s="9">
        <v>1.6305555555555555</v>
      </c>
      <c r="L79">
        <v>11</v>
      </c>
      <c r="M79">
        <v>25</v>
      </c>
      <c r="N79">
        <v>0.44</v>
      </c>
      <c r="O79">
        <v>5</v>
      </c>
      <c r="P79">
        <v>16</v>
      </c>
      <c r="Q79">
        <v>0.313</v>
      </c>
      <c r="R79">
        <v>6</v>
      </c>
      <c r="S79">
        <v>9</v>
      </c>
      <c r="T79">
        <v>0.66700000000000004</v>
      </c>
      <c r="U79">
        <v>0.54</v>
      </c>
      <c r="V79">
        <v>8</v>
      </c>
      <c r="W79">
        <v>8</v>
      </c>
      <c r="X79">
        <v>1</v>
      </c>
      <c r="Y79">
        <v>0</v>
      </c>
      <c r="Z79">
        <v>2</v>
      </c>
      <c r="AA79">
        <v>2</v>
      </c>
      <c r="AB79">
        <v>10</v>
      </c>
      <c r="AC79">
        <v>1</v>
      </c>
      <c r="AD79">
        <v>0</v>
      </c>
      <c r="AE79">
        <v>3</v>
      </c>
      <c r="AF79">
        <v>5</v>
      </c>
      <c r="AG79">
        <v>35</v>
      </c>
      <c r="AH79">
        <v>25.5</v>
      </c>
      <c r="AI79">
        <v>9</v>
      </c>
    </row>
    <row r="80" spans="1:35" ht="21" x14ac:dyDescent="0.3">
      <c r="A80" t="s">
        <v>555</v>
      </c>
      <c r="B80" s="11">
        <v>52</v>
      </c>
      <c r="C80">
        <v>814</v>
      </c>
      <c r="D80">
        <v>57</v>
      </c>
      <c r="E80" s="4">
        <v>44604</v>
      </c>
      <c r="F80" t="s">
        <v>33</v>
      </c>
      <c r="H80" t="s">
        <v>62</v>
      </c>
      <c r="I80" t="s">
        <v>143</v>
      </c>
      <c r="J80" t="s">
        <v>41</v>
      </c>
      <c r="K80" s="9">
        <v>1.5249999999999999</v>
      </c>
      <c r="L80">
        <v>7</v>
      </c>
      <c r="M80">
        <v>17</v>
      </c>
      <c r="N80">
        <v>0.41199999999999998</v>
      </c>
      <c r="O80">
        <v>1</v>
      </c>
      <c r="P80">
        <v>8</v>
      </c>
      <c r="Q80">
        <v>0.125</v>
      </c>
      <c r="R80">
        <v>6</v>
      </c>
      <c r="S80">
        <v>9</v>
      </c>
      <c r="T80">
        <v>0.66700000000000004</v>
      </c>
      <c r="U80">
        <v>0.441</v>
      </c>
      <c r="V80">
        <v>9</v>
      </c>
      <c r="W80">
        <v>9</v>
      </c>
      <c r="X80">
        <v>1</v>
      </c>
      <c r="Y80">
        <v>0</v>
      </c>
      <c r="Z80">
        <v>5</v>
      </c>
      <c r="AA80">
        <v>5</v>
      </c>
      <c r="AB80">
        <v>8</v>
      </c>
      <c r="AC80">
        <v>1</v>
      </c>
      <c r="AD80">
        <v>0</v>
      </c>
      <c r="AE80">
        <v>2</v>
      </c>
      <c r="AF80">
        <v>3</v>
      </c>
      <c r="AG80">
        <v>24</v>
      </c>
      <c r="AH80">
        <v>19.8</v>
      </c>
      <c r="AI80">
        <v>8</v>
      </c>
    </row>
    <row r="81" spans="1:35" ht="21" x14ac:dyDescent="0.3">
      <c r="A81" t="s">
        <v>555</v>
      </c>
      <c r="B81" s="11">
        <v>53</v>
      </c>
      <c r="C81">
        <v>815</v>
      </c>
      <c r="D81">
        <v>58</v>
      </c>
      <c r="E81" s="4">
        <v>44606</v>
      </c>
      <c r="F81" t="s">
        <v>33</v>
      </c>
      <c r="G81" t="s">
        <v>37</v>
      </c>
      <c r="H81" t="s">
        <v>64</v>
      </c>
      <c r="I81" t="s">
        <v>144</v>
      </c>
      <c r="J81" t="s">
        <v>41</v>
      </c>
      <c r="K81" s="9">
        <v>1.4090277777777778</v>
      </c>
      <c r="L81">
        <v>11</v>
      </c>
      <c r="M81">
        <v>18</v>
      </c>
      <c r="N81">
        <v>0.61099999999999999</v>
      </c>
      <c r="O81">
        <v>8</v>
      </c>
      <c r="P81">
        <v>13</v>
      </c>
      <c r="Q81">
        <v>0.61499999999999999</v>
      </c>
      <c r="R81">
        <v>3</v>
      </c>
      <c r="S81">
        <v>5</v>
      </c>
      <c r="T81">
        <v>0.6</v>
      </c>
      <c r="U81">
        <v>0.83299999999999996</v>
      </c>
      <c r="V81">
        <v>3</v>
      </c>
      <c r="W81">
        <v>3</v>
      </c>
      <c r="X81">
        <v>1</v>
      </c>
      <c r="Y81">
        <v>0</v>
      </c>
      <c r="Z81">
        <v>2</v>
      </c>
      <c r="AA81">
        <v>2</v>
      </c>
      <c r="AB81">
        <v>2</v>
      </c>
      <c r="AC81">
        <v>0</v>
      </c>
      <c r="AD81">
        <v>0</v>
      </c>
      <c r="AE81">
        <v>4</v>
      </c>
      <c r="AF81">
        <v>2</v>
      </c>
      <c r="AG81">
        <v>33</v>
      </c>
      <c r="AH81">
        <v>22</v>
      </c>
      <c r="AI81">
        <v>-19</v>
      </c>
    </row>
    <row r="82" spans="1:35" ht="21" x14ac:dyDescent="0.3">
      <c r="A82" t="s">
        <v>555</v>
      </c>
      <c r="B82" s="11">
        <v>54</v>
      </c>
      <c r="C82">
        <v>816</v>
      </c>
      <c r="D82">
        <v>59</v>
      </c>
      <c r="E82" s="4">
        <v>44608</v>
      </c>
      <c r="F82" t="s">
        <v>33</v>
      </c>
      <c r="H82" t="s">
        <v>34</v>
      </c>
      <c r="I82" t="s">
        <v>145</v>
      </c>
      <c r="J82" t="s">
        <v>41</v>
      </c>
      <c r="K82" s="9">
        <v>1.6291666666666667</v>
      </c>
      <c r="L82">
        <v>10</v>
      </c>
      <c r="M82">
        <v>19</v>
      </c>
      <c r="N82">
        <v>0.52600000000000002</v>
      </c>
      <c r="O82">
        <v>1</v>
      </c>
      <c r="P82">
        <v>7</v>
      </c>
      <c r="Q82">
        <v>0.14299999999999999</v>
      </c>
      <c r="R82">
        <v>9</v>
      </c>
      <c r="S82">
        <v>12</v>
      </c>
      <c r="T82">
        <v>0.75</v>
      </c>
      <c r="U82">
        <v>0.55300000000000005</v>
      </c>
      <c r="V82">
        <v>4</v>
      </c>
      <c r="W82">
        <v>4</v>
      </c>
      <c r="X82">
        <v>1</v>
      </c>
      <c r="Y82">
        <v>0</v>
      </c>
      <c r="Z82">
        <v>3</v>
      </c>
      <c r="AA82">
        <v>3</v>
      </c>
      <c r="AB82">
        <v>6</v>
      </c>
      <c r="AC82">
        <v>0</v>
      </c>
      <c r="AD82">
        <v>0</v>
      </c>
      <c r="AE82">
        <v>2</v>
      </c>
      <c r="AF82">
        <v>2</v>
      </c>
      <c r="AG82">
        <v>25</v>
      </c>
      <c r="AH82">
        <v>18</v>
      </c>
      <c r="AI82">
        <v>-2</v>
      </c>
    </row>
    <row r="83" spans="1:35" ht="21" x14ac:dyDescent="0.3">
      <c r="A83" t="s">
        <v>555</v>
      </c>
      <c r="B83" s="11">
        <v>55</v>
      </c>
      <c r="C83">
        <v>817</v>
      </c>
      <c r="D83">
        <v>60</v>
      </c>
      <c r="E83" s="4">
        <v>44616</v>
      </c>
      <c r="F83" t="s">
        <v>33</v>
      </c>
      <c r="G83" t="s">
        <v>37</v>
      </c>
      <c r="H83" t="s">
        <v>96</v>
      </c>
      <c r="I83" t="s">
        <v>146</v>
      </c>
      <c r="J83" t="s">
        <v>41</v>
      </c>
      <c r="K83" s="9">
        <v>1.14375</v>
      </c>
      <c r="L83">
        <v>5</v>
      </c>
      <c r="M83">
        <v>11</v>
      </c>
      <c r="N83">
        <v>0.45500000000000002</v>
      </c>
      <c r="O83">
        <v>2</v>
      </c>
      <c r="P83">
        <v>7</v>
      </c>
      <c r="Q83">
        <v>0.28599999999999998</v>
      </c>
      <c r="R83">
        <v>3</v>
      </c>
      <c r="S83">
        <v>4</v>
      </c>
      <c r="T83">
        <v>0.75</v>
      </c>
      <c r="U83">
        <v>0.54500000000000004</v>
      </c>
      <c r="V83">
        <v>6</v>
      </c>
      <c r="W83">
        <v>6</v>
      </c>
      <c r="X83">
        <v>1</v>
      </c>
      <c r="Y83">
        <v>0</v>
      </c>
      <c r="Z83">
        <v>5</v>
      </c>
      <c r="AA83">
        <v>5</v>
      </c>
      <c r="AB83">
        <v>14</v>
      </c>
      <c r="AC83">
        <v>1</v>
      </c>
      <c r="AD83">
        <v>1</v>
      </c>
      <c r="AE83">
        <v>3</v>
      </c>
      <c r="AF83">
        <v>3</v>
      </c>
      <c r="AG83">
        <v>18</v>
      </c>
      <c r="AH83">
        <v>21.1</v>
      </c>
      <c r="AI83">
        <v>19</v>
      </c>
    </row>
    <row r="84" spans="1:35" ht="21" x14ac:dyDescent="0.3">
      <c r="A84" t="s">
        <v>555</v>
      </c>
      <c r="B84" s="11">
        <v>56</v>
      </c>
      <c r="C84">
        <v>818</v>
      </c>
      <c r="D84">
        <v>61</v>
      </c>
      <c r="E84" s="4">
        <v>44619</v>
      </c>
      <c r="F84" t="s">
        <v>33</v>
      </c>
      <c r="H84" t="s">
        <v>49</v>
      </c>
      <c r="I84" t="s">
        <v>147</v>
      </c>
      <c r="J84" t="s">
        <v>41</v>
      </c>
      <c r="K84" s="9">
        <v>1.586111111111111</v>
      </c>
      <c r="L84">
        <v>11</v>
      </c>
      <c r="M84">
        <v>25</v>
      </c>
      <c r="N84">
        <v>0.44</v>
      </c>
      <c r="O84">
        <v>3</v>
      </c>
      <c r="P84">
        <v>10</v>
      </c>
      <c r="Q84">
        <v>0.3</v>
      </c>
      <c r="R84">
        <v>8</v>
      </c>
      <c r="S84">
        <v>15</v>
      </c>
      <c r="T84">
        <v>0.53300000000000003</v>
      </c>
      <c r="U84">
        <v>0.5</v>
      </c>
      <c r="V84">
        <v>2</v>
      </c>
      <c r="W84">
        <v>4</v>
      </c>
      <c r="X84">
        <v>0.5</v>
      </c>
      <c r="Y84">
        <v>1</v>
      </c>
      <c r="Z84">
        <v>3</v>
      </c>
      <c r="AA84">
        <v>4</v>
      </c>
      <c r="AB84">
        <v>10</v>
      </c>
      <c r="AC84">
        <v>2</v>
      </c>
      <c r="AD84">
        <v>0</v>
      </c>
      <c r="AE84">
        <v>1</v>
      </c>
      <c r="AF84">
        <v>0</v>
      </c>
      <c r="AG84">
        <v>27</v>
      </c>
      <c r="AH84">
        <v>22.7</v>
      </c>
      <c r="AI84">
        <v>-4</v>
      </c>
    </row>
    <row r="85" spans="1:35" ht="21" x14ac:dyDescent="0.3">
      <c r="A85" t="s">
        <v>555</v>
      </c>
      <c r="B85" s="11">
        <v>57</v>
      </c>
      <c r="C85">
        <v>819</v>
      </c>
      <c r="D85">
        <v>62</v>
      </c>
      <c r="E85" s="4">
        <v>44621</v>
      </c>
      <c r="F85" t="s">
        <v>33</v>
      </c>
      <c r="G85" t="s">
        <v>37</v>
      </c>
      <c r="H85" t="s">
        <v>80</v>
      </c>
      <c r="I85" t="s">
        <v>148</v>
      </c>
      <c r="J85" t="s">
        <v>41</v>
      </c>
      <c r="K85" s="9">
        <v>1.3840277777777779</v>
      </c>
      <c r="L85">
        <v>10</v>
      </c>
      <c r="M85">
        <v>24</v>
      </c>
      <c r="N85">
        <v>0.41699999999999998</v>
      </c>
      <c r="O85">
        <v>5</v>
      </c>
      <c r="P85">
        <v>16</v>
      </c>
      <c r="Q85">
        <v>0.313</v>
      </c>
      <c r="R85">
        <v>5</v>
      </c>
      <c r="S85">
        <v>8</v>
      </c>
      <c r="T85">
        <v>0.625</v>
      </c>
      <c r="U85">
        <v>0.52100000000000002</v>
      </c>
      <c r="V85">
        <v>9</v>
      </c>
      <c r="W85">
        <v>9</v>
      </c>
      <c r="X85">
        <v>1</v>
      </c>
      <c r="Y85">
        <v>1</v>
      </c>
      <c r="Z85">
        <v>4</v>
      </c>
      <c r="AA85">
        <v>5</v>
      </c>
      <c r="AB85">
        <v>4</v>
      </c>
      <c r="AC85">
        <v>0</v>
      </c>
      <c r="AD85">
        <v>0</v>
      </c>
      <c r="AE85">
        <v>4</v>
      </c>
      <c r="AF85">
        <v>1</v>
      </c>
      <c r="AG85">
        <v>34</v>
      </c>
      <c r="AH85">
        <v>21.5</v>
      </c>
      <c r="AI85">
        <v>-10</v>
      </c>
    </row>
    <row r="86" spans="1:35" ht="21" x14ac:dyDescent="0.3">
      <c r="A86" t="s">
        <v>555</v>
      </c>
      <c r="B86" s="11">
        <v>58</v>
      </c>
      <c r="C86">
        <v>820</v>
      </c>
      <c r="D86">
        <v>63</v>
      </c>
      <c r="E86" s="4">
        <v>44623</v>
      </c>
      <c r="F86" t="s">
        <v>33</v>
      </c>
      <c r="G86" t="s">
        <v>37</v>
      </c>
      <c r="H86" t="s">
        <v>49</v>
      </c>
      <c r="I86" t="s">
        <v>149</v>
      </c>
      <c r="J86" t="s">
        <v>41</v>
      </c>
      <c r="K86" s="9">
        <v>1.6847222222222222</v>
      </c>
      <c r="L86">
        <v>8</v>
      </c>
      <c r="M86">
        <v>15</v>
      </c>
      <c r="N86">
        <v>0.53300000000000003</v>
      </c>
      <c r="O86">
        <v>4</v>
      </c>
      <c r="P86">
        <v>5</v>
      </c>
      <c r="Q86">
        <v>0.8</v>
      </c>
      <c r="R86">
        <v>4</v>
      </c>
      <c r="S86">
        <v>10</v>
      </c>
      <c r="T86">
        <v>0.4</v>
      </c>
      <c r="U86">
        <v>0.66700000000000004</v>
      </c>
      <c r="V86">
        <v>1</v>
      </c>
      <c r="W86">
        <v>1</v>
      </c>
      <c r="X86">
        <v>1</v>
      </c>
      <c r="Y86">
        <v>0</v>
      </c>
      <c r="Z86">
        <v>5</v>
      </c>
      <c r="AA86">
        <v>5</v>
      </c>
      <c r="AB86">
        <v>9</v>
      </c>
      <c r="AC86">
        <v>1</v>
      </c>
      <c r="AD86">
        <v>0</v>
      </c>
      <c r="AE86">
        <v>3</v>
      </c>
      <c r="AF86">
        <v>3</v>
      </c>
      <c r="AG86">
        <v>21</v>
      </c>
      <c r="AH86">
        <v>18.3</v>
      </c>
      <c r="AI86">
        <v>-8</v>
      </c>
    </row>
    <row r="87" spans="1:35" ht="21" x14ac:dyDescent="0.3">
      <c r="A87" t="s">
        <v>555</v>
      </c>
      <c r="B87" s="11">
        <v>59</v>
      </c>
      <c r="C87">
        <v>821</v>
      </c>
      <c r="D87">
        <v>64</v>
      </c>
      <c r="E87" s="4">
        <v>44625</v>
      </c>
      <c r="F87" t="s">
        <v>33</v>
      </c>
      <c r="G87" t="s">
        <v>37</v>
      </c>
      <c r="H87" t="s">
        <v>62</v>
      </c>
      <c r="I87" t="s">
        <v>150</v>
      </c>
      <c r="J87" t="s">
        <v>41</v>
      </c>
      <c r="K87" s="9">
        <v>1.4868055555555555</v>
      </c>
      <c r="L87">
        <v>13</v>
      </c>
      <c r="M87">
        <v>22</v>
      </c>
      <c r="N87">
        <v>0.59099999999999997</v>
      </c>
      <c r="O87">
        <v>4</v>
      </c>
      <c r="P87">
        <v>9</v>
      </c>
      <c r="Q87">
        <v>0.44400000000000001</v>
      </c>
      <c r="R87">
        <v>9</v>
      </c>
      <c r="S87">
        <v>13</v>
      </c>
      <c r="T87">
        <v>0.69199999999999995</v>
      </c>
      <c r="U87">
        <v>0.68200000000000005</v>
      </c>
      <c r="V87">
        <v>0</v>
      </c>
      <c r="W87">
        <v>0</v>
      </c>
      <c r="Y87">
        <v>0</v>
      </c>
      <c r="Z87">
        <v>4</v>
      </c>
      <c r="AA87">
        <v>4</v>
      </c>
      <c r="AB87">
        <v>1</v>
      </c>
      <c r="AC87">
        <v>0</v>
      </c>
      <c r="AD87">
        <v>0</v>
      </c>
      <c r="AE87">
        <v>4</v>
      </c>
      <c r="AF87">
        <v>0</v>
      </c>
      <c r="AG87">
        <v>30</v>
      </c>
      <c r="AH87">
        <v>17.7</v>
      </c>
      <c r="AI87">
        <v>-12</v>
      </c>
    </row>
    <row r="88" spans="1:35" ht="21" x14ac:dyDescent="0.3">
      <c r="A88" t="s">
        <v>555</v>
      </c>
      <c r="B88" s="11">
        <v>59</v>
      </c>
      <c r="D88">
        <v>65</v>
      </c>
      <c r="E88" s="4">
        <v>44627</v>
      </c>
      <c r="F88" t="s">
        <v>33</v>
      </c>
      <c r="G88" t="s">
        <v>37</v>
      </c>
      <c r="H88" t="s">
        <v>34</v>
      </c>
      <c r="I88" t="s">
        <v>151</v>
      </c>
      <c r="J88" t="s">
        <v>91</v>
      </c>
      <c r="K88" t="s">
        <v>91</v>
      </c>
      <c r="L88" t="s">
        <v>91</v>
      </c>
      <c r="M88" t="s">
        <v>91</v>
      </c>
      <c r="N88" t="s">
        <v>91</v>
      </c>
      <c r="O88" t="s">
        <v>91</v>
      </c>
      <c r="P88" t="s">
        <v>91</v>
      </c>
      <c r="Q88" t="s">
        <v>91</v>
      </c>
      <c r="R88" t="s">
        <v>91</v>
      </c>
      <c r="S88" t="s">
        <v>91</v>
      </c>
      <c r="T88" t="s">
        <v>91</v>
      </c>
      <c r="U88" t="s">
        <v>91</v>
      </c>
      <c r="V88" t="s">
        <v>91</v>
      </c>
      <c r="W88" t="s">
        <v>91</v>
      </c>
      <c r="X88" t="s">
        <v>91</v>
      </c>
      <c r="Y88" t="s">
        <v>91</v>
      </c>
      <c r="Z88" t="s">
        <v>91</v>
      </c>
      <c r="AA88" t="s">
        <v>91</v>
      </c>
      <c r="AB88" t="s">
        <v>91</v>
      </c>
      <c r="AC88" t="s">
        <v>91</v>
      </c>
      <c r="AD88" t="s">
        <v>91</v>
      </c>
      <c r="AE88" t="s">
        <v>91</v>
      </c>
      <c r="AF88" t="s">
        <v>91</v>
      </c>
      <c r="AG88" t="s">
        <v>91</v>
      </c>
      <c r="AH88" t="s">
        <v>91</v>
      </c>
      <c r="AI88" t="s">
        <v>91</v>
      </c>
    </row>
    <row r="89" spans="1:35" ht="21" x14ac:dyDescent="0.3">
      <c r="A89" t="s">
        <v>555</v>
      </c>
      <c r="B89" s="11">
        <v>60</v>
      </c>
      <c r="C89">
        <v>822</v>
      </c>
      <c r="D89">
        <v>66</v>
      </c>
      <c r="E89" s="4">
        <v>44628</v>
      </c>
      <c r="F89" t="s">
        <v>33</v>
      </c>
      <c r="H89" t="s">
        <v>64</v>
      </c>
      <c r="I89" t="s">
        <v>152</v>
      </c>
      <c r="J89" t="s">
        <v>41</v>
      </c>
      <c r="K89" s="9">
        <v>1.4604166666666667</v>
      </c>
      <c r="L89">
        <v>5</v>
      </c>
      <c r="M89">
        <v>12</v>
      </c>
      <c r="N89">
        <v>0.41699999999999998</v>
      </c>
      <c r="O89">
        <v>1</v>
      </c>
      <c r="P89">
        <v>6</v>
      </c>
      <c r="Q89">
        <v>0.16700000000000001</v>
      </c>
      <c r="R89">
        <v>4</v>
      </c>
      <c r="S89">
        <v>6</v>
      </c>
      <c r="T89">
        <v>0.66700000000000004</v>
      </c>
      <c r="U89">
        <v>0.45800000000000002</v>
      </c>
      <c r="V89">
        <v>4</v>
      </c>
      <c r="W89">
        <v>4</v>
      </c>
      <c r="X89">
        <v>1</v>
      </c>
      <c r="Y89">
        <v>0</v>
      </c>
      <c r="Z89">
        <v>5</v>
      </c>
      <c r="AA89">
        <v>5</v>
      </c>
      <c r="AB89">
        <v>5</v>
      </c>
      <c r="AC89">
        <v>3</v>
      </c>
      <c r="AD89">
        <v>0</v>
      </c>
      <c r="AE89">
        <v>4</v>
      </c>
      <c r="AF89">
        <v>4</v>
      </c>
      <c r="AG89">
        <v>15</v>
      </c>
      <c r="AH89">
        <v>11</v>
      </c>
      <c r="AI89">
        <v>6</v>
      </c>
    </row>
    <row r="90" spans="1:35" ht="21" x14ac:dyDescent="0.3">
      <c r="A90" t="s">
        <v>555</v>
      </c>
      <c r="B90" s="11">
        <v>61</v>
      </c>
      <c r="C90">
        <v>823</v>
      </c>
      <c r="D90">
        <v>67</v>
      </c>
      <c r="E90" s="4">
        <v>44630</v>
      </c>
      <c r="F90" t="s">
        <v>33</v>
      </c>
      <c r="G90" t="s">
        <v>37</v>
      </c>
      <c r="H90" t="s">
        <v>34</v>
      </c>
      <c r="I90" t="s">
        <v>153</v>
      </c>
      <c r="J90" t="s">
        <v>41</v>
      </c>
      <c r="K90" s="9">
        <v>1.5819444444444444</v>
      </c>
      <c r="L90">
        <v>11</v>
      </c>
      <c r="M90">
        <v>21</v>
      </c>
      <c r="N90">
        <v>0.52400000000000002</v>
      </c>
      <c r="O90">
        <v>5</v>
      </c>
      <c r="P90">
        <v>12</v>
      </c>
      <c r="Q90">
        <v>0.41699999999999998</v>
      </c>
      <c r="R90">
        <v>6</v>
      </c>
      <c r="S90">
        <v>9</v>
      </c>
      <c r="T90">
        <v>0.66700000000000004</v>
      </c>
      <c r="U90">
        <v>0.64300000000000002</v>
      </c>
      <c r="V90">
        <v>7</v>
      </c>
      <c r="W90">
        <v>7</v>
      </c>
      <c r="X90">
        <v>1</v>
      </c>
      <c r="Y90">
        <v>0</v>
      </c>
      <c r="Z90">
        <v>9</v>
      </c>
      <c r="AA90">
        <v>9</v>
      </c>
      <c r="AB90">
        <v>3</v>
      </c>
      <c r="AC90">
        <v>2</v>
      </c>
      <c r="AD90">
        <v>0</v>
      </c>
      <c r="AE90">
        <v>2</v>
      </c>
      <c r="AF90">
        <v>1</v>
      </c>
      <c r="AG90">
        <v>34</v>
      </c>
      <c r="AH90">
        <v>28.1</v>
      </c>
      <c r="AI90">
        <v>18</v>
      </c>
    </row>
    <row r="91" spans="1:35" ht="21" x14ac:dyDescent="0.3">
      <c r="A91" t="s">
        <v>555</v>
      </c>
      <c r="B91" s="11">
        <v>62</v>
      </c>
      <c r="C91">
        <v>824</v>
      </c>
      <c r="D91">
        <v>68</v>
      </c>
      <c r="E91" s="4">
        <v>44632</v>
      </c>
      <c r="F91" t="s">
        <v>33</v>
      </c>
      <c r="H91" t="s">
        <v>126</v>
      </c>
      <c r="I91" t="s">
        <v>154</v>
      </c>
      <c r="J91" t="s">
        <v>41</v>
      </c>
      <c r="K91" s="9">
        <v>1.3812500000000001</v>
      </c>
      <c r="L91">
        <v>3</v>
      </c>
      <c r="M91">
        <v>7</v>
      </c>
      <c r="N91">
        <v>0.42899999999999999</v>
      </c>
      <c r="O91">
        <v>2</v>
      </c>
      <c r="P91">
        <v>4</v>
      </c>
      <c r="Q91">
        <v>0.5</v>
      </c>
      <c r="R91">
        <v>1</v>
      </c>
      <c r="S91">
        <v>3</v>
      </c>
      <c r="T91">
        <v>0.33300000000000002</v>
      </c>
      <c r="U91">
        <v>0.57099999999999995</v>
      </c>
      <c r="V91">
        <v>0</v>
      </c>
      <c r="W91">
        <v>0</v>
      </c>
      <c r="Y91">
        <v>1</v>
      </c>
      <c r="Z91">
        <v>4</v>
      </c>
      <c r="AA91">
        <v>5</v>
      </c>
      <c r="AB91">
        <v>8</v>
      </c>
      <c r="AC91">
        <v>1</v>
      </c>
      <c r="AD91">
        <v>1</v>
      </c>
      <c r="AE91">
        <v>4</v>
      </c>
      <c r="AF91">
        <v>1</v>
      </c>
      <c r="AG91">
        <v>8</v>
      </c>
      <c r="AH91">
        <v>9.1</v>
      </c>
      <c r="AI91">
        <v>14</v>
      </c>
    </row>
    <row r="92" spans="1:35" ht="21" x14ac:dyDescent="0.3">
      <c r="A92" t="s">
        <v>555</v>
      </c>
      <c r="B92" s="11">
        <v>63</v>
      </c>
      <c r="C92">
        <v>825</v>
      </c>
      <c r="D92">
        <v>69</v>
      </c>
      <c r="E92" s="4">
        <v>44634</v>
      </c>
      <c r="F92" t="s">
        <v>33</v>
      </c>
      <c r="H92" t="s">
        <v>155</v>
      </c>
      <c r="I92" t="s">
        <v>156</v>
      </c>
      <c r="J92" t="s">
        <v>41</v>
      </c>
      <c r="K92" s="9">
        <v>1.476388888888889</v>
      </c>
      <c r="L92">
        <v>16</v>
      </c>
      <c r="M92">
        <v>25</v>
      </c>
      <c r="N92">
        <v>0.64</v>
      </c>
      <c r="O92">
        <v>7</v>
      </c>
      <c r="P92">
        <v>14</v>
      </c>
      <c r="Q92">
        <v>0.5</v>
      </c>
      <c r="R92">
        <v>9</v>
      </c>
      <c r="S92">
        <v>11</v>
      </c>
      <c r="T92">
        <v>0.81799999999999995</v>
      </c>
      <c r="U92">
        <v>0.78</v>
      </c>
      <c r="V92">
        <v>8</v>
      </c>
      <c r="W92">
        <v>8</v>
      </c>
      <c r="X92">
        <v>1</v>
      </c>
      <c r="Y92">
        <v>0</v>
      </c>
      <c r="Z92">
        <v>6</v>
      </c>
      <c r="AA92">
        <v>6</v>
      </c>
      <c r="AB92">
        <v>6</v>
      </c>
      <c r="AC92">
        <v>1</v>
      </c>
      <c r="AD92">
        <v>0</v>
      </c>
      <c r="AE92">
        <v>2</v>
      </c>
      <c r="AF92">
        <v>1</v>
      </c>
      <c r="AG92">
        <v>47</v>
      </c>
      <c r="AH92">
        <v>40.5</v>
      </c>
      <c r="AI92">
        <v>17</v>
      </c>
    </row>
    <row r="93" spans="1:35" ht="21" x14ac:dyDescent="0.3">
      <c r="A93" t="s">
        <v>555</v>
      </c>
      <c r="B93" s="11">
        <v>64</v>
      </c>
      <c r="C93">
        <v>826</v>
      </c>
      <c r="D93">
        <v>70</v>
      </c>
      <c r="E93" s="4">
        <v>44636</v>
      </c>
      <c r="F93" t="s">
        <v>33</v>
      </c>
      <c r="H93" t="s">
        <v>55</v>
      </c>
      <c r="I93" t="s">
        <v>157</v>
      </c>
      <c r="J93" t="s">
        <v>41</v>
      </c>
      <c r="K93" s="7">
        <v>0.56944444444444442</v>
      </c>
      <c r="L93">
        <v>1</v>
      </c>
      <c r="M93">
        <v>4</v>
      </c>
      <c r="N93">
        <v>0.25</v>
      </c>
      <c r="O93">
        <v>1</v>
      </c>
      <c r="P93">
        <v>4</v>
      </c>
      <c r="Q93">
        <v>0.25</v>
      </c>
      <c r="R93">
        <v>0</v>
      </c>
      <c r="S93">
        <v>0</v>
      </c>
      <c r="U93">
        <v>0.375</v>
      </c>
      <c r="V93">
        <v>0</v>
      </c>
      <c r="W93">
        <v>0</v>
      </c>
      <c r="Y93">
        <v>0</v>
      </c>
      <c r="Z93">
        <v>1</v>
      </c>
      <c r="AA93">
        <v>1</v>
      </c>
      <c r="AB93">
        <v>2</v>
      </c>
      <c r="AC93">
        <v>0</v>
      </c>
      <c r="AD93">
        <v>0</v>
      </c>
      <c r="AE93">
        <v>4</v>
      </c>
      <c r="AF93">
        <v>2</v>
      </c>
      <c r="AG93">
        <v>3</v>
      </c>
      <c r="AH93">
        <v>-2.5</v>
      </c>
      <c r="AI93">
        <v>-5</v>
      </c>
    </row>
    <row r="94" spans="1:35" ht="21" x14ac:dyDescent="0.3">
      <c r="A94" t="s">
        <v>555</v>
      </c>
      <c r="B94" s="11">
        <v>64</v>
      </c>
      <c r="D94">
        <v>71</v>
      </c>
      <c r="E94" s="4">
        <v>44640</v>
      </c>
      <c r="F94" t="s">
        <v>33</v>
      </c>
      <c r="H94" t="s">
        <v>102</v>
      </c>
      <c r="I94" t="s">
        <v>158</v>
      </c>
      <c r="J94" t="s">
        <v>91</v>
      </c>
      <c r="K94" t="s">
        <v>91</v>
      </c>
      <c r="L94" t="s">
        <v>91</v>
      </c>
      <c r="M94" t="s">
        <v>91</v>
      </c>
      <c r="N94" t="s">
        <v>91</v>
      </c>
      <c r="O94" t="s">
        <v>91</v>
      </c>
      <c r="P94" t="s">
        <v>91</v>
      </c>
      <c r="Q94" t="s">
        <v>91</v>
      </c>
      <c r="R94" t="s">
        <v>91</v>
      </c>
      <c r="S94" t="s">
        <v>91</v>
      </c>
      <c r="T94" t="s">
        <v>91</v>
      </c>
      <c r="U94" t="s">
        <v>91</v>
      </c>
      <c r="V94" t="s">
        <v>91</v>
      </c>
      <c r="W94" t="s">
        <v>91</v>
      </c>
      <c r="X94" t="s">
        <v>91</v>
      </c>
      <c r="Y94" t="s">
        <v>91</v>
      </c>
      <c r="Z94" t="s">
        <v>91</v>
      </c>
      <c r="AA94" t="s">
        <v>91</v>
      </c>
      <c r="AB94" t="s">
        <v>91</v>
      </c>
      <c r="AC94" t="s">
        <v>91</v>
      </c>
      <c r="AD94" t="s">
        <v>91</v>
      </c>
      <c r="AE94" t="s">
        <v>91</v>
      </c>
      <c r="AF94" t="s">
        <v>91</v>
      </c>
      <c r="AG94" t="s">
        <v>91</v>
      </c>
      <c r="AH94" t="s">
        <v>91</v>
      </c>
      <c r="AI94" t="s">
        <v>91</v>
      </c>
    </row>
    <row r="95" spans="1:35" ht="21" x14ac:dyDescent="0.3">
      <c r="A95" t="s">
        <v>555</v>
      </c>
      <c r="B95" s="11">
        <v>64</v>
      </c>
      <c r="D95">
        <v>72</v>
      </c>
      <c r="E95" s="4">
        <v>44642</v>
      </c>
      <c r="F95" t="s">
        <v>33</v>
      </c>
      <c r="G95" t="s">
        <v>37</v>
      </c>
      <c r="H95" t="s">
        <v>104</v>
      </c>
      <c r="I95" t="s">
        <v>159</v>
      </c>
      <c r="J95" t="s">
        <v>91</v>
      </c>
      <c r="K95" t="s">
        <v>91</v>
      </c>
      <c r="L95" t="s">
        <v>91</v>
      </c>
      <c r="M95" t="s">
        <v>91</v>
      </c>
      <c r="N95" t="s">
        <v>91</v>
      </c>
      <c r="O95" t="s">
        <v>91</v>
      </c>
      <c r="P95" t="s">
        <v>91</v>
      </c>
      <c r="Q95" t="s">
        <v>91</v>
      </c>
      <c r="R95" t="s">
        <v>91</v>
      </c>
      <c r="S95" t="s">
        <v>91</v>
      </c>
      <c r="T95" t="s">
        <v>91</v>
      </c>
      <c r="U95" t="s">
        <v>91</v>
      </c>
      <c r="V95" t="s">
        <v>91</v>
      </c>
      <c r="W95" t="s">
        <v>91</v>
      </c>
      <c r="X95" t="s">
        <v>91</v>
      </c>
      <c r="Y95" t="s">
        <v>91</v>
      </c>
      <c r="Z95" t="s">
        <v>91</v>
      </c>
      <c r="AA95" t="s">
        <v>91</v>
      </c>
      <c r="AB95" t="s">
        <v>91</v>
      </c>
      <c r="AC95" t="s">
        <v>91</v>
      </c>
      <c r="AD95" t="s">
        <v>91</v>
      </c>
      <c r="AE95" t="s">
        <v>91</v>
      </c>
      <c r="AF95" t="s">
        <v>91</v>
      </c>
      <c r="AG95" t="s">
        <v>91</v>
      </c>
      <c r="AH95" t="s">
        <v>91</v>
      </c>
      <c r="AI95" t="s">
        <v>91</v>
      </c>
    </row>
    <row r="96" spans="1:35" ht="21" x14ac:dyDescent="0.3">
      <c r="A96" t="s">
        <v>555</v>
      </c>
      <c r="B96" s="11">
        <v>64</v>
      </c>
      <c r="D96">
        <v>73</v>
      </c>
      <c r="E96" s="4">
        <v>44643</v>
      </c>
      <c r="F96" t="s">
        <v>33</v>
      </c>
      <c r="G96" t="s">
        <v>37</v>
      </c>
      <c r="H96" t="s">
        <v>120</v>
      </c>
      <c r="I96" t="s">
        <v>160</v>
      </c>
      <c r="J96" t="s">
        <v>91</v>
      </c>
      <c r="K96" t="s">
        <v>91</v>
      </c>
      <c r="L96" t="s">
        <v>91</v>
      </c>
      <c r="M96" t="s">
        <v>91</v>
      </c>
      <c r="N96" t="s">
        <v>91</v>
      </c>
      <c r="O96" t="s">
        <v>91</v>
      </c>
      <c r="P96" t="s">
        <v>91</v>
      </c>
      <c r="Q96" t="s">
        <v>91</v>
      </c>
      <c r="R96" t="s">
        <v>91</v>
      </c>
      <c r="S96" t="s">
        <v>91</v>
      </c>
      <c r="T96" t="s">
        <v>91</v>
      </c>
      <c r="U96" t="s">
        <v>91</v>
      </c>
      <c r="V96" t="s">
        <v>91</v>
      </c>
      <c r="W96" t="s">
        <v>91</v>
      </c>
      <c r="X96" t="s">
        <v>91</v>
      </c>
      <c r="Y96" t="s">
        <v>91</v>
      </c>
      <c r="Z96" t="s">
        <v>91</v>
      </c>
      <c r="AA96" t="s">
        <v>91</v>
      </c>
      <c r="AB96" t="s">
        <v>91</v>
      </c>
      <c r="AC96" t="s">
        <v>91</v>
      </c>
      <c r="AD96" t="s">
        <v>91</v>
      </c>
      <c r="AE96" t="s">
        <v>91</v>
      </c>
      <c r="AF96" t="s">
        <v>91</v>
      </c>
      <c r="AG96" t="s">
        <v>91</v>
      </c>
      <c r="AH96" t="s">
        <v>91</v>
      </c>
      <c r="AI96" t="s">
        <v>91</v>
      </c>
    </row>
    <row r="97" spans="1:35" ht="21" x14ac:dyDescent="0.3">
      <c r="A97" t="s">
        <v>555</v>
      </c>
      <c r="B97" s="11">
        <v>64</v>
      </c>
      <c r="D97">
        <v>74</v>
      </c>
      <c r="E97" s="4">
        <v>44645</v>
      </c>
      <c r="F97" t="s">
        <v>33</v>
      </c>
      <c r="G97" t="s">
        <v>37</v>
      </c>
      <c r="H97" t="s">
        <v>78</v>
      </c>
      <c r="I97" t="s">
        <v>161</v>
      </c>
      <c r="J97" t="s">
        <v>91</v>
      </c>
      <c r="K97" t="s">
        <v>91</v>
      </c>
      <c r="L97" t="s">
        <v>91</v>
      </c>
      <c r="M97" t="s">
        <v>91</v>
      </c>
      <c r="N97" t="s">
        <v>91</v>
      </c>
      <c r="O97" t="s">
        <v>91</v>
      </c>
      <c r="P97" t="s">
        <v>91</v>
      </c>
      <c r="Q97" t="s">
        <v>91</v>
      </c>
      <c r="R97" t="s">
        <v>91</v>
      </c>
      <c r="S97" t="s">
        <v>91</v>
      </c>
      <c r="T97" t="s">
        <v>91</v>
      </c>
      <c r="U97" t="s">
        <v>91</v>
      </c>
      <c r="V97" t="s">
        <v>91</v>
      </c>
      <c r="W97" t="s">
        <v>91</v>
      </c>
      <c r="X97" t="s">
        <v>91</v>
      </c>
      <c r="Y97" t="s">
        <v>91</v>
      </c>
      <c r="Z97" t="s">
        <v>91</v>
      </c>
      <c r="AA97" t="s">
        <v>91</v>
      </c>
      <c r="AB97" t="s">
        <v>91</v>
      </c>
      <c r="AC97" t="s">
        <v>91</v>
      </c>
      <c r="AD97" t="s">
        <v>91</v>
      </c>
      <c r="AE97" t="s">
        <v>91</v>
      </c>
      <c r="AF97" t="s">
        <v>91</v>
      </c>
      <c r="AG97" t="s">
        <v>91</v>
      </c>
      <c r="AH97" t="s">
        <v>91</v>
      </c>
      <c r="AI97" t="s">
        <v>91</v>
      </c>
    </row>
    <row r="98" spans="1:35" ht="21" x14ac:dyDescent="0.3">
      <c r="A98" t="s">
        <v>555</v>
      </c>
      <c r="B98" s="11">
        <v>64</v>
      </c>
      <c r="D98">
        <v>75</v>
      </c>
      <c r="E98" s="4">
        <v>44647</v>
      </c>
      <c r="F98" t="s">
        <v>33</v>
      </c>
      <c r="G98" t="s">
        <v>37</v>
      </c>
      <c r="H98" t="s">
        <v>155</v>
      </c>
      <c r="I98" t="s">
        <v>162</v>
      </c>
      <c r="J98" t="s">
        <v>91</v>
      </c>
      <c r="K98" t="s">
        <v>91</v>
      </c>
      <c r="L98" t="s">
        <v>91</v>
      </c>
      <c r="M98" t="s">
        <v>91</v>
      </c>
      <c r="N98" t="s">
        <v>91</v>
      </c>
      <c r="O98" t="s">
        <v>91</v>
      </c>
      <c r="P98" t="s">
        <v>91</v>
      </c>
      <c r="Q98" t="s">
        <v>91</v>
      </c>
      <c r="R98" t="s">
        <v>91</v>
      </c>
      <c r="S98" t="s">
        <v>91</v>
      </c>
      <c r="T98" t="s">
        <v>91</v>
      </c>
      <c r="U98" t="s">
        <v>91</v>
      </c>
      <c r="V98" t="s">
        <v>91</v>
      </c>
      <c r="W98" t="s">
        <v>91</v>
      </c>
      <c r="X98" t="s">
        <v>91</v>
      </c>
      <c r="Y98" t="s">
        <v>91</v>
      </c>
      <c r="Z98" t="s">
        <v>91</v>
      </c>
      <c r="AA98" t="s">
        <v>91</v>
      </c>
      <c r="AB98" t="s">
        <v>91</v>
      </c>
      <c r="AC98" t="s">
        <v>91</v>
      </c>
      <c r="AD98" t="s">
        <v>91</v>
      </c>
      <c r="AE98" t="s">
        <v>91</v>
      </c>
      <c r="AF98" t="s">
        <v>91</v>
      </c>
      <c r="AG98" t="s">
        <v>91</v>
      </c>
      <c r="AH98" t="s">
        <v>91</v>
      </c>
      <c r="AI98" t="s">
        <v>91</v>
      </c>
    </row>
    <row r="99" spans="1:35" ht="21" x14ac:dyDescent="0.3">
      <c r="A99" t="s">
        <v>555</v>
      </c>
      <c r="B99" s="11">
        <v>64</v>
      </c>
      <c r="D99">
        <v>76</v>
      </c>
      <c r="E99" s="4">
        <v>44648</v>
      </c>
      <c r="F99" t="s">
        <v>33</v>
      </c>
      <c r="G99" t="s">
        <v>37</v>
      </c>
      <c r="H99" t="s">
        <v>42</v>
      </c>
      <c r="I99" t="s">
        <v>163</v>
      </c>
      <c r="J99" t="s">
        <v>91</v>
      </c>
      <c r="K99" t="s">
        <v>91</v>
      </c>
      <c r="L99" t="s">
        <v>91</v>
      </c>
      <c r="M99" t="s">
        <v>91</v>
      </c>
      <c r="N99" t="s">
        <v>91</v>
      </c>
      <c r="O99" t="s">
        <v>91</v>
      </c>
      <c r="P99" t="s">
        <v>91</v>
      </c>
      <c r="Q99" t="s">
        <v>91</v>
      </c>
      <c r="R99" t="s">
        <v>91</v>
      </c>
      <c r="S99" t="s">
        <v>91</v>
      </c>
      <c r="T99" t="s">
        <v>91</v>
      </c>
      <c r="U99" t="s">
        <v>91</v>
      </c>
      <c r="V99" t="s">
        <v>91</v>
      </c>
      <c r="W99" t="s">
        <v>91</v>
      </c>
      <c r="X99" t="s">
        <v>91</v>
      </c>
      <c r="Y99" t="s">
        <v>91</v>
      </c>
      <c r="Z99" t="s">
        <v>91</v>
      </c>
      <c r="AA99" t="s">
        <v>91</v>
      </c>
      <c r="AB99" t="s">
        <v>91</v>
      </c>
      <c r="AC99" t="s">
        <v>91</v>
      </c>
      <c r="AD99" t="s">
        <v>91</v>
      </c>
      <c r="AE99" t="s">
        <v>91</v>
      </c>
      <c r="AF99" t="s">
        <v>91</v>
      </c>
      <c r="AG99" t="s">
        <v>91</v>
      </c>
      <c r="AH99" t="s">
        <v>91</v>
      </c>
      <c r="AI99" t="s">
        <v>91</v>
      </c>
    </row>
    <row r="100" spans="1:35" ht="21" x14ac:dyDescent="0.3">
      <c r="A100" t="s">
        <v>555</v>
      </c>
      <c r="B100" s="11">
        <v>64</v>
      </c>
      <c r="D100">
        <v>77</v>
      </c>
      <c r="E100" s="4">
        <v>44650</v>
      </c>
      <c r="F100" t="s">
        <v>33</v>
      </c>
      <c r="H100" t="s">
        <v>99</v>
      </c>
      <c r="I100" t="s">
        <v>164</v>
      </c>
      <c r="J100" t="s">
        <v>91</v>
      </c>
      <c r="K100" t="s">
        <v>91</v>
      </c>
      <c r="L100" t="s">
        <v>91</v>
      </c>
      <c r="M100" t="s">
        <v>91</v>
      </c>
      <c r="N100" t="s">
        <v>91</v>
      </c>
      <c r="O100" t="s">
        <v>91</v>
      </c>
      <c r="P100" t="s">
        <v>91</v>
      </c>
      <c r="Q100" t="s">
        <v>91</v>
      </c>
      <c r="R100" t="s">
        <v>91</v>
      </c>
      <c r="S100" t="s">
        <v>91</v>
      </c>
      <c r="T100" t="s">
        <v>91</v>
      </c>
      <c r="U100" t="s">
        <v>91</v>
      </c>
      <c r="V100" t="s">
        <v>91</v>
      </c>
      <c r="W100" t="s">
        <v>91</v>
      </c>
      <c r="X100" t="s">
        <v>91</v>
      </c>
      <c r="Y100" t="s">
        <v>91</v>
      </c>
      <c r="Z100" t="s">
        <v>91</v>
      </c>
      <c r="AA100" t="s">
        <v>91</v>
      </c>
      <c r="AB100" t="s">
        <v>91</v>
      </c>
      <c r="AC100" t="s">
        <v>91</v>
      </c>
      <c r="AD100" t="s">
        <v>91</v>
      </c>
      <c r="AE100" t="s">
        <v>91</v>
      </c>
      <c r="AF100" t="s">
        <v>91</v>
      </c>
      <c r="AG100" t="s">
        <v>91</v>
      </c>
      <c r="AH100" t="s">
        <v>91</v>
      </c>
      <c r="AI100" t="s">
        <v>91</v>
      </c>
    </row>
    <row r="101" spans="1:35" ht="21" x14ac:dyDescent="0.3">
      <c r="A101" t="s">
        <v>555</v>
      </c>
      <c r="B101" s="11">
        <v>64</v>
      </c>
      <c r="D101">
        <v>78</v>
      </c>
      <c r="E101" s="4">
        <v>44653</v>
      </c>
      <c r="F101" t="s">
        <v>33</v>
      </c>
      <c r="H101" t="s">
        <v>118</v>
      </c>
      <c r="I101" t="s">
        <v>112</v>
      </c>
      <c r="J101" t="s">
        <v>91</v>
      </c>
      <c r="K101" t="s">
        <v>91</v>
      </c>
      <c r="L101" t="s">
        <v>91</v>
      </c>
      <c r="M101" t="s">
        <v>91</v>
      </c>
      <c r="N101" t="s">
        <v>91</v>
      </c>
      <c r="O101" t="s">
        <v>91</v>
      </c>
      <c r="P101" t="s">
        <v>91</v>
      </c>
      <c r="Q101" t="s">
        <v>91</v>
      </c>
      <c r="R101" t="s">
        <v>91</v>
      </c>
      <c r="S101" t="s">
        <v>91</v>
      </c>
      <c r="T101" t="s">
        <v>91</v>
      </c>
      <c r="U101" t="s">
        <v>91</v>
      </c>
      <c r="V101" t="s">
        <v>91</v>
      </c>
      <c r="W101" t="s">
        <v>91</v>
      </c>
      <c r="X101" t="s">
        <v>91</v>
      </c>
      <c r="Y101" t="s">
        <v>91</v>
      </c>
      <c r="Z101" t="s">
        <v>91</v>
      </c>
      <c r="AA101" t="s">
        <v>91</v>
      </c>
      <c r="AB101" t="s">
        <v>91</v>
      </c>
      <c r="AC101" t="s">
        <v>91</v>
      </c>
      <c r="AD101" t="s">
        <v>91</v>
      </c>
      <c r="AE101" t="s">
        <v>91</v>
      </c>
      <c r="AF101" t="s">
        <v>91</v>
      </c>
      <c r="AG101" t="s">
        <v>91</v>
      </c>
      <c r="AH101" t="s">
        <v>91</v>
      </c>
      <c r="AI101" t="s">
        <v>91</v>
      </c>
    </row>
    <row r="102" spans="1:35" ht="21" x14ac:dyDescent="0.3">
      <c r="A102" t="s">
        <v>555</v>
      </c>
      <c r="B102" s="11">
        <v>64</v>
      </c>
      <c r="D102">
        <v>79</v>
      </c>
      <c r="E102" s="4">
        <v>44654</v>
      </c>
      <c r="F102" t="s">
        <v>33</v>
      </c>
      <c r="G102" t="s">
        <v>37</v>
      </c>
      <c r="H102" t="s">
        <v>66</v>
      </c>
      <c r="I102" t="s">
        <v>165</v>
      </c>
      <c r="J102" t="s">
        <v>91</v>
      </c>
      <c r="K102" t="s">
        <v>91</v>
      </c>
      <c r="L102" t="s">
        <v>91</v>
      </c>
      <c r="M102" t="s">
        <v>91</v>
      </c>
      <c r="N102" t="s">
        <v>91</v>
      </c>
      <c r="O102" t="s">
        <v>91</v>
      </c>
      <c r="P102" t="s">
        <v>91</v>
      </c>
      <c r="Q102" t="s">
        <v>91</v>
      </c>
      <c r="R102" t="s">
        <v>91</v>
      </c>
      <c r="S102" t="s">
        <v>91</v>
      </c>
      <c r="T102" t="s">
        <v>91</v>
      </c>
      <c r="U102" t="s">
        <v>91</v>
      </c>
      <c r="V102" t="s">
        <v>91</v>
      </c>
      <c r="W102" t="s">
        <v>91</v>
      </c>
      <c r="X102" t="s">
        <v>91</v>
      </c>
      <c r="Y102" t="s">
        <v>91</v>
      </c>
      <c r="Z102" t="s">
        <v>91</v>
      </c>
      <c r="AA102" t="s">
        <v>91</v>
      </c>
      <c r="AB102" t="s">
        <v>91</v>
      </c>
      <c r="AC102" t="s">
        <v>91</v>
      </c>
      <c r="AD102" t="s">
        <v>91</v>
      </c>
      <c r="AE102" t="s">
        <v>91</v>
      </c>
      <c r="AF102" t="s">
        <v>91</v>
      </c>
      <c r="AG102" t="s">
        <v>91</v>
      </c>
      <c r="AH102" t="s">
        <v>91</v>
      </c>
      <c r="AI102" t="s">
        <v>91</v>
      </c>
    </row>
    <row r="103" spans="1:35" ht="21" x14ac:dyDescent="0.3">
      <c r="A103" t="s">
        <v>555</v>
      </c>
      <c r="B103" s="11">
        <v>64</v>
      </c>
      <c r="D103">
        <v>80</v>
      </c>
      <c r="E103" s="4">
        <v>44658</v>
      </c>
      <c r="F103" t="s">
        <v>33</v>
      </c>
      <c r="H103" t="s">
        <v>62</v>
      </c>
      <c r="I103" t="s">
        <v>166</v>
      </c>
      <c r="J103" t="s">
        <v>91</v>
      </c>
      <c r="K103" t="s">
        <v>91</v>
      </c>
      <c r="L103" t="s">
        <v>91</v>
      </c>
      <c r="M103" t="s">
        <v>91</v>
      </c>
      <c r="N103" t="s">
        <v>91</v>
      </c>
      <c r="O103" t="s">
        <v>91</v>
      </c>
      <c r="P103" t="s">
        <v>91</v>
      </c>
      <c r="Q103" t="s">
        <v>91</v>
      </c>
      <c r="R103" t="s">
        <v>91</v>
      </c>
      <c r="S103" t="s">
        <v>91</v>
      </c>
      <c r="T103" t="s">
        <v>91</v>
      </c>
      <c r="U103" t="s">
        <v>91</v>
      </c>
      <c r="V103" t="s">
        <v>91</v>
      </c>
      <c r="W103" t="s">
        <v>91</v>
      </c>
      <c r="X103" t="s">
        <v>91</v>
      </c>
      <c r="Y103" t="s">
        <v>91</v>
      </c>
      <c r="Z103" t="s">
        <v>91</v>
      </c>
      <c r="AA103" t="s">
        <v>91</v>
      </c>
      <c r="AB103" t="s">
        <v>91</v>
      </c>
      <c r="AC103" t="s">
        <v>91</v>
      </c>
      <c r="AD103" t="s">
        <v>91</v>
      </c>
      <c r="AE103" t="s">
        <v>91</v>
      </c>
      <c r="AF103" t="s">
        <v>91</v>
      </c>
      <c r="AG103" t="s">
        <v>91</v>
      </c>
      <c r="AH103" t="s">
        <v>91</v>
      </c>
      <c r="AI103" t="s">
        <v>91</v>
      </c>
    </row>
    <row r="104" spans="1:35" ht="21" x14ac:dyDescent="0.3">
      <c r="A104" t="s">
        <v>555</v>
      </c>
      <c r="B104" s="11">
        <v>64</v>
      </c>
      <c r="D104">
        <v>81</v>
      </c>
      <c r="E104" s="4">
        <v>44660</v>
      </c>
      <c r="F104" t="s">
        <v>33</v>
      </c>
      <c r="G104" t="s">
        <v>37</v>
      </c>
      <c r="H104" t="s">
        <v>102</v>
      </c>
      <c r="I104" t="s">
        <v>167</v>
      </c>
      <c r="J104" t="s">
        <v>91</v>
      </c>
      <c r="K104" t="s">
        <v>91</v>
      </c>
      <c r="L104" t="s">
        <v>91</v>
      </c>
      <c r="M104" t="s">
        <v>91</v>
      </c>
      <c r="N104" t="s">
        <v>91</v>
      </c>
      <c r="O104" t="s">
        <v>91</v>
      </c>
      <c r="P104" t="s">
        <v>91</v>
      </c>
      <c r="Q104" t="s">
        <v>91</v>
      </c>
      <c r="R104" t="s">
        <v>91</v>
      </c>
      <c r="S104" t="s">
        <v>91</v>
      </c>
      <c r="T104" t="s">
        <v>91</v>
      </c>
      <c r="U104" t="s">
        <v>91</v>
      </c>
      <c r="V104" t="s">
        <v>91</v>
      </c>
      <c r="W104" t="s">
        <v>91</v>
      </c>
      <c r="X104" t="s">
        <v>91</v>
      </c>
      <c r="Y104" t="s">
        <v>91</v>
      </c>
      <c r="Z104" t="s">
        <v>91</v>
      </c>
      <c r="AA104" t="s">
        <v>91</v>
      </c>
      <c r="AB104" t="s">
        <v>91</v>
      </c>
      <c r="AC104" t="s">
        <v>91</v>
      </c>
      <c r="AD104" t="s">
        <v>91</v>
      </c>
      <c r="AE104" t="s">
        <v>91</v>
      </c>
      <c r="AF104" t="s">
        <v>91</v>
      </c>
      <c r="AG104" t="s">
        <v>91</v>
      </c>
      <c r="AH104" t="s">
        <v>91</v>
      </c>
      <c r="AI104" t="s">
        <v>91</v>
      </c>
    </row>
    <row r="105" spans="1:35" ht="21" x14ac:dyDescent="0.3">
      <c r="A105" t="s">
        <v>555</v>
      </c>
      <c r="B105" s="11">
        <v>64</v>
      </c>
      <c r="D105">
        <v>82</v>
      </c>
      <c r="E105" s="4">
        <v>44661</v>
      </c>
      <c r="F105" t="s">
        <v>33</v>
      </c>
      <c r="G105" t="s">
        <v>37</v>
      </c>
      <c r="H105" t="s">
        <v>74</v>
      </c>
      <c r="I105" t="s">
        <v>168</v>
      </c>
      <c r="J105" t="s">
        <v>91</v>
      </c>
      <c r="K105" t="s">
        <v>91</v>
      </c>
      <c r="L105" t="s">
        <v>91</v>
      </c>
      <c r="M105" t="s">
        <v>91</v>
      </c>
      <c r="N105" t="s">
        <v>91</v>
      </c>
      <c r="O105" t="s">
        <v>91</v>
      </c>
      <c r="P105" t="s">
        <v>91</v>
      </c>
      <c r="Q105" t="s">
        <v>91</v>
      </c>
      <c r="R105" t="s">
        <v>91</v>
      </c>
      <c r="S105" t="s">
        <v>91</v>
      </c>
      <c r="T105" t="s">
        <v>91</v>
      </c>
      <c r="U105" t="s">
        <v>91</v>
      </c>
      <c r="V105" t="s">
        <v>91</v>
      </c>
      <c r="W105" t="s">
        <v>91</v>
      </c>
      <c r="X105" t="s">
        <v>91</v>
      </c>
      <c r="Y105" t="s">
        <v>91</v>
      </c>
      <c r="Z105" t="s">
        <v>91</v>
      </c>
      <c r="AA105" t="s">
        <v>91</v>
      </c>
      <c r="AB105" t="s">
        <v>91</v>
      </c>
      <c r="AC105" t="s">
        <v>91</v>
      </c>
      <c r="AD105" t="s">
        <v>91</v>
      </c>
      <c r="AE105" t="s">
        <v>91</v>
      </c>
      <c r="AF105" t="s">
        <v>91</v>
      </c>
      <c r="AG105" t="s">
        <v>91</v>
      </c>
      <c r="AH105" t="s">
        <v>91</v>
      </c>
      <c r="AI105" t="s">
        <v>91</v>
      </c>
    </row>
    <row r="106" spans="1:35" ht="21" x14ac:dyDescent="0.3">
      <c r="B106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DE4C-9B58-C54E-B502-535634A9250E}">
  <dimension ref="A1:AI105"/>
  <sheetViews>
    <sheetView workbookViewId="0">
      <selection activeCell="H2" sqref="H2:H105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554</v>
      </c>
      <c r="B2" s="11">
        <v>1</v>
      </c>
      <c r="C2">
        <v>526</v>
      </c>
      <c r="D2">
        <v>1</v>
      </c>
      <c r="E2" s="4">
        <v>44488</v>
      </c>
      <c r="F2" t="s">
        <v>33</v>
      </c>
      <c r="G2" t="s">
        <v>37</v>
      </c>
      <c r="H2" t="s">
        <v>62</v>
      </c>
      <c r="I2" t="s">
        <v>63</v>
      </c>
      <c r="J2" t="s">
        <v>41</v>
      </c>
      <c r="K2" s="9">
        <v>1.0722222222222222</v>
      </c>
      <c r="L2">
        <v>5</v>
      </c>
      <c r="M2">
        <v>10</v>
      </c>
      <c r="N2">
        <v>0.5</v>
      </c>
      <c r="O2">
        <v>2</v>
      </c>
      <c r="P2">
        <v>5</v>
      </c>
      <c r="Q2">
        <v>0.4</v>
      </c>
      <c r="R2">
        <v>3</v>
      </c>
      <c r="S2">
        <v>5</v>
      </c>
      <c r="T2">
        <v>0.6</v>
      </c>
      <c r="U2">
        <v>0.6</v>
      </c>
      <c r="V2">
        <v>0</v>
      </c>
      <c r="W2">
        <v>0</v>
      </c>
      <c r="Y2">
        <v>1</v>
      </c>
      <c r="Z2">
        <v>6</v>
      </c>
      <c r="AA2">
        <v>7</v>
      </c>
      <c r="AB2">
        <v>1</v>
      </c>
      <c r="AC2">
        <v>1</v>
      </c>
      <c r="AD2">
        <v>0</v>
      </c>
      <c r="AE2">
        <v>2</v>
      </c>
      <c r="AF2">
        <v>3</v>
      </c>
      <c r="AG2">
        <v>12</v>
      </c>
      <c r="AH2">
        <v>8</v>
      </c>
      <c r="AI2">
        <v>-5</v>
      </c>
    </row>
    <row r="3" spans="1:35" ht="21" x14ac:dyDescent="0.3">
      <c r="A3" t="s">
        <v>554</v>
      </c>
      <c r="B3" s="11">
        <v>2</v>
      </c>
      <c r="C3">
        <v>527</v>
      </c>
      <c r="D3">
        <v>2</v>
      </c>
      <c r="E3" s="4">
        <v>44490</v>
      </c>
      <c r="F3" t="s">
        <v>33</v>
      </c>
      <c r="H3" t="s">
        <v>64</v>
      </c>
      <c r="I3" t="s">
        <v>65</v>
      </c>
      <c r="J3" t="s">
        <v>41</v>
      </c>
      <c r="K3" s="9">
        <v>1.28125</v>
      </c>
      <c r="L3">
        <v>6</v>
      </c>
      <c r="M3">
        <v>15</v>
      </c>
      <c r="N3">
        <v>0.4</v>
      </c>
      <c r="O3">
        <v>3</v>
      </c>
      <c r="P3">
        <v>6</v>
      </c>
      <c r="Q3">
        <v>0.5</v>
      </c>
      <c r="R3">
        <v>3</v>
      </c>
      <c r="S3">
        <v>9</v>
      </c>
      <c r="T3">
        <v>0.33300000000000002</v>
      </c>
      <c r="U3">
        <v>0.5</v>
      </c>
      <c r="V3">
        <v>2</v>
      </c>
      <c r="W3">
        <v>2</v>
      </c>
      <c r="X3">
        <v>1</v>
      </c>
      <c r="Y3">
        <v>3</v>
      </c>
      <c r="Z3">
        <v>3</v>
      </c>
      <c r="AA3">
        <v>6</v>
      </c>
      <c r="AB3">
        <v>3</v>
      </c>
      <c r="AC3">
        <v>1</v>
      </c>
      <c r="AD3">
        <v>1</v>
      </c>
      <c r="AE3">
        <v>2</v>
      </c>
      <c r="AF3">
        <v>1</v>
      </c>
      <c r="AG3">
        <v>17</v>
      </c>
      <c r="AH3">
        <v>13.3</v>
      </c>
      <c r="AI3">
        <v>-5</v>
      </c>
    </row>
    <row r="4" spans="1:35" ht="21" x14ac:dyDescent="0.3">
      <c r="A4" t="s">
        <v>554</v>
      </c>
      <c r="B4" s="11">
        <v>3</v>
      </c>
      <c r="C4">
        <v>528</v>
      </c>
      <c r="D4">
        <v>3</v>
      </c>
      <c r="E4" s="4">
        <v>44493</v>
      </c>
      <c r="F4" t="s">
        <v>33</v>
      </c>
      <c r="G4" t="s">
        <v>37</v>
      </c>
      <c r="H4" t="s">
        <v>66</v>
      </c>
      <c r="I4" t="s">
        <v>67</v>
      </c>
      <c r="J4" t="s">
        <v>41</v>
      </c>
      <c r="K4" s="9">
        <v>1.3</v>
      </c>
      <c r="L4">
        <v>6</v>
      </c>
      <c r="M4">
        <v>13</v>
      </c>
      <c r="N4">
        <v>0.46200000000000002</v>
      </c>
      <c r="O4">
        <v>2</v>
      </c>
      <c r="P4">
        <v>5</v>
      </c>
      <c r="Q4">
        <v>0.4</v>
      </c>
      <c r="R4">
        <v>4</v>
      </c>
      <c r="S4">
        <v>8</v>
      </c>
      <c r="T4">
        <v>0.5</v>
      </c>
      <c r="U4">
        <v>0.53800000000000003</v>
      </c>
      <c r="V4">
        <v>3</v>
      </c>
      <c r="W4">
        <v>4</v>
      </c>
      <c r="X4">
        <v>0.75</v>
      </c>
      <c r="Y4">
        <v>2</v>
      </c>
      <c r="Z4">
        <v>2</v>
      </c>
      <c r="AA4">
        <v>4</v>
      </c>
      <c r="AB4">
        <v>0</v>
      </c>
      <c r="AC4">
        <v>0</v>
      </c>
      <c r="AD4">
        <v>0</v>
      </c>
      <c r="AE4">
        <v>0</v>
      </c>
      <c r="AF4">
        <v>1</v>
      </c>
      <c r="AG4">
        <v>17</v>
      </c>
      <c r="AH4">
        <v>11.5</v>
      </c>
      <c r="AI4">
        <v>18</v>
      </c>
    </row>
    <row r="5" spans="1:35" ht="21" x14ac:dyDescent="0.3">
      <c r="A5" t="s">
        <v>554</v>
      </c>
      <c r="B5" s="11">
        <v>4</v>
      </c>
      <c r="C5">
        <v>529</v>
      </c>
      <c r="D5">
        <v>4</v>
      </c>
      <c r="E5" s="4">
        <v>44495</v>
      </c>
      <c r="F5" t="s">
        <v>33</v>
      </c>
      <c r="G5" t="s">
        <v>37</v>
      </c>
      <c r="H5" t="s">
        <v>68</v>
      </c>
      <c r="I5" t="s">
        <v>69</v>
      </c>
      <c r="J5" t="s">
        <v>41</v>
      </c>
      <c r="K5" s="9">
        <v>1.2791666666666666</v>
      </c>
      <c r="L5">
        <v>9</v>
      </c>
      <c r="M5">
        <v>17</v>
      </c>
      <c r="N5">
        <v>0.52900000000000003</v>
      </c>
      <c r="O5">
        <v>0</v>
      </c>
      <c r="P5">
        <v>5</v>
      </c>
      <c r="Q5">
        <v>0</v>
      </c>
      <c r="R5">
        <v>9</v>
      </c>
      <c r="S5">
        <v>12</v>
      </c>
      <c r="T5">
        <v>0.75</v>
      </c>
      <c r="U5">
        <v>0.52900000000000003</v>
      </c>
      <c r="V5">
        <v>3</v>
      </c>
      <c r="W5">
        <v>5</v>
      </c>
      <c r="X5">
        <v>0.6</v>
      </c>
      <c r="Y5">
        <v>1</v>
      </c>
      <c r="Z5">
        <v>3</v>
      </c>
      <c r="AA5">
        <v>4</v>
      </c>
      <c r="AB5">
        <v>4</v>
      </c>
      <c r="AC5">
        <v>3</v>
      </c>
      <c r="AD5">
        <v>1</v>
      </c>
      <c r="AE5">
        <v>2</v>
      </c>
      <c r="AF5">
        <v>0</v>
      </c>
      <c r="AG5">
        <v>21</v>
      </c>
      <c r="AH5">
        <v>18</v>
      </c>
      <c r="AI5">
        <v>4</v>
      </c>
    </row>
    <row r="6" spans="1:35" ht="21" x14ac:dyDescent="0.3">
      <c r="A6" t="s">
        <v>554</v>
      </c>
      <c r="B6" s="11">
        <v>5</v>
      </c>
      <c r="C6">
        <v>530</v>
      </c>
      <c r="D6">
        <v>5</v>
      </c>
      <c r="E6" s="4">
        <v>44497</v>
      </c>
      <c r="F6" t="s">
        <v>33</v>
      </c>
      <c r="H6" t="s">
        <v>42</v>
      </c>
      <c r="I6" t="s">
        <v>70</v>
      </c>
      <c r="J6" t="s">
        <v>41</v>
      </c>
      <c r="K6" s="9">
        <v>1.5583333333333333</v>
      </c>
      <c r="L6">
        <v>7</v>
      </c>
      <c r="M6">
        <v>15</v>
      </c>
      <c r="N6">
        <v>0.46700000000000003</v>
      </c>
      <c r="O6">
        <v>1</v>
      </c>
      <c r="P6">
        <v>4</v>
      </c>
      <c r="Q6">
        <v>0.25</v>
      </c>
      <c r="R6">
        <v>6</v>
      </c>
      <c r="S6">
        <v>11</v>
      </c>
      <c r="T6">
        <v>0.54500000000000004</v>
      </c>
      <c r="U6">
        <v>0.5</v>
      </c>
      <c r="V6">
        <v>1</v>
      </c>
      <c r="W6">
        <v>2</v>
      </c>
      <c r="X6">
        <v>0.5</v>
      </c>
      <c r="Y6">
        <v>0</v>
      </c>
      <c r="Z6">
        <v>4</v>
      </c>
      <c r="AA6">
        <v>4</v>
      </c>
      <c r="AB6">
        <v>1</v>
      </c>
      <c r="AC6">
        <v>1</v>
      </c>
      <c r="AD6">
        <v>1</v>
      </c>
      <c r="AE6">
        <v>2</v>
      </c>
      <c r="AF6">
        <v>1</v>
      </c>
      <c r="AG6">
        <v>16</v>
      </c>
      <c r="AH6">
        <v>9.1</v>
      </c>
      <c r="AI6">
        <v>0</v>
      </c>
    </row>
    <row r="7" spans="1:35" ht="21" x14ac:dyDescent="0.3">
      <c r="A7" t="s">
        <v>554</v>
      </c>
      <c r="B7" s="11">
        <v>6</v>
      </c>
      <c r="C7">
        <v>531</v>
      </c>
      <c r="D7">
        <v>6</v>
      </c>
      <c r="E7" s="4">
        <v>44499</v>
      </c>
      <c r="F7" t="s">
        <v>33</v>
      </c>
      <c r="H7" t="s">
        <v>68</v>
      </c>
      <c r="I7" t="s">
        <v>71</v>
      </c>
      <c r="J7" t="s">
        <v>41</v>
      </c>
      <c r="K7" s="9">
        <v>1.0347222222222223</v>
      </c>
      <c r="L7">
        <v>5</v>
      </c>
      <c r="M7">
        <v>13</v>
      </c>
      <c r="N7">
        <v>0.38500000000000001</v>
      </c>
      <c r="O7">
        <v>4</v>
      </c>
      <c r="P7">
        <v>5</v>
      </c>
      <c r="Q7">
        <v>0.8</v>
      </c>
      <c r="R7">
        <v>1</v>
      </c>
      <c r="S7">
        <v>8</v>
      </c>
      <c r="T7">
        <v>0.125</v>
      </c>
      <c r="U7">
        <v>0.53800000000000003</v>
      </c>
      <c r="V7">
        <v>0</v>
      </c>
      <c r="W7">
        <v>0</v>
      </c>
      <c r="Y7">
        <v>2</v>
      </c>
      <c r="Z7">
        <v>0</v>
      </c>
      <c r="AA7">
        <v>2</v>
      </c>
      <c r="AB7">
        <v>1</v>
      </c>
      <c r="AC7">
        <v>1</v>
      </c>
      <c r="AD7">
        <v>0</v>
      </c>
      <c r="AE7">
        <v>0</v>
      </c>
      <c r="AF7">
        <v>1</v>
      </c>
      <c r="AG7">
        <v>14</v>
      </c>
      <c r="AH7">
        <v>9.6</v>
      </c>
      <c r="AI7">
        <v>17</v>
      </c>
    </row>
    <row r="8" spans="1:35" ht="21" x14ac:dyDescent="0.3">
      <c r="A8" t="s">
        <v>554</v>
      </c>
      <c r="B8" s="11">
        <v>7</v>
      </c>
      <c r="C8">
        <v>532</v>
      </c>
      <c r="D8">
        <v>7</v>
      </c>
      <c r="E8" s="4">
        <v>44503</v>
      </c>
      <c r="F8" t="s">
        <v>33</v>
      </c>
      <c r="H8" t="s">
        <v>72</v>
      </c>
      <c r="I8" t="s">
        <v>73</v>
      </c>
      <c r="J8" t="s">
        <v>41</v>
      </c>
      <c r="K8" s="9">
        <v>1.1979166666666667</v>
      </c>
      <c r="L8">
        <v>4</v>
      </c>
      <c r="M8">
        <v>12</v>
      </c>
      <c r="N8">
        <v>0.33300000000000002</v>
      </c>
      <c r="O8">
        <v>2</v>
      </c>
      <c r="P8">
        <v>6</v>
      </c>
      <c r="Q8">
        <v>0.33300000000000002</v>
      </c>
      <c r="R8">
        <v>2</v>
      </c>
      <c r="S8">
        <v>6</v>
      </c>
      <c r="T8">
        <v>0.33300000000000002</v>
      </c>
      <c r="U8">
        <v>0.41699999999999998</v>
      </c>
      <c r="V8">
        <v>4</v>
      </c>
      <c r="W8">
        <v>4</v>
      </c>
      <c r="X8">
        <v>1</v>
      </c>
      <c r="Y8">
        <v>1</v>
      </c>
      <c r="Z8">
        <v>5</v>
      </c>
      <c r="AA8">
        <v>6</v>
      </c>
      <c r="AB8">
        <v>3</v>
      </c>
      <c r="AC8">
        <v>0</v>
      </c>
      <c r="AD8">
        <v>0</v>
      </c>
      <c r="AE8">
        <v>1</v>
      </c>
      <c r="AF8">
        <v>3</v>
      </c>
      <c r="AG8">
        <v>14</v>
      </c>
      <c r="AH8">
        <v>9.3000000000000007</v>
      </c>
      <c r="AI8">
        <v>9</v>
      </c>
    </row>
    <row r="9" spans="1:35" ht="21" x14ac:dyDescent="0.3">
      <c r="A9" t="s">
        <v>554</v>
      </c>
      <c r="B9" s="11">
        <v>8</v>
      </c>
      <c r="C9">
        <v>533</v>
      </c>
      <c r="D9">
        <v>8</v>
      </c>
      <c r="E9" s="4">
        <v>44505</v>
      </c>
      <c r="F9" t="s">
        <v>33</v>
      </c>
      <c r="H9" t="s">
        <v>74</v>
      </c>
      <c r="I9" t="s">
        <v>75</v>
      </c>
      <c r="J9" t="s">
        <v>41</v>
      </c>
      <c r="K9" s="9">
        <v>1.0902777777777777</v>
      </c>
      <c r="L9">
        <v>6</v>
      </c>
      <c r="M9">
        <v>13</v>
      </c>
      <c r="N9">
        <v>0.46200000000000002</v>
      </c>
      <c r="O9">
        <v>1</v>
      </c>
      <c r="P9">
        <v>5</v>
      </c>
      <c r="Q9">
        <v>0.2</v>
      </c>
      <c r="R9">
        <v>5</v>
      </c>
      <c r="S9">
        <v>8</v>
      </c>
      <c r="T9">
        <v>0.625</v>
      </c>
      <c r="U9">
        <v>0.5</v>
      </c>
      <c r="V9">
        <v>3</v>
      </c>
      <c r="W9">
        <v>4</v>
      </c>
      <c r="X9">
        <v>0.75</v>
      </c>
      <c r="Y9">
        <v>0</v>
      </c>
      <c r="Z9">
        <v>3</v>
      </c>
      <c r="AA9">
        <v>3</v>
      </c>
      <c r="AB9">
        <v>0</v>
      </c>
      <c r="AC9">
        <v>0</v>
      </c>
      <c r="AD9">
        <v>0</v>
      </c>
      <c r="AE9">
        <v>1</v>
      </c>
      <c r="AF9">
        <v>2</v>
      </c>
      <c r="AG9">
        <v>16</v>
      </c>
      <c r="AH9">
        <v>8</v>
      </c>
      <c r="AI9">
        <v>8</v>
      </c>
    </row>
    <row r="10" spans="1:35" ht="21" x14ac:dyDescent="0.3">
      <c r="A10" t="s">
        <v>554</v>
      </c>
      <c r="B10" s="11">
        <v>9</v>
      </c>
      <c r="C10">
        <v>534</v>
      </c>
      <c r="D10">
        <v>9</v>
      </c>
      <c r="E10" s="4">
        <v>44507</v>
      </c>
      <c r="F10" t="s">
        <v>33</v>
      </c>
      <c r="H10" t="s">
        <v>76</v>
      </c>
      <c r="I10" t="s">
        <v>77</v>
      </c>
      <c r="J10" t="s">
        <v>41</v>
      </c>
      <c r="K10" s="9">
        <v>1.2416666666666667</v>
      </c>
      <c r="L10">
        <v>4</v>
      </c>
      <c r="M10">
        <v>11</v>
      </c>
      <c r="N10">
        <v>0.36399999999999999</v>
      </c>
      <c r="O10">
        <v>1</v>
      </c>
      <c r="P10">
        <v>6</v>
      </c>
      <c r="Q10">
        <v>0.16700000000000001</v>
      </c>
      <c r="R10">
        <v>3</v>
      </c>
      <c r="S10">
        <v>5</v>
      </c>
      <c r="T10">
        <v>0.6</v>
      </c>
      <c r="U10">
        <v>0.40899999999999997</v>
      </c>
      <c r="V10">
        <v>7</v>
      </c>
      <c r="W10">
        <v>8</v>
      </c>
      <c r="X10">
        <v>0.875</v>
      </c>
      <c r="Y10">
        <v>1</v>
      </c>
      <c r="Z10">
        <v>2</v>
      </c>
      <c r="AA10">
        <v>3</v>
      </c>
      <c r="AB10">
        <v>2</v>
      </c>
      <c r="AC10">
        <v>0</v>
      </c>
      <c r="AD10">
        <v>0</v>
      </c>
      <c r="AE10">
        <v>3</v>
      </c>
      <c r="AF10">
        <v>3</v>
      </c>
      <c r="AG10">
        <v>16</v>
      </c>
      <c r="AH10">
        <v>8</v>
      </c>
      <c r="AI10">
        <v>5</v>
      </c>
    </row>
    <row r="11" spans="1:35" ht="21" x14ac:dyDescent="0.3">
      <c r="A11" t="s">
        <v>554</v>
      </c>
      <c r="B11" s="11">
        <v>10</v>
      </c>
      <c r="C11">
        <v>535</v>
      </c>
      <c r="D11">
        <v>10</v>
      </c>
      <c r="E11" s="4">
        <v>44508</v>
      </c>
      <c r="F11" t="s">
        <v>33</v>
      </c>
      <c r="H11" t="s">
        <v>78</v>
      </c>
      <c r="I11" t="s">
        <v>79</v>
      </c>
      <c r="J11" t="s">
        <v>41</v>
      </c>
      <c r="K11" s="9">
        <v>1.0840277777777778</v>
      </c>
      <c r="L11">
        <v>5</v>
      </c>
      <c r="M11">
        <v>12</v>
      </c>
      <c r="N11">
        <v>0.41699999999999998</v>
      </c>
      <c r="O11">
        <v>1</v>
      </c>
      <c r="P11">
        <v>4</v>
      </c>
      <c r="Q11">
        <v>0.25</v>
      </c>
      <c r="R11">
        <v>4</v>
      </c>
      <c r="S11">
        <v>8</v>
      </c>
      <c r="T11">
        <v>0.5</v>
      </c>
      <c r="U11">
        <v>0.45800000000000002</v>
      </c>
      <c r="V11">
        <v>2</v>
      </c>
      <c r="W11">
        <v>2</v>
      </c>
      <c r="X11">
        <v>1</v>
      </c>
      <c r="Y11">
        <v>1</v>
      </c>
      <c r="Z11">
        <v>3</v>
      </c>
      <c r="AA11">
        <v>4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13</v>
      </c>
      <c r="AH11">
        <v>8.9</v>
      </c>
      <c r="AI11">
        <v>3</v>
      </c>
    </row>
    <row r="12" spans="1:35" ht="21" x14ac:dyDescent="0.3">
      <c r="A12" t="s">
        <v>554</v>
      </c>
      <c r="B12" s="11">
        <v>11</v>
      </c>
      <c r="C12">
        <v>536</v>
      </c>
      <c r="D12">
        <v>11</v>
      </c>
      <c r="E12" s="4">
        <v>44510</v>
      </c>
      <c r="F12" t="s">
        <v>33</v>
      </c>
      <c r="H12" t="s">
        <v>80</v>
      </c>
      <c r="I12" t="s">
        <v>81</v>
      </c>
      <c r="J12" t="s">
        <v>41</v>
      </c>
      <c r="K12" s="9">
        <v>1.3215277777777779</v>
      </c>
      <c r="L12">
        <v>14</v>
      </c>
      <c r="M12">
        <v>19</v>
      </c>
      <c r="N12">
        <v>0.73699999999999999</v>
      </c>
      <c r="O12">
        <v>3</v>
      </c>
      <c r="P12">
        <v>6</v>
      </c>
      <c r="Q12">
        <v>0.5</v>
      </c>
      <c r="R12">
        <v>11</v>
      </c>
      <c r="S12">
        <v>13</v>
      </c>
      <c r="T12">
        <v>0.84599999999999997</v>
      </c>
      <c r="U12">
        <v>0.81599999999999995</v>
      </c>
      <c r="V12">
        <v>4</v>
      </c>
      <c r="W12">
        <v>4</v>
      </c>
      <c r="X12">
        <v>1</v>
      </c>
      <c r="Y12">
        <v>1</v>
      </c>
      <c r="Z12">
        <v>3</v>
      </c>
      <c r="AA12">
        <v>4</v>
      </c>
      <c r="AB12">
        <v>0</v>
      </c>
      <c r="AC12">
        <v>2</v>
      </c>
      <c r="AD12">
        <v>0</v>
      </c>
      <c r="AE12">
        <v>4</v>
      </c>
      <c r="AF12">
        <v>3</v>
      </c>
      <c r="AG12">
        <v>35</v>
      </c>
      <c r="AH12">
        <v>25.7</v>
      </c>
      <c r="AI12">
        <v>6</v>
      </c>
    </row>
    <row r="13" spans="1:35" ht="21" x14ac:dyDescent="0.3">
      <c r="A13" t="s">
        <v>554</v>
      </c>
      <c r="B13" s="11">
        <v>12</v>
      </c>
      <c r="C13">
        <v>537</v>
      </c>
      <c r="D13">
        <v>12</v>
      </c>
      <c r="E13" s="4">
        <v>44512</v>
      </c>
      <c r="F13" t="s">
        <v>33</v>
      </c>
      <c r="H13" t="s">
        <v>82</v>
      </c>
      <c r="I13" t="s">
        <v>83</v>
      </c>
      <c r="J13" t="s">
        <v>41</v>
      </c>
      <c r="K13" s="9">
        <v>1.2222222222222223</v>
      </c>
      <c r="L13">
        <v>5</v>
      </c>
      <c r="M13">
        <v>15</v>
      </c>
      <c r="N13">
        <v>0.33300000000000002</v>
      </c>
      <c r="O13">
        <v>0</v>
      </c>
      <c r="P13">
        <v>4</v>
      </c>
      <c r="Q13">
        <v>0</v>
      </c>
      <c r="R13">
        <v>5</v>
      </c>
      <c r="S13">
        <v>11</v>
      </c>
      <c r="T13">
        <v>0.45500000000000002</v>
      </c>
      <c r="U13">
        <v>0.33300000000000002</v>
      </c>
      <c r="V13">
        <v>5</v>
      </c>
      <c r="W13">
        <v>7</v>
      </c>
      <c r="X13">
        <v>0.71399999999999997</v>
      </c>
      <c r="Y13">
        <v>3</v>
      </c>
      <c r="Z13">
        <v>4</v>
      </c>
      <c r="AA13">
        <v>7</v>
      </c>
      <c r="AB13">
        <v>2</v>
      </c>
      <c r="AC13">
        <v>2</v>
      </c>
      <c r="AD13">
        <v>1</v>
      </c>
      <c r="AE13">
        <v>1</v>
      </c>
      <c r="AF13">
        <v>1</v>
      </c>
      <c r="AG13">
        <v>15</v>
      </c>
      <c r="AH13">
        <v>11.7</v>
      </c>
      <c r="AI13">
        <v>13</v>
      </c>
    </row>
    <row r="14" spans="1:35" ht="21" x14ac:dyDescent="0.3">
      <c r="A14" t="s">
        <v>554</v>
      </c>
      <c r="B14" s="11">
        <v>13</v>
      </c>
      <c r="C14">
        <v>538</v>
      </c>
      <c r="D14">
        <v>13</v>
      </c>
      <c r="E14" s="4">
        <v>44514</v>
      </c>
      <c r="F14" t="s">
        <v>33</v>
      </c>
      <c r="G14" t="s">
        <v>37</v>
      </c>
      <c r="H14" t="s">
        <v>72</v>
      </c>
      <c r="I14" t="s">
        <v>84</v>
      </c>
      <c r="J14" t="s">
        <v>41</v>
      </c>
      <c r="K14" s="9">
        <v>1.3402777777777777</v>
      </c>
      <c r="L14">
        <v>12</v>
      </c>
      <c r="M14">
        <v>19</v>
      </c>
      <c r="N14">
        <v>0.63200000000000001</v>
      </c>
      <c r="O14">
        <v>3</v>
      </c>
      <c r="P14">
        <v>7</v>
      </c>
      <c r="Q14">
        <v>0.42899999999999999</v>
      </c>
      <c r="R14">
        <v>9</v>
      </c>
      <c r="S14">
        <v>12</v>
      </c>
      <c r="T14">
        <v>0.75</v>
      </c>
      <c r="U14">
        <v>0.71099999999999997</v>
      </c>
      <c r="V14">
        <v>1</v>
      </c>
      <c r="W14">
        <v>3</v>
      </c>
      <c r="X14">
        <v>0.33300000000000002</v>
      </c>
      <c r="Y14">
        <v>0</v>
      </c>
      <c r="Z14">
        <v>6</v>
      </c>
      <c r="AA14">
        <v>6</v>
      </c>
      <c r="AB14">
        <v>2</v>
      </c>
      <c r="AC14">
        <v>0</v>
      </c>
      <c r="AD14">
        <v>0</v>
      </c>
      <c r="AE14">
        <v>0</v>
      </c>
      <c r="AF14">
        <v>1</v>
      </c>
      <c r="AG14">
        <v>28</v>
      </c>
      <c r="AH14">
        <v>21.5</v>
      </c>
      <c r="AI14">
        <v>-4</v>
      </c>
    </row>
    <row r="15" spans="1:35" ht="21" x14ac:dyDescent="0.3">
      <c r="A15" t="s">
        <v>554</v>
      </c>
      <c r="B15" s="11">
        <v>14</v>
      </c>
      <c r="C15">
        <v>539</v>
      </c>
      <c r="D15">
        <v>14</v>
      </c>
      <c r="E15" s="4">
        <v>44516</v>
      </c>
      <c r="F15" t="s">
        <v>33</v>
      </c>
      <c r="G15" t="s">
        <v>37</v>
      </c>
      <c r="H15" t="s">
        <v>85</v>
      </c>
      <c r="I15" t="s">
        <v>86</v>
      </c>
      <c r="J15" t="s">
        <v>41</v>
      </c>
      <c r="K15" s="7">
        <v>0.92222222222222228</v>
      </c>
      <c r="L15">
        <v>7</v>
      </c>
      <c r="M15">
        <v>11</v>
      </c>
      <c r="N15">
        <v>0.63600000000000001</v>
      </c>
      <c r="O15">
        <v>2</v>
      </c>
      <c r="P15">
        <v>3</v>
      </c>
      <c r="Q15">
        <v>0.66700000000000004</v>
      </c>
      <c r="R15">
        <v>5</v>
      </c>
      <c r="S15">
        <v>8</v>
      </c>
      <c r="T15">
        <v>0.625</v>
      </c>
      <c r="U15">
        <v>0.72699999999999998</v>
      </c>
      <c r="V15">
        <v>3</v>
      </c>
      <c r="W15">
        <v>3</v>
      </c>
      <c r="X15">
        <v>1</v>
      </c>
      <c r="Y15">
        <v>0</v>
      </c>
      <c r="Z15">
        <v>2</v>
      </c>
      <c r="AA15">
        <v>2</v>
      </c>
      <c r="AB15">
        <v>1</v>
      </c>
      <c r="AC15">
        <v>0</v>
      </c>
      <c r="AD15">
        <v>1</v>
      </c>
      <c r="AE15">
        <v>3</v>
      </c>
      <c r="AF15">
        <v>4</v>
      </c>
      <c r="AG15">
        <v>19</v>
      </c>
      <c r="AH15">
        <v>11.5</v>
      </c>
      <c r="AI15">
        <v>10</v>
      </c>
    </row>
    <row r="16" spans="1:35" ht="21" x14ac:dyDescent="0.3">
      <c r="A16" t="s">
        <v>554</v>
      </c>
      <c r="B16" s="11">
        <v>15</v>
      </c>
      <c r="C16">
        <v>540</v>
      </c>
      <c r="D16">
        <v>15</v>
      </c>
      <c r="E16" s="4">
        <v>44518</v>
      </c>
      <c r="F16" t="s">
        <v>33</v>
      </c>
      <c r="G16" t="s">
        <v>37</v>
      </c>
      <c r="H16" t="s">
        <v>87</v>
      </c>
      <c r="I16" t="s">
        <v>88</v>
      </c>
      <c r="J16" t="s">
        <v>41</v>
      </c>
      <c r="K16" s="9">
        <v>1.0062500000000001</v>
      </c>
      <c r="L16">
        <v>5</v>
      </c>
      <c r="M16">
        <v>11</v>
      </c>
      <c r="N16">
        <v>0.45500000000000002</v>
      </c>
      <c r="O16">
        <v>0</v>
      </c>
      <c r="P16">
        <v>5</v>
      </c>
      <c r="Q16">
        <v>0</v>
      </c>
      <c r="R16">
        <v>5</v>
      </c>
      <c r="S16">
        <v>6</v>
      </c>
      <c r="T16">
        <v>0.83299999999999996</v>
      </c>
      <c r="U16">
        <v>0.45500000000000002</v>
      </c>
      <c r="V16">
        <v>2</v>
      </c>
      <c r="W16">
        <v>2</v>
      </c>
      <c r="X16">
        <v>1</v>
      </c>
      <c r="Y16">
        <v>0</v>
      </c>
      <c r="Z16">
        <v>0</v>
      </c>
      <c r="AA16">
        <v>0</v>
      </c>
      <c r="AB16">
        <v>2</v>
      </c>
      <c r="AC16">
        <v>0</v>
      </c>
      <c r="AD16">
        <v>1</v>
      </c>
      <c r="AE16">
        <v>3</v>
      </c>
      <c r="AF16">
        <v>1</v>
      </c>
      <c r="AG16">
        <v>12</v>
      </c>
      <c r="AH16">
        <v>5</v>
      </c>
      <c r="AI16">
        <v>-14</v>
      </c>
    </row>
    <row r="17" spans="1:35" ht="21" x14ac:dyDescent="0.3">
      <c r="A17" t="s">
        <v>554</v>
      </c>
      <c r="B17" s="11">
        <v>16</v>
      </c>
      <c r="C17">
        <v>541</v>
      </c>
      <c r="D17">
        <v>16</v>
      </c>
      <c r="E17" s="4">
        <v>44519</v>
      </c>
      <c r="F17" t="s">
        <v>33</v>
      </c>
      <c r="G17" t="s">
        <v>37</v>
      </c>
      <c r="H17" t="s">
        <v>89</v>
      </c>
      <c r="I17" t="s">
        <v>90</v>
      </c>
      <c r="J17" t="s">
        <v>41</v>
      </c>
      <c r="K17" s="9">
        <v>1.5215277777777778</v>
      </c>
      <c r="L17">
        <v>9</v>
      </c>
      <c r="M17">
        <v>19</v>
      </c>
      <c r="N17">
        <v>0.47399999999999998</v>
      </c>
      <c r="O17">
        <v>1</v>
      </c>
      <c r="P17">
        <v>4</v>
      </c>
      <c r="Q17">
        <v>0.25</v>
      </c>
      <c r="R17">
        <v>8</v>
      </c>
      <c r="S17">
        <v>15</v>
      </c>
      <c r="T17">
        <v>0.53300000000000003</v>
      </c>
      <c r="U17">
        <v>0.5</v>
      </c>
      <c r="V17">
        <v>8</v>
      </c>
      <c r="W17">
        <v>11</v>
      </c>
      <c r="X17">
        <v>0.72699999999999998</v>
      </c>
      <c r="Y17">
        <v>1</v>
      </c>
      <c r="Z17">
        <v>4</v>
      </c>
      <c r="AA17">
        <v>5</v>
      </c>
      <c r="AB17">
        <v>1</v>
      </c>
      <c r="AC17">
        <v>2</v>
      </c>
      <c r="AD17">
        <v>1</v>
      </c>
      <c r="AE17">
        <v>4</v>
      </c>
      <c r="AF17">
        <v>1</v>
      </c>
      <c r="AG17">
        <v>27</v>
      </c>
      <c r="AH17">
        <v>17</v>
      </c>
      <c r="AI17">
        <v>6</v>
      </c>
    </row>
    <row r="18" spans="1:35" ht="21" x14ac:dyDescent="0.3">
      <c r="A18" t="s">
        <v>554</v>
      </c>
      <c r="B18" s="11">
        <v>17</v>
      </c>
      <c r="C18">
        <v>542</v>
      </c>
      <c r="D18">
        <v>17</v>
      </c>
      <c r="E18" s="4">
        <v>44521</v>
      </c>
      <c r="F18" t="s">
        <v>33</v>
      </c>
      <c r="H18" t="s">
        <v>92</v>
      </c>
      <c r="I18" t="s">
        <v>93</v>
      </c>
      <c r="J18" t="s">
        <v>41</v>
      </c>
      <c r="K18" s="9">
        <v>1.3618055555555555</v>
      </c>
      <c r="L18">
        <v>12</v>
      </c>
      <c r="M18">
        <v>20</v>
      </c>
      <c r="N18">
        <v>0.6</v>
      </c>
      <c r="O18">
        <v>6</v>
      </c>
      <c r="P18">
        <v>8</v>
      </c>
      <c r="Q18">
        <v>0.75</v>
      </c>
      <c r="R18">
        <v>6</v>
      </c>
      <c r="S18">
        <v>12</v>
      </c>
      <c r="T18">
        <v>0.5</v>
      </c>
      <c r="U18">
        <v>0.75</v>
      </c>
      <c r="V18">
        <v>2</v>
      </c>
      <c r="W18">
        <v>2</v>
      </c>
      <c r="X18">
        <v>1</v>
      </c>
      <c r="Y18">
        <v>2</v>
      </c>
      <c r="Z18">
        <v>4</v>
      </c>
      <c r="AA18">
        <v>6</v>
      </c>
      <c r="AB18">
        <v>3</v>
      </c>
      <c r="AC18">
        <v>0</v>
      </c>
      <c r="AD18">
        <v>1</v>
      </c>
      <c r="AE18">
        <v>2</v>
      </c>
      <c r="AF18">
        <v>1</v>
      </c>
      <c r="AG18">
        <v>32</v>
      </c>
      <c r="AH18">
        <v>25.8</v>
      </c>
      <c r="AI18">
        <v>30</v>
      </c>
    </row>
    <row r="19" spans="1:35" ht="21" x14ac:dyDescent="0.3">
      <c r="A19" t="s">
        <v>554</v>
      </c>
      <c r="B19" s="11">
        <v>18</v>
      </c>
      <c r="C19">
        <v>543</v>
      </c>
      <c r="D19">
        <v>18</v>
      </c>
      <c r="E19" s="4">
        <v>44524</v>
      </c>
      <c r="F19" t="s">
        <v>33</v>
      </c>
      <c r="H19" t="s">
        <v>94</v>
      </c>
      <c r="I19" t="s">
        <v>95</v>
      </c>
      <c r="J19" t="s">
        <v>41</v>
      </c>
      <c r="K19" s="9">
        <v>1.4069444444444446</v>
      </c>
      <c r="L19">
        <v>7</v>
      </c>
      <c r="M19">
        <v>13</v>
      </c>
      <c r="N19">
        <v>0.53800000000000003</v>
      </c>
      <c r="O19">
        <v>2</v>
      </c>
      <c r="P19">
        <v>6</v>
      </c>
      <c r="Q19">
        <v>0.33300000000000002</v>
      </c>
      <c r="R19">
        <v>5</v>
      </c>
      <c r="S19">
        <v>7</v>
      </c>
      <c r="T19">
        <v>0.71399999999999997</v>
      </c>
      <c r="U19">
        <v>0.61499999999999999</v>
      </c>
      <c r="V19">
        <v>3</v>
      </c>
      <c r="W19">
        <v>7</v>
      </c>
      <c r="X19">
        <v>0.42899999999999999</v>
      </c>
      <c r="Y19">
        <v>0</v>
      </c>
      <c r="Z19">
        <v>6</v>
      </c>
      <c r="AA19">
        <v>6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19</v>
      </c>
      <c r="AH19">
        <v>14.3</v>
      </c>
      <c r="AI19">
        <v>25</v>
      </c>
    </row>
    <row r="20" spans="1:35" ht="21" x14ac:dyDescent="0.3">
      <c r="A20" t="s">
        <v>554</v>
      </c>
      <c r="B20" s="11">
        <v>19</v>
      </c>
      <c r="C20">
        <v>544</v>
      </c>
      <c r="D20">
        <v>19</v>
      </c>
      <c r="E20" s="4">
        <v>44526</v>
      </c>
      <c r="F20" t="s">
        <v>33</v>
      </c>
      <c r="H20" t="s">
        <v>96</v>
      </c>
      <c r="I20" t="s">
        <v>97</v>
      </c>
      <c r="J20" t="s">
        <v>41</v>
      </c>
      <c r="K20" s="9">
        <v>1.4166666666666667</v>
      </c>
      <c r="L20">
        <v>10</v>
      </c>
      <c r="M20">
        <v>16</v>
      </c>
      <c r="N20">
        <v>0.625</v>
      </c>
      <c r="O20">
        <v>3</v>
      </c>
      <c r="P20">
        <v>5</v>
      </c>
      <c r="Q20">
        <v>0.6</v>
      </c>
      <c r="R20">
        <v>7</v>
      </c>
      <c r="S20">
        <v>11</v>
      </c>
      <c r="T20">
        <v>0.63600000000000001</v>
      </c>
      <c r="U20">
        <v>0.71899999999999997</v>
      </c>
      <c r="V20">
        <v>2</v>
      </c>
      <c r="W20">
        <v>2</v>
      </c>
      <c r="X20">
        <v>1</v>
      </c>
      <c r="Y20">
        <v>2</v>
      </c>
      <c r="Z20">
        <v>3</v>
      </c>
      <c r="AA20">
        <v>5</v>
      </c>
      <c r="AB20">
        <v>2</v>
      </c>
      <c r="AC20">
        <v>1</v>
      </c>
      <c r="AD20">
        <v>0</v>
      </c>
      <c r="AE20">
        <v>1</v>
      </c>
      <c r="AF20">
        <v>3</v>
      </c>
      <c r="AG20">
        <v>25</v>
      </c>
      <c r="AH20">
        <v>20.3</v>
      </c>
      <c r="AI20">
        <v>21</v>
      </c>
    </row>
    <row r="21" spans="1:35" ht="21" x14ac:dyDescent="0.3">
      <c r="A21" t="s">
        <v>554</v>
      </c>
      <c r="B21" s="11">
        <v>20</v>
      </c>
      <c r="C21">
        <v>545</v>
      </c>
      <c r="D21">
        <v>20</v>
      </c>
      <c r="E21" s="4">
        <v>44528</v>
      </c>
      <c r="F21" t="s">
        <v>33</v>
      </c>
      <c r="G21" t="s">
        <v>37</v>
      </c>
      <c r="H21" t="s">
        <v>64</v>
      </c>
      <c r="I21" t="s">
        <v>98</v>
      </c>
      <c r="J21" t="s">
        <v>41</v>
      </c>
      <c r="K21" s="9">
        <v>1.5048611111111112</v>
      </c>
      <c r="L21">
        <v>4</v>
      </c>
      <c r="M21">
        <v>12</v>
      </c>
      <c r="N21">
        <v>0.33300000000000002</v>
      </c>
      <c r="O21">
        <v>2</v>
      </c>
      <c r="P21">
        <v>5</v>
      </c>
      <c r="Q21">
        <v>0.4</v>
      </c>
      <c r="R21">
        <v>2</v>
      </c>
      <c r="S21">
        <v>7</v>
      </c>
      <c r="T21">
        <v>0.28599999999999998</v>
      </c>
      <c r="U21">
        <v>0.41699999999999998</v>
      </c>
      <c r="V21">
        <v>2</v>
      </c>
      <c r="W21">
        <v>6</v>
      </c>
      <c r="X21">
        <v>0.33300000000000002</v>
      </c>
      <c r="Y21">
        <v>2</v>
      </c>
      <c r="Z21">
        <v>5</v>
      </c>
      <c r="AA21">
        <v>7</v>
      </c>
      <c r="AB21">
        <v>2</v>
      </c>
      <c r="AC21">
        <v>1</v>
      </c>
      <c r="AD21">
        <v>2</v>
      </c>
      <c r="AE21">
        <v>2</v>
      </c>
      <c r="AF21">
        <v>1</v>
      </c>
      <c r="AG21">
        <v>12</v>
      </c>
      <c r="AH21">
        <v>7.9</v>
      </c>
      <c r="AI21">
        <v>8</v>
      </c>
    </row>
    <row r="22" spans="1:35" ht="21" x14ac:dyDescent="0.3">
      <c r="A22" t="s">
        <v>554</v>
      </c>
      <c r="B22" s="11">
        <v>21</v>
      </c>
      <c r="C22">
        <v>546</v>
      </c>
      <c r="D22">
        <v>21</v>
      </c>
      <c r="E22" s="4">
        <v>44530</v>
      </c>
      <c r="F22" t="s">
        <v>33</v>
      </c>
      <c r="G22" t="s">
        <v>37</v>
      </c>
      <c r="H22" t="s">
        <v>99</v>
      </c>
      <c r="I22" t="s">
        <v>100</v>
      </c>
      <c r="J22" t="s">
        <v>41</v>
      </c>
      <c r="K22" s="9">
        <v>1.3868055555555556</v>
      </c>
      <c r="L22">
        <v>4</v>
      </c>
      <c r="M22">
        <v>12</v>
      </c>
      <c r="N22">
        <v>0.33300000000000002</v>
      </c>
      <c r="O22">
        <v>0</v>
      </c>
      <c r="P22">
        <v>1</v>
      </c>
      <c r="Q22">
        <v>0</v>
      </c>
      <c r="R22">
        <v>4</v>
      </c>
      <c r="S22">
        <v>11</v>
      </c>
      <c r="T22">
        <v>0.36399999999999999</v>
      </c>
      <c r="U22">
        <v>0.33300000000000002</v>
      </c>
      <c r="V22">
        <v>2</v>
      </c>
      <c r="W22">
        <v>3</v>
      </c>
      <c r="X22">
        <v>0.66700000000000004</v>
      </c>
      <c r="Y22">
        <v>1</v>
      </c>
      <c r="Z22">
        <v>2</v>
      </c>
      <c r="AA22">
        <v>3</v>
      </c>
      <c r="AB22">
        <v>2</v>
      </c>
      <c r="AC22">
        <v>1</v>
      </c>
      <c r="AD22">
        <v>1</v>
      </c>
      <c r="AE22">
        <v>1</v>
      </c>
      <c r="AF22">
        <v>2</v>
      </c>
      <c r="AG22">
        <v>10</v>
      </c>
      <c r="AH22">
        <v>5.4</v>
      </c>
      <c r="AI22">
        <v>-7</v>
      </c>
    </row>
    <row r="23" spans="1:35" ht="21" x14ac:dyDescent="0.3">
      <c r="A23" t="s">
        <v>554</v>
      </c>
      <c r="B23" s="11">
        <v>22</v>
      </c>
      <c r="C23">
        <v>547</v>
      </c>
      <c r="D23">
        <v>22</v>
      </c>
      <c r="E23" s="4">
        <v>44533</v>
      </c>
      <c r="F23" t="s">
        <v>33</v>
      </c>
      <c r="H23" t="s">
        <v>99</v>
      </c>
      <c r="I23" t="s">
        <v>101</v>
      </c>
      <c r="J23" t="s">
        <v>41</v>
      </c>
      <c r="K23" s="9">
        <v>1.2451388888888888</v>
      </c>
      <c r="L23">
        <v>8</v>
      </c>
      <c r="M23">
        <v>16</v>
      </c>
      <c r="N23">
        <v>0.5</v>
      </c>
      <c r="O23">
        <v>3</v>
      </c>
      <c r="P23">
        <v>7</v>
      </c>
      <c r="Q23">
        <v>0.42899999999999999</v>
      </c>
      <c r="R23">
        <v>5</v>
      </c>
      <c r="S23">
        <v>9</v>
      </c>
      <c r="T23">
        <v>0.55600000000000005</v>
      </c>
      <c r="U23">
        <v>0.59399999999999997</v>
      </c>
      <c r="V23">
        <v>0</v>
      </c>
      <c r="W23">
        <v>0</v>
      </c>
      <c r="Y23">
        <v>1</v>
      </c>
      <c r="Z23">
        <v>4</v>
      </c>
      <c r="AA23">
        <v>5</v>
      </c>
      <c r="AB23">
        <v>2</v>
      </c>
      <c r="AC23">
        <v>0</v>
      </c>
      <c r="AD23">
        <v>0</v>
      </c>
      <c r="AE23">
        <v>2</v>
      </c>
      <c r="AF23">
        <v>4</v>
      </c>
      <c r="AG23">
        <v>19</v>
      </c>
      <c r="AH23">
        <v>10.7</v>
      </c>
      <c r="AI23">
        <v>24</v>
      </c>
    </row>
    <row r="24" spans="1:35" ht="21" x14ac:dyDescent="0.3">
      <c r="A24" t="s">
        <v>554</v>
      </c>
      <c r="B24" s="11">
        <v>23</v>
      </c>
      <c r="C24">
        <v>548</v>
      </c>
      <c r="D24">
        <v>23</v>
      </c>
      <c r="E24" s="4">
        <v>44534</v>
      </c>
      <c r="F24" t="s">
        <v>33</v>
      </c>
      <c r="H24" t="s">
        <v>102</v>
      </c>
      <c r="I24" t="s">
        <v>103</v>
      </c>
      <c r="J24" t="s">
        <v>41</v>
      </c>
      <c r="K24" s="9">
        <v>1.2881944444444444</v>
      </c>
      <c r="L24">
        <v>3</v>
      </c>
      <c r="M24">
        <v>9</v>
      </c>
      <c r="N24">
        <v>0.33300000000000002</v>
      </c>
      <c r="O24">
        <v>2</v>
      </c>
      <c r="P24">
        <v>3</v>
      </c>
      <c r="Q24">
        <v>0.66700000000000004</v>
      </c>
      <c r="R24">
        <v>1</v>
      </c>
      <c r="S24">
        <v>6</v>
      </c>
      <c r="T24">
        <v>0.16700000000000001</v>
      </c>
      <c r="U24">
        <v>0.44400000000000001</v>
      </c>
      <c r="V24">
        <v>3</v>
      </c>
      <c r="W24">
        <v>4</v>
      </c>
      <c r="X24">
        <v>0.75</v>
      </c>
      <c r="Y24">
        <v>2</v>
      </c>
      <c r="Z24">
        <v>2</v>
      </c>
      <c r="AA24">
        <v>4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11</v>
      </c>
      <c r="AH24">
        <v>7.9</v>
      </c>
      <c r="AI24">
        <v>-23</v>
      </c>
    </row>
    <row r="25" spans="1:35" ht="21" x14ac:dyDescent="0.3">
      <c r="A25" t="s">
        <v>554</v>
      </c>
      <c r="B25" s="11">
        <v>24</v>
      </c>
      <c r="C25">
        <v>549</v>
      </c>
      <c r="D25">
        <v>24</v>
      </c>
      <c r="E25" s="4">
        <v>44536</v>
      </c>
      <c r="F25" t="s">
        <v>33</v>
      </c>
      <c r="H25" t="s">
        <v>104</v>
      </c>
      <c r="I25" t="s">
        <v>105</v>
      </c>
      <c r="J25" t="s">
        <v>41</v>
      </c>
      <c r="K25" s="9">
        <v>1.2479166666666666</v>
      </c>
      <c r="L25">
        <v>9</v>
      </c>
      <c r="M25">
        <v>17</v>
      </c>
      <c r="N25">
        <v>0.52900000000000003</v>
      </c>
      <c r="O25">
        <v>8</v>
      </c>
      <c r="P25">
        <v>10</v>
      </c>
      <c r="Q25">
        <v>0.8</v>
      </c>
      <c r="R25">
        <v>1</v>
      </c>
      <c r="S25">
        <v>7</v>
      </c>
      <c r="T25">
        <v>0.14299999999999999</v>
      </c>
      <c r="U25">
        <v>0.76500000000000001</v>
      </c>
      <c r="V25">
        <v>2</v>
      </c>
      <c r="W25">
        <v>4</v>
      </c>
      <c r="X25">
        <v>0.5</v>
      </c>
      <c r="Y25">
        <v>1</v>
      </c>
      <c r="Z25">
        <v>2</v>
      </c>
      <c r="AA25">
        <v>3</v>
      </c>
      <c r="AB25">
        <v>3</v>
      </c>
      <c r="AC25">
        <v>1</v>
      </c>
      <c r="AD25">
        <v>0</v>
      </c>
      <c r="AE25">
        <v>1</v>
      </c>
      <c r="AF25">
        <v>2</v>
      </c>
      <c r="AG25">
        <v>28</v>
      </c>
      <c r="AH25">
        <v>21.5</v>
      </c>
      <c r="AI25">
        <v>18</v>
      </c>
    </row>
    <row r="26" spans="1:35" ht="21" x14ac:dyDescent="0.3">
      <c r="A26" t="s">
        <v>554</v>
      </c>
      <c r="B26" s="11">
        <v>25</v>
      </c>
      <c r="C26">
        <v>550</v>
      </c>
      <c r="D26">
        <v>25</v>
      </c>
      <c r="E26" s="4">
        <v>44538</v>
      </c>
      <c r="F26" t="s">
        <v>33</v>
      </c>
      <c r="H26" t="s">
        <v>96</v>
      </c>
      <c r="I26" t="s">
        <v>106</v>
      </c>
      <c r="J26" t="s">
        <v>41</v>
      </c>
      <c r="K26" s="9">
        <v>1.367361111111111</v>
      </c>
      <c r="L26">
        <v>4</v>
      </c>
      <c r="M26">
        <v>9</v>
      </c>
      <c r="N26">
        <v>0.44400000000000001</v>
      </c>
      <c r="O26">
        <v>2</v>
      </c>
      <c r="P26">
        <v>5</v>
      </c>
      <c r="Q26">
        <v>0.4</v>
      </c>
      <c r="R26">
        <v>2</v>
      </c>
      <c r="S26">
        <v>4</v>
      </c>
      <c r="T26">
        <v>0.5</v>
      </c>
      <c r="U26">
        <v>0.55600000000000005</v>
      </c>
      <c r="V26">
        <v>4</v>
      </c>
      <c r="W26">
        <v>4</v>
      </c>
      <c r="X26">
        <v>1</v>
      </c>
      <c r="Y26">
        <v>1</v>
      </c>
      <c r="Z26">
        <v>3</v>
      </c>
      <c r="AA26">
        <v>4</v>
      </c>
      <c r="AB26">
        <v>2</v>
      </c>
      <c r="AC26">
        <v>1</v>
      </c>
      <c r="AD26">
        <v>0</v>
      </c>
      <c r="AE26">
        <v>0</v>
      </c>
      <c r="AF26">
        <v>2</v>
      </c>
      <c r="AG26">
        <v>14</v>
      </c>
      <c r="AH26">
        <v>12.5</v>
      </c>
      <c r="AI26">
        <v>2</v>
      </c>
    </row>
    <row r="27" spans="1:35" ht="21" x14ac:dyDescent="0.3">
      <c r="A27" t="s">
        <v>554</v>
      </c>
      <c r="B27" s="11">
        <v>26</v>
      </c>
      <c r="C27">
        <v>551</v>
      </c>
      <c r="D27">
        <v>26</v>
      </c>
      <c r="E27" s="4">
        <v>44541</v>
      </c>
      <c r="F27" t="s">
        <v>33</v>
      </c>
      <c r="G27" t="s">
        <v>37</v>
      </c>
      <c r="H27" t="s">
        <v>94</v>
      </c>
      <c r="I27" t="s">
        <v>107</v>
      </c>
      <c r="J27" t="s">
        <v>41</v>
      </c>
      <c r="K27" s="9">
        <v>1.5263888888888888</v>
      </c>
      <c r="L27">
        <v>8</v>
      </c>
      <c r="M27">
        <v>14</v>
      </c>
      <c r="N27">
        <v>0.57099999999999995</v>
      </c>
      <c r="O27">
        <v>3</v>
      </c>
      <c r="P27">
        <v>8</v>
      </c>
      <c r="Q27">
        <v>0.375</v>
      </c>
      <c r="R27">
        <v>5</v>
      </c>
      <c r="S27">
        <v>6</v>
      </c>
      <c r="T27">
        <v>0.83299999999999996</v>
      </c>
      <c r="U27">
        <v>0.67900000000000005</v>
      </c>
      <c r="V27">
        <v>1</v>
      </c>
      <c r="W27">
        <v>3</v>
      </c>
      <c r="X27">
        <v>0.33300000000000002</v>
      </c>
      <c r="Y27">
        <v>1</v>
      </c>
      <c r="Z27">
        <v>3</v>
      </c>
      <c r="AA27">
        <v>4</v>
      </c>
      <c r="AB27">
        <v>4</v>
      </c>
      <c r="AC27">
        <v>1</v>
      </c>
      <c r="AD27">
        <v>1</v>
      </c>
      <c r="AE27">
        <v>2</v>
      </c>
      <c r="AF27">
        <v>2</v>
      </c>
      <c r="AG27">
        <v>20</v>
      </c>
      <c r="AH27">
        <v>15.9</v>
      </c>
      <c r="AI27">
        <v>4</v>
      </c>
    </row>
    <row r="28" spans="1:35" ht="21" x14ac:dyDescent="0.3">
      <c r="A28" t="s">
        <v>554</v>
      </c>
      <c r="B28" s="11">
        <v>27</v>
      </c>
      <c r="C28">
        <v>552</v>
      </c>
      <c r="D28">
        <v>27</v>
      </c>
      <c r="E28" s="4">
        <v>44543</v>
      </c>
      <c r="F28" t="s">
        <v>33</v>
      </c>
      <c r="G28" t="s">
        <v>37</v>
      </c>
      <c r="H28" t="s">
        <v>108</v>
      </c>
      <c r="I28" t="s">
        <v>109</v>
      </c>
      <c r="J28" t="s">
        <v>41</v>
      </c>
      <c r="K28" s="9">
        <v>1.4208333333333334</v>
      </c>
      <c r="L28">
        <v>7</v>
      </c>
      <c r="M28">
        <v>15</v>
      </c>
      <c r="N28">
        <v>0.46700000000000003</v>
      </c>
      <c r="O28">
        <v>0</v>
      </c>
      <c r="P28">
        <v>3</v>
      </c>
      <c r="Q28">
        <v>0</v>
      </c>
      <c r="R28">
        <v>7</v>
      </c>
      <c r="S28">
        <v>12</v>
      </c>
      <c r="T28">
        <v>0.58299999999999996</v>
      </c>
      <c r="U28">
        <v>0.46700000000000003</v>
      </c>
      <c r="V28">
        <v>1</v>
      </c>
      <c r="W28">
        <v>1</v>
      </c>
      <c r="X28">
        <v>1</v>
      </c>
      <c r="Y28">
        <v>2</v>
      </c>
      <c r="Z28">
        <v>3</v>
      </c>
      <c r="AA28">
        <v>5</v>
      </c>
      <c r="AB28">
        <v>1</v>
      </c>
      <c r="AC28">
        <v>1</v>
      </c>
      <c r="AD28">
        <v>3</v>
      </c>
      <c r="AE28">
        <v>2</v>
      </c>
      <c r="AF28">
        <v>4</v>
      </c>
      <c r="AG28">
        <v>15</v>
      </c>
      <c r="AH28">
        <v>9.8000000000000007</v>
      </c>
      <c r="AI28">
        <v>-6</v>
      </c>
    </row>
    <row r="29" spans="1:35" ht="21" x14ac:dyDescent="0.3">
      <c r="A29" t="s">
        <v>554</v>
      </c>
      <c r="B29" s="11">
        <v>28</v>
      </c>
      <c r="C29">
        <v>553</v>
      </c>
      <c r="D29">
        <v>28</v>
      </c>
      <c r="E29" s="4">
        <v>44544</v>
      </c>
      <c r="F29" t="s">
        <v>33</v>
      </c>
      <c r="G29" t="s">
        <v>37</v>
      </c>
      <c r="H29" t="s">
        <v>110</v>
      </c>
      <c r="I29" t="s">
        <v>111</v>
      </c>
      <c r="J29" t="s">
        <v>41</v>
      </c>
      <c r="K29" s="9">
        <v>1.4034722222222222</v>
      </c>
      <c r="L29">
        <v>6</v>
      </c>
      <c r="M29">
        <v>13</v>
      </c>
      <c r="N29">
        <v>0.46200000000000002</v>
      </c>
      <c r="O29">
        <v>3</v>
      </c>
      <c r="P29">
        <v>6</v>
      </c>
      <c r="Q29">
        <v>0.5</v>
      </c>
      <c r="R29">
        <v>3</v>
      </c>
      <c r="S29">
        <v>7</v>
      </c>
      <c r="T29">
        <v>0.42899999999999999</v>
      </c>
      <c r="U29">
        <v>0.57699999999999996</v>
      </c>
      <c r="V29">
        <v>3</v>
      </c>
      <c r="W29">
        <v>6</v>
      </c>
      <c r="X29">
        <v>0.5</v>
      </c>
      <c r="Y29">
        <v>1</v>
      </c>
      <c r="Z29">
        <v>5</v>
      </c>
      <c r="AA29">
        <v>6</v>
      </c>
      <c r="AB29">
        <v>3</v>
      </c>
      <c r="AC29">
        <v>0</v>
      </c>
      <c r="AD29">
        <v>0</v>
      </c>
      <c r="AE29">
        <v>2</v>
      </c>
      <c r="AF29">
        <v>1</v>
      </c>
      <c r="AG29">
        <v>18</v>
      </c>
      <c r="AH29">
        <v>12</v>
      </c>
      <c r="AI29">
        <v>4</v>
      </c>
    </row>
    <row r="30" spans="1:35" ht="21" x14ac:dyDescent="0.3">
      <c r="A30" t="s">
        <v>554</v>
      </c>
      <c r="B30" s="11">
        <v>29</v>
      </c>
      <c r="C30">
        <v>554</v>
      </c>
      <c r="D30">
        <v>29</v>
      </c>
      <c r="E30" s="4">
        <v>44547</v>
      </c>
      <c r="F30" t="s">
        <v>33</v>
      </c>
      <c r="G30" t="s">
        <v>37</v>
      </c>
      <c r="H30" t="s">
        <v>55</v>
      </c>
      <c r="I30" t="s">
        <v>112</v>
      </c>
      <c r="J30" t="s">
        <v>41</v>
      </c>
      <c r="K30" s="9">
        <v>1.5027777777777778</v>
      </c>
      <c r="L30">
        <v>11</v>
      </c>
      <c r="M30">
        <v>20</v>
      </c>
      <c r="N30">
        <v>0.55000000000000004</v>
      </c>
      <c r="O30">
        <v>5</v>
      </c>
      <c r="P30">
        <v>7</v>
      </c>
      <c r="Q30">
        <v>0.71399999999999997</v>
      </c>
      <c r="R30">
        <v>6</v>
      </c>
      <c r="S30">
        <v>13</v>
      </c>
      <c r="T30">
        <v>0.46200000000000002</v>
      </c>
      <c r="U30">
        <v>0.67500000000000004</v>
      </c>
      <c r="V30">
        <v>0</v>
      </c>
      <c r="W30">
        <v>0</v>
      </c>
      <c r="Y30">
        <v>3</v>
      </c>
      <c r="Z30">
        <v>3</v>
      </c>
      <c r="AA30">
        <v>6</v>
      </c>
      <c r="AB30">
        <v>2</v>
      </c>
      <c r="AC30">
        <v>1</v>
      </c>
      <c r="AD30">
        <v>1</v>
      </c>
      <c r="AE30">
        <v>0</v>
      </c>
      <c r="AF30">
        <v>4</v>
      </c>
      <c r="AG30">
        <v>27</v>
      </c>
      <c r="AH30">
        <v>21.9</v>
      </c>
      <c r="AI30">
        <v>13</v>
      </c>
    </row>
    <row r="31" spans="1:35" ht="21" x14ac:dyDescent="0.3">
      <c r="A31" t="s">
        <v>554</v>
      </c>
      <c r="B31" s="11">
        <v>29</v>
      </c>
      <c r="D31">
        <v>30</v>
      </c>
      <c r="E31" s="4">
        <v>44548</v>
      </c>
      <c r="F31" t="s">
        <v>33</v>
      </c>
      <c r="G31" t="s">
        <v>37</v>
      </c>
      <c r="H31" t="s">
        <v>92</v>
      </c>
      <c r="I31" t="s">
        <v>113</v>
      </c>
      <c r="J31" t="s">
        <v>169</v>
      </c>
      <c r="K31" t="s">
        <v>169</v>
      </c>
      <c r="L31" t="s">
        <v>169</v>
      </c>
      <c r="M31" t="s">
        <v>169</v>
      </c>
      <c r="N31" t="s">
        <v>169</v>
      </c>
      <c r="O31" t="s">
        <v>169</v>
      </c>
      <c r="P31" t="s">
        <v>169</v>
      </c>
      <c r="Q31" t="s">
        <v>169</v>
      </c>
      <c r="R31" t="s">
        <v>169</v>
      </c>
      <c r="S31" t="s">
        <v>169</v>
      </c>
      <c r="T31" t="s">
        <v>169</v>
      </c>
      <c r="U31" t="s">
        <v>169</v>
      </c>
      <c r="V31" t="s">
        <v>169</v>
      </c>
      <c r="W31" t="s">
        <v>169</v>
      </c>
      <c r="X31" t="s">
        <v>169</v>
      </c>
      <c r="Y31" t="s">
        <v>169</v>
      </c>
      <c r="Z31" t="s">
        <v>169</v>
      </c>
      <c r="AA31" t="s">
        <v>169</v>
      </c>
      <c r="AB31" t="s">
        <v>169</v>
      </c>
      <c r="AC31" t="s">
        <v>169</v>
      </c>
      <c r="AD31" t="s">
        <v>169</v>
      </c>
      <c r="AE31" t="s">
        <v>169</v>
      </c>
      <c r="AF31" t="s">
        <v>169</v>
      </c>
      <c r="AG31" t="s">
        <v>169</v>
      </c>
      <c r="AH31" t="s">
        <v>169</v>
      </c>
      <c r="AI31" t="s">
        <v>169</v>
      </c>
    </row>
    <row r="32" spans="1:35" ht="21" x14ac:dyDescent="0.3">
      <c r="A32" t="s">
        <v>554</v>
      </c>
      <c r="B32" s="11">
        <v>29</v>
      </c>
      <c r="D32">
        <v>31</v>
      </c>
      <c r="E32" s="4">
        <v>44550</v>
      </c>
      <c r="F32" t="s">
        <v>33</v>
      </c>
      <c r="H32" t="s">
        <v>66</v>
      </c>
      <c r="I32" t="s">
        <v>114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  <c r="O32" t="s">
        <v>91</v>
      </c>
      <c r="P32" t="s">
        <v>91</v>
      </c>
      <c r="Q32" t="s">
        <v>91</v>
      </c>
      <c r="R32" t="s">
        <v>91</v>
      </c>
      <c r="S32" t="s">
        <v>91</v>
      </c>
      <c r="T32" t="s">
        <v>91</v>
      </c>
      <c r="U32" t="s">
        <v>91</v>
      </c>
      <c r="V32" t="s">
        <v>91</v>
      </c>
      <c r="W32" t="s">
        <v>91</v>
      </c>
      <c r="X32" t="s">
        <v>91</v>
      </c>
      <c r="Y32" t="s">
        <v>91</v>
      </c>
      <c r="Z32" t="s">
        <v>91</v>
      </c>
      <c r="AA32" t="s">
        <v>91</v>
      </c>
      <c r="AB32" t="s">
        <v>91</v>
      </c>
      <c r="AC32" t="s">
        <v>91</v>
      </c>
      <c r="AD32" t="s">
        <v>91</v>
      </c>
      <c r="AE32" t="s">
        <v>91</v>
      </c>
      <c r="AF32" t="s">
        <v>91</v>
      </c>
      <c r="AG32" t="s">
        <v>91</v>
      </c>
      <c r="AH32" t="s">
        <v>91</v>
      </c>
      <c r="AI32" t="s">
        <v>91</v>
      </c>
    </row>
    <row r="33" spans="1:35" ht="21" x14ac:dyDescent="0.3">
      <c r="A33" t="s">
        <v>554</v>
      </c>
      <c r="B33" s="11">
        <v>29</v>
      </c>
      <c r="D33">
        <v>32</v>
      </c>
      <c r="E33" s="4">
        <v>44553</v>
      </c>
      <c r="F33" t="s">
        <v>33</v>
      </c>
      <c r="H33" t="s">
        <v>42</v>
      </c>
      <c r="I33" t="s">
        <v>115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91</v>
      </c>
      <c r="Q33" t="s">
        <v>91</v>
      </c>
      <c r="R33" t="s">
        <v>91</v>
      </c>
      <c r="S33" t="s">
        <v>91</v>
      </c>
      <c r="T33" t="s">
        <v>91</v>
      </c>
      <c r="U33" t="s">
        <v>91</v>
      </c>
      <c r="V33" t="s">
        <v>91</v>
      </c>
      <c r="W33" t="s">
        <v>91</v>
      </c>
      <c r="X33" t="s">
        <v>91</v>
      </c>
      <c r="Y33" t="s">
        <v>91</v>
      </c>
      <c r="Z33" t="s">
        <v>91</v>
      </c>
      <c r="AA33" t="s">
        <v>91</v>
      </c>
      <c r="AB33" t="s">
        <v>91</v>
      </c>
      <c r="AC33" t="s">
        <v>91</v>
      </c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 t="s">
        <v>91</v>
      </c>
    </row>
    <row r="34" spans="1:35" ht="21" x14ac:dyDescent="0.3">
      <c r="A34" t="s">
        <v>554</v>
      </c>
      <c r="B34" s="11">
        <v>29</v>
      </c>
      <c r="D34">
        <v>33</v>
      </c>
      <c r="E34" s="4">
        <v>44555</v>
      </c>
      <c r="F34" t="s">
        <v>33</v>
      </c>
      <c r="G34" t="s">
        <v>37</v>
      </c>
      <c r="H34" t="s">
        <v>99</v>
      </c>
      <c r="I34" t="s">
        <v>116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  <c r="O34" t="s">
        <v>91</v>
      </c>
      <c r="P34" t="s">
        <v>91</v>
      </c>
      <c r="Q34" t="s">
        <v>91</v>
      </c>
      <c r="R34" t="s">
        <v>91</v>
      </c>
      <c r="S34" t="s">
        <v>91</v>
      </c>
      <c r="T34" t="s">
        <v>91</v>
      </c>
      <c r="U34" t="s">
        <v>91</v>
      </c>
      <c r="V34" t="s">
        <v>91</v>
      </c>
      <c r="W34" t="s">
        <v>91</v>
      </c>
      <c r="X34" t="s">
        <v>91</v>
      </c>
      <c r="Y34" t="s">
        <v>91</v>
      </c>
      <c r="Z34" t="s">
        <v>91</v>
      </c>
      <c r="AA34" t="s">
        <v>91</v>
      </c>
      <c r="AB34" t="s">
        <v>91</v>
      </c>
      <c r="AC34" t="s">
        <v>91</v>
      </c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 t="s">
        <v>91</v>
      </c>
    </row>
    <row r="35" spans="1:35" ht="21" x14ac:dyDescent="0.3">
      <c r="A35" t="s">
        <v>554</v>
      </c>
      <c r="B35" s="11">
        <v>30</v>
      </c>
      <c r="C35">
        <v>555</v>
      </c>
      <c r="D35">
        <v>34</v>
      </c>
      <c r="E35" s="4">
        <v>44558</v>
      </c>
      <c r="F35" t="s">
        <v>33</v>
      </c>
      <c r="H35" t="s">
        <v>34</v>
      </c>
      <c r="I35" t="s">
        <v>117</v>
      </c>
      <c r="J35" t="s">
        <v>41</v>
      </c>
      <c r="K35" s="9">
        <v>1.3326388888888889</v>
      </c>
      <c r="L35">
        <v>8</v>
      </c>
      <c r="M35">
        <v>20</v>
      </c>
      <c r="N35">
        <v>0.4</v>
      </c>
      <c r="O35">
        <v>3</v>
      </c>
      <c r="P35">
        <v>6</v>
      </c>
      <c r="Q35">
        <v>0.5</v>
      </c>
      <c r="R35">
        <v>5</v>
      </c>
      <c r="S35">
        <v>14</v>
      </c>
      <c r="T35">
        <v>0.35699999999999998</v>
      </c>
      <c r="U35">
        <v>0.47499999999999998</v>
      </c>
      <c r="V35">
        <v>2</v>
      </c>
      <c r="W35">
        <v>3</v>
      </c>
      <c r="X35">
        <v>0.66700000000000004</v>
      </c>
      <c r="Y35">
        <v>3</v>
      </c>
      <c r="Z35">
        <v>5</v>
      </c>
      <c r="AA35">
        <v>8</v>
      </c>
      <c r="AB35">
        <v>1</v>
      </c>
      <c r="AC35">
        <v>2</v>
      </c>
      <c r="AD35">
        <v>1</v>
      </c>
      <c r="AE35">
        <v>2</v>
      </c>
      <c r="AF35">
        <v>2</v>
      </c>
      <c r="AG35">
        <v>21</v>
      </c>
      <c r="AH35">
        <v>14</v>
      </c>
      <c r="AI35">
        <v>1</v>
      </c>
    </row>
    <row r="36" spans="1:35" ht="21" x14ac:dyDescent="0.3">
      <c r="A36" t="s">
        <v>554</v>
      </c>
      <c r="B36" s="11">
        <v>31</v>
      </c>
      <c r="C36">
        <v>556</v>
      </c>
      <c r="D36">
        <v>35</v>
      </c>
      <c r="E36" s="4">
        <v>44562</v>
      </c>
      <c r="F36" t="s">
        <v>33</v>
      </c>
      <c r="G36" t="s">
        <v>37</v>
      </c>
      <c r="H36" t="s">
        <v>118</v>
      </c>
      <c r="I36" t="s">
        <v>119</v>
      </c>
      <c r="J36" t="s">
        <v>41</v>
      </c>
      <c r="K36" s="9">
        <v>1.5874999999999999</v>
      </c>
      <c r="L36">
        <v>9</v>
      </c>
      <c r="M36">
        <v>19</v>
      </c>
      <c r="N36">
        <v>0.47399999999999998</v>
      </c>
      <c r="O36">
        <v>4</v>
      </c>
      <c r="P36">
        <v>6</v>
      </c>
      <c r="Q36">
        <v>0.66700000000000004</v>
      </c>
      <c r="R36">
        <v>5</v>
      </c>
      <c r="S36">
        <v>13</v>
      </c>
      <c r="T36">
        <v>0.38500000000000001</v>
      </c>
      <c r="U36">
        <v>0.57899999999999996</v>
      </c>
      <c r="V36">
        <v>3</v>
      </c>
      <c r="W36">
        <v>7</v>
      </c>
      <c r="X36">
        <v>0.42899999999999999</v>
      </c>
      <c r="Y36">
        <v>0</v>
      </c>
      <c r="Z36">
        <v>0</v>
      </c>
      <c r="AA36">
        <v>0</v>
      </c>
      <c r="AB36">
        <v>4</v>
      </c>
      <c r="AC36">
        <v>2</v>
      </c>
      <c r="AD36">
        <v>0</v>
      </c>
      <c r="AE36">
        <v>3</v>
      </c>
      <c r="AF36">
        <v>1</v>
      </c>
      <c r="AG36">
        <v>25</v>
      </c>
      <c r="AH36">
        <v>15.1</v>
      </c>
      <c r="AI36">
        <v>4</v>
      </c>
    </row>
    <row r="37" spans="1:35" ht="21" x14ac:dyDescent="0.3">
      <c r="A37" t="s">
        <v>554</v>
      </c>
      <c r="B37" s="11">
        <v>32</v>
      </c>
      <c r="C37">
        <v>557</v>
      </c>
      <c r="D37">
        <v>36</v>
      </c>
      <c r="E37" s="4">
        <v>44564</v>
      </c>
      <c r="F37" t="s">
        <v>33</v>
      </c>
      <c r="H37" t="s">
        <v>120</v>
      </c>
      <c r="I37" t="s">
        <v>121</v>
      </c>
      <c r="J37" t="s">
        <v>41</v>
      </c>
      <c r="K37" s="9">
        <v>1.4215277777777777</v>
      </c>
      <c r="L37">
        <v>8</v>
      </c>
      <c r="M37">
        <v>13</v>
      </c>
      <c r="N37">
        <v>0.61499999999999999</v>
      </c>
      <c r="O37">
        <v>2</v>
      </c>
      <c r="P37">
        <v>4</v>
      </c>
      <c r="Q37">
        <v>0.5</v>
      </c>
      <c r="R37">
        <v>6</v>
      </c>
      <c r="S37">
        <v>9</v>
      </c>
      <c r="T37">
        <v>0.66700000000000004</v>
      </c>
      <c r="U37">
        <v>0.69199999999999995</v>
      </c>
      <c r="V37">
        <v>4</v>
      </c>
      <c r="W37">
        <v>4</v>
      </c>
      <c r="X37">
        <v>1</v>
      </c>
      <c r="Y37">
        <v>0</v>
      </c>
      <c r="Z37">
        <v>6</v>
      </c>
      <c r="AA37">
        <v>6</v>
      </c>
      <c r="AB37">
        <v>4</v>
      </c>
      <c r="AC37">
        <v>2</v>
      </c>
      <c r="AD37">
        <v>0</v>
      </c>
      <c r="AE37">
        <v>3</v>
      </c>
      <c r="AF37">
        <v>1</v>
      </c>
      <c r="AG37">
        <v>22</v>
      </c>
      <c r="AH37">
        <v>19.3</v>
      </c>
      <c r="AI37">
        <v>13</v>
      </c>
    </row>
    <row r="38" spans="1:35" ht="21" x14ac:dyDescent="0.3">
      <c r="A38" t="s">
        <v>554</v>
      </c>
      <c r="B38" s="11">
        <v>33</v>
      </c>
      <c r="C38">
        <v>558</v>
      </c>
      <c r="D38">
        <v>37</v>
      </c>
      <c r="E38" s="4">
        <v>44566</v>
      </c>
      <c r="F38" t="s">
        <v>33</v>
      </c>
      <c r="G38" t="s">
        <v>37</v>
      </c>
      <c r="H38" t="s">
        <v>49</v>
      </c>
      <c r="I38" t="s">
        <v>122</v>
      </c>
      <c r="J38" t="s">
        <v>41</v>
      </c>
      <c r="K38" s="9">
        <v>1.3541666666666667</v>
      </c>
      <c r="L38">
        <v>7</v>
      </c>
      <c r="M38">
        <v>13</v>
      </c>
      <c r="N38">
        <v>0.53800000000000003</v>
      </c>
      <c r="O38">
        <v>2</v>
      </c>
      <c r="P38">
        <v>5</v>
      </c>
      <c r="Q38">
        <v>0.4</v>
      </c>
      <c r="R38">
        <v>5</v>
      </c>
      <c r="S38">
        <v>8</v>
      </c>
      <c r="T38">
        <v>0.625</v>
      </c>
      <c r="U38">
        <v>0.61499999999999999</v>
      </c>
      <c r="V38">
        <v>1</v>
      </c>
      <c r="W38">
        <v>4</v>
      </c>
      <c r="X38">
        <v>0.25</v>
      </c>
      <c r="Y38">
        <v>2</v>
      </c>
      <c r="Z38">
        <v>1</v>
      </c>
      <c r="AA38">
        <v>3</v>
      </c>
      <c r="AB38">
        <v>2</v>
      </c>
      <c r="AC38">
        <v>2</v>
      </c>
      <c r="AD38">
        <v>1</v>
      </c>
      <c r="AE38">
        <v>0</v>
      </c>
      <c r="AF38">
        <v>1</v>
      </c>
      <c r="AG38">
        <v>17</v>
      </c>
      <c r="AH38">
        <v>14.9</v>
      </c>
      <c r="AI38">
        <v>-9</v>
      </c>
    </row>
    <row r="39" spans="1:35" ht="21" x14ac:dyDescent="0.3">
      <c r="A39" t="s">
        <v>554</v>
      </c>
      <c r="B39" s="11">
        <v>34</v>
      </c>
      <c r="C39">
        <v>559</v>
      </c>
      <c r="D39">
        <v>38</v>
      </c>
      <c r="E39" s="4">
        <v>44567</v>
      </c>
      <c r="F39" t="s">
        <v>33</v>
      </c>
      <c r="G39" t="s">
        <v>37</v>
      </c>
      <c r="H39" t="s">
        <v>74</v>
      </c>
      <c r="I39" t="s">
        <v>123</v>
      </c>
      <c r="J39" t="s">
        <v>41</v>
      </c>
      <c r="K39" s="9">
        <v>1.3305555555555555</v>
      </c>
      <c r="L39">
        <v>7</v>
      </c>
      <c r="M39">
        <v>17</v>
      </c>
      <c r="N39">
        <v>0.41199999999999998</v>
      </c>
      <c r="O39">
        <v>1</v>
      </c>
      <c r="P39">
        <v>6</v>
      </c>
      <c r="Q39">
        <v>0.16700000000000001</v>
      </c>
      <c r="R39">
        <v>6</v>
      </c>
      <c r="S39">
        <v>11</v>
      </c>
      <c r="T39">
        <v>0.54500000000000004</v>
      </c>
      <c r="U39">
        <v>0.441</v>
      </c>
      <c r="V39">
        <v>6</v>
      </c>
      <c r="W39">
        <v>7</v>
      </c>
      <c r="X39">
        <v>0.85699999999999998</v>
      </c>
      <c r="Y39">
        <v>0</v>
      </c>
      <c r="Z39">
        <v>4</v>
      </c>
      <c r="AA39">
        <v>4</v>
      </c>
      <c r="AB39">
        <v>1</v>
      </c>
      <c r="AC39">
        <v>2</v>
      </c>
      <c r="AD39">
        <v>1</v>
      </c>
      <c r="AE39">
        <v>2</v>
      </c>
      <c r="AF39">
        <v>3</v>
      </c>
      <c r="AG39">
        <v>21</v>
      </c>
      <c r="AH39">
        <v>12.9</v>
      </c>
      <c r="AI39">
        <v>-8</v>
      </c>
    </row>
    <row r="40" spans="1:35" ht="21" x14ac:dyDescent="0.3">
      <c r="A40" t="s">
        <v>554</v>
      </c>
      <c r="B40" s="11">
        <v>35</v>
      </c>
      <c r="C40">
        <v>560</v>
      </c>
      <c r="D40">
        <v>39</v>
      </c>
      <c r="E40" s="4">
        <v>44570</v>
      </c>
      <c r="F40" t="s">
        <v>33</v>
      </c>
      <c r="H40" t="s">
        <v>87</v>
      </c>
      <c r="I40" t="s">
        <v>124</v>
      </c>
      <c r="J40" t="s">
        <v>41</v>
      </c>
      <c r="K40" s="9">
        <v>1.4152777777777779</v>
      </c>
      <c r="L40">
        <v>3</v>
      </c>
      <c r="M40">
        <v>9</v>
      </c>
      <c r="N40">
        <v>0.33300000000000002</v>
      </c>
      <c r="O40">
        <v>0</v>
      </c>
      <c r="P40">
        <v>3</v>
      </c>
      <c r="Q40">
        <v>0</v>
      </c>
      <c r="R40">
        <v>3</v>
      </c>
      <c r="S40">
        <v>6</v>
      </c>
      <c r="T40">
        <v>0.5</v>
      </c>
      <c r="U40">
        <v>0.33300000000000002</v>
      </c>
      <c r="V40">
        <v>4</v>
      </c>
      <c r="W40">
        <v>4</v>
      </c>
      <c r="X40">
        <v>1</v>
      </c>
      <c r="Y40">
        <v>0</v>
      </c>
      <c r="Z40">
        <v>2</v>
      </c>
      <c r="AA40">
        <v>2</v>
      </c>
      <c r="AB40">
        <v>1</v>
      </c>
      <c r="AC40">
        <v>1</v>
      </c>
      <c r="AD40">
        <v>0</v>
      </c>
      <c r="AE40">
        <v>0</v>
      </c>
      <c r="AF40">
        <v>1</v>
      </c>
      <c r="AG40">
        <v>10</v>
      </c>
      <c r="AH40">
        <v>6.8</v>
      </c>
      <c r="AI40">
        <v>16</v>
      </c>
    </row>
    <row r="41" spans="1:35" ht="21" x14ac:dyDescent="0.3">
      <c r="A41" t="s">
        <v>554</v>
      </c>
      <c r="B41" s="11">
        <v>36</v>
      </c>
      <c r="C41">
        <v>561</v>
      </c>
      <c r="D41">
        <v>40</v>
      </c>
      <c r="E41" s="4">
        <v>44572</v>
      </c>
      <c r="F41" t="s">
        <v>33</v>
      </c>
      <c r="G41" t="s">
        <v>37</v>
      </c>
      <c r="H41" t="s">
        <v>42</v>
      </c>
      <c r="I41" t="s">
        <v>125</v>
      </c>
      <c r="J41" t="s">
        <v>41</v>
      </c>
      <c r="K41" s="9">
        <v>1.3979166666666667</v>
      </c>
      <c r="L41">
        <v>5</v>
      </c>
      <c r="M41">
        <v>12</v>
      </c>
      <c r="N41">
        <v>0.41699999999999998</v>
      </c>
      <c r="O41">
        <v>3</v>
      </c>
      <c r="P41">
        <v>6</v>
      </c>
      <c r="Q41">
        <v>0.5</v>
      </c>
      <c r="R41">
        <v>2</v>
      </c>
      <c r="S41">
        <v>6</v>
      </c>
      <c r="T41">
        <v>0.33300000000000002</v>
      </c>
      <c r="U41">
        <v>0.54200000000000004</v>
      </c>
      <c r="V41">
        <v>0</v>
      </c>
      <c r="W41">
        <v>0</v>
      </c>
      <c r="Y41">
        <v>0</v>
      </c>
      <c r="Z41">
        <v>4</v>
      </c>
      <c r="AA41">
        <v>4</v>
      </c>
      <c r="AB41">
        <v>2</v>
      </c>
      <c r="AC41">
        <v>0</v>
      </c>
      <c r="AD41">
        <v>0</v>
      </c>
      <c r="AE41">
        <v>4</v>
      </c>
      <c r="AF41">
        <v>3</v>
      </c>
      <c r="AG41">
        <v>13</v>
      </c>
      <c r="AH41">
        <v>4</v>
      </c>
      <c r="AI41">
        <v>-4</v>
      </c>
    </row>
    <row r="42" spans="1:35" ht="21" x14ac:dyDescent="0.3">
      <c r="A42" t="s">
        <v>554</v>
      </c>
      <c r="B42" s="11">
        <v>37</v>
      </c>
      <c r="C42">
        <v>562</v>
      </c>
      <c r="D42">
        <v>41</v>
      </c>
      <c r="E42" s="4">
        <v>44574</v>
      </c>
      <c r="F42" t="s">
        <v>33</v>
      </c>
      <c r="G42" t="s">
        <v>37</v>
      </c>
      <c r="H42" t="s">
        <v>126</v>
      </c>
      <c r="I42" t="s">
        <v>127</v>
      </c>
      <c r="J42" t="s">
        <v>41</v>
      </c>
      <c r="K42" s="9">
        <v>1.1513888888888888</v>
      </c>
      <c r="L42">
        <v>6</v>
      </c>
      <c r="M42">
        <v>11</v>
      </c>
      <c r="N42">
        <v>0.54500000000000004</v>
      </c>
      <c r="O42">
        <v>2</v>
      </c>
      <c r="P42">
        <v>5</v>
      </c>
      <c r="Q42">
        <v>0.4</v>
      </c>
      <c r="R42">
        <v>4</v>
      </c>
      <c r="S42">
        <v>6</v>
      </c>
      <c r="T42">
        <v>0.66700000000000004</v>
      </c>
      <c r="U42">
        <v>0.63600000000000001</v>
      </c>
      <c r="V42">
        <v>2</v>
      </c>
      <c r="W42">
        <v>2</v>
      </c>
      <c r="X42">
        <v>1</v>
      </c>
      <c r="Y42">
        <v>0</v>
      </c>
      <c r="Z42">
        <v>2</v>
      </c>
      <c r="AA42">
        <v>2</v>
      </c>
      <c r="AB42">
        <v>1</v>
      </c>
      <c r="AC42">
        <v>0</v>
      </c>
      <c r="AD42">
        <v>1</v>
      </c>
      <c r="AE42">
        <v>2</v>
      </c>
      <c r="AF42">
        <v>1</v>
      </c>
      <c r="AG42">
        <v>16</v>
      </c>
      <c r="AH42">
        <v>10.3</v>
      </c>
      <c r="AI42">
        <v>-15</v>
      </c>
    </row>
    <row r="43" spans="1:35" ht="21" x14ac:dyDescent="0.3">
      <c r="A43" t="s">
        <v>554</v>
      </c>
      <c r="B43" s="11">
        <v>38</v>
      </c>
      <c r="C43">
        <v>563</v>
      </c>
      <c r="D43">
        <v>42</v>
      </c>
      <c r="E43" s="4">
        <v>44575</v>
      </c>
      <c r="F43" t="s">
        <v>33</v>
      </c>
      <c r="G43" t="s">
        <v>37</v>
      </c>
      <c r="H43" t="s">
        <v>82</v>
      </c>
      <c r="I43" t="s">
        <v>128</v>
      </c>
      <c r="J43" t="s">
        <v>41</v>
      </c>
      <c r="K43" s="9">
        <v>1.1520833333333333</v>
      </c>
      <c r="L43">
        <v>8</v>
      </c>
      <c r="M43">
        <v>11</v>
      </c>
      <c r="N43">
        <v>0.72699999999999998</v>
      </c>
      <c r="O43">
        <v>3</v>
      </c>
      <c r="P43">
        <v>5</v>
      </c>
      <c r="Q43">
        <v>0.6</v>
      </c>
      <c r="R43">
        <v>5</v>
      </c>
      <c r="S43">
        <v>6</v>
      </c>
      <c r="T43">
        <v>0.83299999999999996</v>
      </c>
      <c r="U43">
        <v>0.86399999999999999</v>
      </c>
      <c r="V43">
        <v>2</v>
      </c>
      <c r="W43">
        <v>4</v>
      </c>
      <c r="X43">
        <v>0.5</v>
      </c>
      <c r="Y43">
        <v>0</v>
      </c>
      <c r="Z43">
        <v>4</v>
      </c>
      <c r="AA43">
        <v>4</v>
      </c>
      <c r="AB43">
        <v>6</v>
      </c>
      <c r="AC43">
        <v>0</v>
      </c>
      <c r="AD43">
        <v>0</v>
      </c>
      <c r="AE43">
        <v>0</v>
      </c>
      <c r="AF43">
        <v>2</v>
      </c>
      <c r="AG43">
        <v>21</v>
      </c>
      <c r="AH43">
        <v>20.3</v>
      </c>
      <c r="AI43">
        <v>18</v>
      </c>
    </row>
    <row r="44" spans="1:35" ht="21" x14ac:dyDescent="0.3">
      <c r="A44" t="s">
        <v>554</v>
      </c>
      <c r="B44" s="11">
        <v>39</v>
      </c>
      <c r="C44">
        <v>564</v>
      </c>
      <c r="D44">
        <v>43</v>
      </c>
      <c r="E44" s="4">
        <v>44577</v>
      </c>
      <c r="F44" t="s">
        <v>33</v>
      </c>
      <c r="G44" t="s">
        <v>37</v>
      </c>
      <c r="H44" t="s">
        <v>80</v>
      </c>
      <c r="I44" t="s">
        <v>129</v>
      </c>
      <c r="J44" t="s">
        <v>41</v>
      </c>
      <c r="K44" s="9">
        <v>1.2083333333333333</v>
      </c>
      <c r="L44">
        <v>4</v>
      </c>
      <c r="M44">
        <v>11</v>
      </c>
      <c r="N44">
        <v>0.36399999999999999</v>
      </c>
      <c r="O44">
        <v>2</v>
      </c>
      <c r="P44">
        <v>6</v>
      </c>
      <c r="Q44">
        <v>0.33300000000000002</v>
      </c>
      <c r="R44">
        <v>2</v>
      </c>
      <c r="S44">
        <v>5</v>
      </c>
      <c r="T44">
        <v>0.4</v>
      </c>
      <c r="U44">
        <v>0.45500000000000002</v>
      </c>
      <c r="V44">
        <v>2</v>
      </c>
      <c r="W44">
        <v>4</v>
      </c>
      <c r="X44">
        <v>0.5</v>
      </c>
      <c r="Y44">
        <v>0</v>
      </c>
      <c r="Z44">
        <v>2</v>
      </c>
      <c r="AA44">
        <v>2</v>
      </c>
      <c r="AB44">
        <v>4</v>
      </c>
      <c r="AC44">
        <v>0</v>
      </c>
      <c r="AD44">
        <v>1</v>
      </c>
      <c r="AE44">
        <v>1</v>
      </c>
      <c r="AF44">
        <v>1</v>
      </c>
      <c r="AG44">
        <v>12</v>
      </c>
      <c r="AH44">
        <v>7.8</v>
      </c>
      <c r="AI44">
        <v>-9</v>
      </c>
    </row>
    <row r="45" spans="1:35" ht="21" x14ac:dyDescent="0.3">
      <c r="A45" t="s">
        <v>554</v>
      </c>
      <c r="B45" s="11">
        <v>40</v>
      </c>
      <c r="C45">
        <v>565</v>
      </c>
      <c r="D45">
        <v>44</v>
      </c>
      <c r="E45" s="4">
        <v>44579</v>
      </c>
      <c r="F45" t="s">
        <v>33</v>
      </c>
      <c r="H45" t="s">
        <v>89</v>
      </c>
      <c r="I45" t="s">
        <v>130</v>
      </c>
      <c r="J45" t="s">
        <v>41</v>
      </c>
      <c r="K45" s="9">
        <v>1.1513888888888888</v>
      </c>
      <c r="L45">
        <v>8</v>
      </c>
      <c r="M45">
        <v>13</v>
      </c>
      <c r="N45">
        <v>0.61499999999999999</v>
      </c>
      <c r="O45">
        <v>3</v>
      </c>
      <c r="P45">
        <v>7</v>
      </c>
      <c r="Q45">
        <v>0.42899999999999999</v>
      </c>
      <c r="R45">
        <v>5</v>
      </c>
      <c r="S45">
        <v>6</v>
      </c>
      <c r="T45">
        <v>0.83299999999999996</v>
      </c>
      <c r="U45">
        <v>0.73099999999999998</v>
      </c>
      <c r="V45">
        <v>0</v>
      </c>
      <c r="W45">
        <v>2</v>
      </c>
      <c r="X45">
        <v>0</v>
      </c>
      <c r="Y45">
        <v>2</v>
      </c>
      <c r="Z45">
        <v>1</v>
      </c>
      <c r="AA45">
        <v>3</v>
      </c>
      <c r="AB45">
        <v>1</v>
      </c>
      <c r="AC45">
        <v>3</v>
      </c>
      <c r="AD45">
        <v>1</v>
      </c>
      <c r="AE45">
        <v>1</v>
      </c>
      <c r="AF45">
        <v>3</v>
      </c>
      <c r="AG45">
        <v>19</v>
      </c>
      <c r="AH45">
        <v>16.2</v>
      </c>
      <c r="AI45">
        <v>20</v>
      </c>
    </row>
    <row r="46" spans="1:35" ht="21" x14ac:dyDescent="0.3">
      <c r="A46" t="s">
        <v>554</v>
      </c>
      <c r="B46" s="11">
        <v>41</v>
      </c>
      <c r="C46">
        <v>566</v>
      </c>
      <c r="D46">
        <v>45</v>
      </c>
      <c r="E46" s="4">
        <v>44581</v>
      </c>
      <c r="F46" t="s">
        <v>33</v>
      </c>
      <c r="H46" t="s">
        <v>108</v>
      </c>
      <c r="I46" t="s">
        <v>131</v>
      </c>
      <c r="J46" t="s">
        <v>41</v>
      </c>
      <c r="K46" s="9">
        <v>1.5847222222222221</v>
      </c>
      <c r="L46">
        <v>5</v>
      </c>
      <c r="M46">
        <v>15</v>
      </c>
      <c r="N46">
        <v>0.33300000000000002</v>
      </c>
      <c r="O46">
        <v>1</v>
      </c>
      <c r="P46">
        <v>6</v>
      </c>
      <c r="Q46">
        <v>0.16700000000000001</v>
      </c>
      <c r="R46">
        <v>4</v>
      </c>
      <c r="S46">
        <v>9</v>
      </c>
      <c r="T46">
        <v>0.44400000000000001</v>
      </c>
      <c r="U46">
        <v>0.36699999999999999</v>
      </c>
      <c r="V46">
        <v>0</v>
      </c>
      <c r="W46">
        <v>1</v>
      </c>
      <c r="X46">
        <v>0</v>
      </c>
      <c r="Y46">
        <v>2</v>
      </c>
      <c r="Z46">
        <v>2</v>
      </c>
      <c r="AA46">
        <v>4</v>
      </c>
      <c r="AB46">
        <v>2</v>
      </c>
      <c r="AC46">
        <v>1</v>
      </c>
      <c r="AD46">
        <v>1</v>
      </c>
      <c r="AE46">
        <v>2</v>
      </c>
      <c r="AF46">
        <v>5</v>
      </c>
      <c r="AG46">
        <v>11</v>
      </c>
      <c r="AH46">
        <v>3.2</v>
      </c>
      <c r="AI46">
        <v>-10</v>
      </c>
    </row>
    <row r="47" spans="1:35" ht="21" x14ac:dyDescent="0.3">
      <c r="A47" t="s">
        <v>554</v>
      </c>
      <c r="B47" s="11">
        <v>42</v>
      </c>
      <c r="C47">
        <v>567</v>
      </c>
      <c r="D47">
        <v>46</v>
      </c>
      <c r="E47" s="4">
        <v>44582</v>
      </c>
      <c r="F47" t="s">
        <v>33</v>
      </c>
      <c r="H47" t="s">
        <v>76</v>
      </c>
      <c r="I47" t="s">
        <v>132</v>
      </c>
      <c r="J47" t="s">
        <v>41</v>
      </c>
      <c r="K47" s="9">
        <v>1.45</v>
      </c>
      <c r="L47">
        <v>7</v>
      </c>
      <c r="M47">
        <v>16</v>
      </c>
      <c r="N47">
        <v>0.438</v>
      </c>
      <c r="O47">
        <v>2</v>
      </c>
      <c r="P47">
        <v>6</v>
      </c>
      <c r="Q47">
        <v>0.33300000000000002</v>
      </c>
      <c r="R47">
        <v>5</v>
      </c>
      <c r="S47">
        <v>10</v>
      </c>
      <c r="T47">
        <v>0.5</v>
      </c>
      <c r="U47">
        <v>0.5</v>
      </c>
      <c r="V47">
        <v>1</v>
      </c>
      <c r="W47">
        <v>4</v>
      </c>
      <c r="X47">
        <v>0.25</v>
      </c>
      <c r="Y47">
        <v>0</v>
      </c>
      <c r="Z47">
        <v>2</v>
      </c>
      <c r="AA47">
        <v>2</v>
      </c>
      <c r="AB47">
        <v>4</v>
      </c>
      <c r="AC47">
        <v>0</v>
      </c>
      <c r="AD47">
        <v>0</v>
      </c>
      <c r="AE47">
        <v>0</v>
      </c>
      <c r="AF47">
        <v>1</v>
      </c>
      <c r="AG47">
        <v>17</v>
      </c>
      <c r="AH47">
        <v>10.4</v>
      </c>
      <c r="AI47">
        <v>5</v>
      </c>
    </row>
    <row r="48" spans="1:35" ht="21" x14ac:dyDescent="0.3">
      <c r="A48" t="s">
        <v>554</v>
      </c>
      <c r="B48" s="11">
        <v>43</v>
      </c>
      <c r="C48">
        <v>568</v>
      </c>
      <c r="D48">
        <v>47</v>
      </c>
      <c r="E48" s="4">
        <v>44584</v>
      </c>
      <c r="F48" t="s">
        <v>33</v>
      </c>
      <c r="H48" t="s">
        <v>118</v>
      </c>
      <c r="I48" t="s">
        <v>133</v>
      </c>
      <c r="J48" t="s">
        <v>41</v>
      </c>
      <c r="K48" s="9">
        <v>1.45625</v>
      </c>
      <c r="L48">
        <v>6</v>
      </c>
      <c r="M48">
        <v>17</v>
      </c>
      <c r="N48">
        <v>0.35299999999999998</v>
      </c>
      <c r="O48">
        <v>1</v>
      </c>
      <c r="P48">
        <v>5</v>
      </c>
      <c r="Q48">
        <v>0.2</v>
      </c>
      <c r="R48">
        <v>5</v>
      </c>
      <c r="S48">
        <v>12</v>
      </c>
      <c r="T48">
        <v>0.41699999999999998</v>
      </c>
      <c r="U48">
        <v>0.38200000000000001</v>
      </c>
      <c r="V48">
        <v>1</v>
      </c>
      <c r="W48">
        <v>2</v>
      </c>
      <c r="X48">
        <v>0.5</v>
      </c>
      <c r="Y48">
        <v>1</v>
      </c>
      <c r="Z48">
        <v>4</v>
      </c>
      <c r="AA48">
        <v>5</v>
      </c>
      <c r="AB48">
        <v>1</v>
      </c>
      <c r="AC48">
        <v>2</v>
      </c>
      <c r="AD48">
        <v>1</v>
      </c>
      <c r="AE48">
        <v>1</v>
      </c>
      <c r="AF48">
        <v>3</v>
      </c>
      <c r="AG48">
        <v>14</v>
      </c>
      <c r="AH48">
        <v>7.2</v>
      </c>
      <c r="AI48">
        <v>10</v>
      </c>
    </row>
    <row r="49" spans="1:35" ht="21" x14ac:dyDescent="0.3">
      <c r="A49" t="s">
        <v>554</v>
      </c>
      <c r="B49" s="11">
        <v>44</v>
      </c>
      <c r="C49">
        <v>569</v>
      </c>
      <c r="D49">
        <v>48</v>
      </c>
      <c r="E49" s="4">
        <v>44586</v>
      </c>
      <c r="F49" t="s">
        <v>33</v>
      </c>
      <c r="H49" t="s">
        <v>49</v>
      </c>
      <c r="I49" t="s">
        <v>134</v>
      </c>
      <c r="J49" t="s">
        <v>41</v>
      </c>
      <c r="K49" s="9">
        <v>1.0729166666666667</v>
      </c>
      <c r="L49">
        <v>5</v>
      </c>
      <c r="M49">
        <v>11</v>
      </c>
      <c r="N49">
        <v>0.45500000000000002</v>
      </c>
      <c r="O49">
        <v>1</v>
      </c>
      <c r="P49">
        <v>5</v>
      </c>
      <c r="Q49">
        <v>0.2</v>
      </c>
      <c r="R49">
        <v>4</v>
      </c>
      <c r="S49">
        <v>6</v>
      </c>
      <c r="T49">
        <v>0.66700000000000004</v>
      </c>
      <c r="U49">
        <v>0.5</v>
      </c>
      <c r="V49">
        <v>3</v>
      </c>
      <c r="W49">
        <v>4</v>
      </c>
      <c r="X49">
        <v>0.75</v>
      </c>
      <c r="Y49">
        <v>2</v>
      </c>
      <c r="Z49">
        <v>3</v>
      </c>
      <c r="AA49">
        <v>5</v>
      </c>
      <c r="AB49">
        <v>3</v>
      </c>
      <c r="AC49">
        <v>1</v>
      </c>
      <c r="AD49">
        <v>0</v>
      </c>
      <c r="AE49">
        <v>2</v>
      </c>
      <c r="AF49">
        <v>2</v>
      </c>
      <c r="AG49">
        <v>14</v>
      </c>
      <c r="AH49">
        <v>10.5</v>
      </c>
      <c r="AI49">
        <v>15</v>
      </c>
    </row>
    <row r="50" spans="1:35" ht="21" x14ac:dyDescent="0.3">
      <c r="A50" t="s">
        <v>554</v>
      </c>
      <c r="B50" s="11">
        <v>45</v>
      </c>
      <c r="C50">
        <v>570</v>
      </c>
      <c r="D50">
        <v>49</v>
      </c>
      <c r="E50" s="4">
        <v>44588</v>
      </c>
      <c r="F50" t="s">
        <v>33</v>
      </c>
      <c r="H50" t="s">
        <v>80</v>
      </c>
      <c r="I50" t="s">
        <v>135</v>
      </c>
      <c r="J50" t="s">
        <v>41</v>
      </c>
      <c r="K50" s="9">
        <v>1.4979166666666666</v>
      </c>
      <c r="L50">
        <v>7</v>
      </c>
      <c r="M50">
        <v>12</v>
      </c>
      <c r="N50">
        <v>0.58299999999999996</v>
      </c>
      <c r="O50">
        <v>5</v>
      </c>
      <c r="P50">
        <v>8</v>
      </c>
      <c r="Q50">
        <v>0.625</v>
      </c>
      <c r="R50">
        <v>2</v>
      </c>
      <c r="S50">
        <v>4</v>
      </c>
      <c r="T50">
        <v>0.5</v>
      </c>
      <c r="U50">
        <v>0.79200000000000004</v>
      </c>
      <c r="V50">
        <v>0</v>
      </c>
      <c r="W50">
        <v>2</v>
      </c>
      <c r="X50">
        <v>0</v>
      </c>
      <c r="Y50">
        <v>0</v>
      </c>
      <c r="Z50">
        <v>5</v>
      </c>
      <c r="AA50">
        <v>5</v>
      </c>
      <c r="AB50">
        <v>4</v>
      </c>
      <c r="AC50">
        <v>1</v>
      </c>
      <c r="AD50">
        <v>2</v>
      </c>
      <c r="AE50">
        <v>0</v>
      </c>
      <c r="AF50">
        <v>1</v>
      </c>
      <c r="AG50">
        <v>19</v>
      </c>
      <c r="AH50">
        <v>18.899999999999999</v>
      </c>
      <c r="AI50">
        <v>16</v>
      </c>
    </row>
    <row r="51" spans="1:35" ht="21" x14ac:dyDescent="0.3">
      <c r="A51" t="s">
        <v>554</v>
      </c>
      <c r="B51" s="11">
        <v>46</v>
      </c>
      <c r="C51">
        <v>571</v>
      </c>
      <c r="D51">
        <v>50</v>
      </c>
      <c r="E51" s="4">
        <v>44590</v>
      </c>
      <c r="F51" t="s">
        <v>33</v>
      </c>
      <c r="H51" t="s">
        <v>85</v>
      </c>
      <c r="I51" t="s">
        <v>136</v>
      </c>
      <c r="J51" t="s">
        <v>41</v>
      </c>
      <c r="K51" s="9">
        <v>1.5493055555555555</v>
      </c>
      <c r="L51">
        <v>10</v>
      </c>
      <c r="M51">
        <v>18</v>
      </c>
      <c r="N51">
        <v>0.55600000000000005</v>
      </c>
      <c r="O51">
        <v>4</v>
      </c>
      <c r="P51">
        <v>8</v>
      </c>
      <c r="Q51">
        <v>0.5</v>
      </c>
      <c r="R51">
        <v>6</v>
      </c>
      <c r="S51">
        <v>10</v>
      </c>
      <c r="T51">
        <v>0.6</v>
      </c>
      <c r="U51">
        <v>0.66700000000000004</v>
      </c>
      <c r="V51">
        <v>0</v>
      </c>
      <c r="W51">
        <v>0</v>
      </c>
      <c r="Y51">
        <v>1</v>
      </c>
      <c r="Z51">
        <v>7</v>
      </c>
      <c r="AA51">
        <v>8</v>
      </c>
      <c r="AB51">
        <v>2</v>
      </c>
      <c r="AC51">
        <v>3</v>
      </c>
      <c r="AD51">
        <v>2</v>
      </c>
      <c r="AE51">
        <v>0</v>
      </c>
      <c r="AF51">
        <v>3</v>
      </c>
      <c r="AG51">
        <v>24</v>
      </c>
      <c r="AH51">
        <v>22.8</v>
      </c>
      <c r="AI51">
        <v>14</v>
      </c>
    </row>
    <row r="52" spans="1:35" ht="21" x14ac:dyDescent="0.3">
      <c r="A52" t="s">
        <v>554</v>
      </c>
      <c r="B52" s="11">
        <v>47</v>
      </c>
      <c r="C52">
        <v>572</v>
      </c>
      <c r="D52">
        <v>51</v>
      </c>
      <c r="E52" s="4">
        <v>44592</v>
      </c>
      <c r="F52" t="s">
        <v>33</v>
      </c>
      <c r="G52" t="s">
        <v>37</v>
      </c>
      <c r="H52" t="s">
        <v>76</v>
      </c>
      <c r="I52" t="s">
        <v>137</v>
      </c>
      <c r="J52" t="s">
        <v>41</v>
      </c>
      <c r="K52" s="9">
        <v>1.4027777777777777</v>
      </c>
      <c r="L52">
        <v>8</v>
      </c>
      <c r="M52">
        <v>14</v>
      </c>
      <c r="N52">
        <v>0.57099999999999995</v>
      </c>
      <c r="O52">
        <v>3</v>
      </c>
      <c r="P52">
        <v>6</v>
      </c>
      <c r="Q52">
        <v>0.5</v>
      </c>
      <c r="R52">
        <v>5</v>
      </c>
      <c r="S52">
        <v>8</v>
      </c>
      <c r="T52">
        <v>0.625</v>
      </c>
      <c r="U52">
        <v>0.67900000000000005</v>
      </c>
      <c r="V52">
        <v>4</v>
      </c>
      <c r="W52">
        <v>4</v>
      </c>
      <c r="X52">
        <v>1</v>
      </c>
      <c r="Y52">
        <v>1</v>
      </c>
      <c r="Z52">
        <v>4</v>
      </c>
      <c r="AA52">
        <v>5</v>
      </c>
      <c r="AB52">
        <v>3</v>
      </c>
      <c r="AC52">
        <v>2</v>
      </c>
      <c r="AD52">
        <v>2</v>
      </c>
      <c r="AE52">
        <v>1</v>
      </c>
      <c r="AF52">
        <v>3</v>
      </c>
      <c r="AG52">
        <v>23</v>
      </c>
      <c r="AH52">
        <v>21.6</v>
      </c>
      <c r="AI52">
        <v>17</v>
      </c>
    </row>
    <row r="53" spans="1:35" ht="21" x14ac:dyDescent="0.3">
      <c r="A53" t="s">
        <v>554</v>
      </c>
      <c r="B53" s="11">
        <v>47</v>
      </c>
      <c r="D53">
        <v>52</v>
      </c>
      <c r="E53" s="4">
        <v>44593</v>
      </c>
      <c r="F53" t="s">
        <v>33</v>
      </c>
      <c r="G53" t="s">
        <v>37</v>
      </c>
      <c r="H53" t="s">
        <v>102</v>
      </c>
      <c r="I53" t="s">
        <v>138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  <c r="O53" t="s">
        <v>91</v>
      </c>
      <c r="P53" t="s">
        <v>91</v>
      </c>
      <c r="Q53" t="s">
        <v>91</v>
      </c>
      <c r="R53" t="s">
        <v>91</v>
      </c>
      <c r="S53" t="s">
        <v>91</v>
      </c>
      <c r="T53" t="s">
        <v>91</v>
      </c>
      <c r="U53" t="s">
        <v>91</v>
      </c>
      <c r="V53" t="s">
        <v>91</v>
      </c>
      <c r="W53" t="s">
        <v>91</v>
      </c>
      <c r="X53" t="s">
        <v>91</v>
      </c>
      <c r="Y53" t="s">
        <v>91</v>
      </c>
      <c r="Z53" t="s">
        <v>91</v>
      </c>
      <c r="AA53" t="s">
        <v>91</v>
      </c>
      <c r="AB53" t="s">
        <v>91</v>
      </c>
      <c r="AC53" t="s">
        <v>91</v>
      </c>
      <c r="AD53" t="s">
        <v>91</v>
      </c>
      <c r="AE53" t="s">
        <v>91</v>
      </c>
      <c r="AF53" t="s">
        <v>91</v>
      </c>
      <c r="AG53" t="s">
        <v>91</v>
      </c>
      <c r="AH53" t="s">
        <v>91</v>
      </c>
      <c r="AI53" t="s">
        <v>91</v>
      </c>
    </row>
    <row r="54" spans="1:35" ht="21" x14ac:dyDescent="0.3">
      <c r="A54" t="s">
        <v>554</v>
      </c>
      <c r="B54" s="11">
        <v>48</v>
      </c>
      <c r="C54">
        <v>573</v>
      </c>
      <c r="D54">
        <v>53</v>
      </c>
      <c r="E54" s="4">
        <v>44595</v>
      </c>
      <c r="F54" t="s">
        <v>33</v>
      </c>
      <c r="H54" t="s">
        <v>66</v>
      </c>
      <c r="I54" t="s">
        <v>139</v>
      </c>
      <c r="J54" t="s">
        <v>41</v>
      </c>
      <c r="K54" s="9">
        <v>1.1555555555555554</v>
      </c>
      <c r="L54">
        <v>5</v>
      </c>
      <c r="M54">
        <v>12</v>
      </c>
      <c r="N54">
        <v>0.41699999999999998</v>
      </c>
      <c r="O54">
        <v>2</v>
      </c>
      <c r="P54">
        <v>4</v>
      </c>
      <c r="Q54">
        <v>0.5</v>
      </c>
      <c r="R54">
        <v>3</v>
      </c>
      <c r="S54">
        <v>8</v>
      </c>
      <c r="T54">
        <v>0.375</v>
      </c>
      <c r="U54">
        <v>0.5</v>
      </c>
      <c r="V54">
        <v>0</v>
      </c>
      <c r="W54">
        <v>0</v>
      </c>
      <c r="Y54">
        <v>0</v>
      </c>
      <c r="Z54">
        <v>1</v>
      </c>
      <c r="AA54">
        <v>1</v>
      </c>
      <c r="AB54">
        <v>4</v>
      </c>
      <c r="AC54">
        <v>0</v>
      </c>
      <c r="AD54">
        <v>0</v>
      </c>
      <c r="AE54">
        <v>1</v>
      </c>
      <c r="AF54">
        <v>2</v>
      </c>
      <c r="AG54">
        <v>12</v>
      </c>
      <c r="AH54">
        <v>6.9</v>
      </c>
      <c r="AI54">
        <v>-1</v>
      </c>
    </row>
    <row r="55" spans="1:35" ht="21" x14ac:dyDescent="0.3">
      <c r="A55" t="s">
        <v>554</v>
      </c>
      <c r="B55" s="11">
        <v>49</v>
      </c>
      <c r="C55">
        <v>574</v>
      </c>
      <c r="D55">
        <v>54</v>
      </c>
      <c r="E55" s="4">
        <v>44599</v>
      </c>
      <c r="F55" t="s">
        <v>33</v>
      </c>
      <c r="G55" t="s">
        <v>37</v>
      </c>
      <c r="H55" t="s">
        <v>68</v>
      </c>
      <c r="I55" t="s">
        <v>140</v>
      </c>
      <c r="J55" t="s">
        <v>41</v>
      </c>
      <c r="K55" s="9">
        <v>1.4694444444444446</v>
      </c>
      <c r="L55">
        <v>6</v>
      </c>
      <c r="M55">
        <v>15</v>
      </c>
      <c r="N55">
        <v>0.4</v>
      </c>
      <c r="O55">
        <v>3</v>
      </c>
      <c r="P55">
        <v>9</v>
      </c>
      <c r="Q55">
        <v>0.33300000000000002</v>
      </c>
      <c r="R55">
        <v>3</v>
      </c>
      <c r="S55">
        <v>6</v>
      </c>
      <c r="T55">
        <v>0.5</v>
      </c>
      <c r="U55">
        <v>0.5</v>
      </c>
      <c r="V55">
        <v>0</v>
      </c>
      <c r="W55">
        <v>0</v>
      </c>
      <c r="Y55">
        <v>0</v>
      </c>
      <c r="Z55">
        <v>5</v>
      </c>
      <c r="AA55">
        <v>5</v>
      </c>
      <c r="AB55">
        <v>0</v>
      </c>
      <c r="AC55">
        <v>1</v>
      </c>
      <c r="AD55">
        <v>1</v>
      </c>
      <c r="AE55">
        <v>3</v>
      </c>
      <c r="AF55">
        <v>3</v>
      </c>
      <c r="AG55">
        <v>15</v>
      </c>
      <c r="AH55">
        <v>5.9</v>
      </c>
      <c r="AI55">
        <v>6</v>
      </c>
    </row>
    <row r="56" spans="1:35" ht="21" x14ac:dyDescent="0.3">
      <c r="A56" t="s">
        <v>554</v>
      </c>
      <c r="B56" s="11">
        <v>50</v>
      </c>
      <c r="C56">
        <v>575</v>
      </c>
      <c r="D56">
        <v>55</v>
      </c>
      <c r="E56" s="4">
        <v>44601</v>
      </c>
      <c r="F56" t="s">
        <v>33</v>
      </c>
      <c r="G56" t="s">
        <v>37</v>
      </c>
      <c r="H56" t="s">
        <v>118</v>
      </c>
      <c r="I56" t="s">
        <v>141</v>
      </c>
      <c r="J56" t="s">
        <v>41</v>
      </c>
      <c r="K56" s="9">
        <v>1.1555555555555554</v>
      </c>
      <c r="L56">
        <v>5</v>
      </c>
      <c r="M56">
        <v>11</v>
      </c>
      <c r="N56">
        <v>0.45500000000000002</v>
      </c>
      <c r="O56">
        <v>2</v>
      </c>
      <c r="P56">
        <v>5</v>
      </c>
      <c r="Q56">
        <v>0.4</v>
      </c>
      <c r="R56">
        <v>3</v>
      </c>
      <c r="S56">
        <v>6</v>
      </c>
      <c r="T56">
        <v>0.5</v>
      </c>
      <c r="U56">
        <v>0.54500000000000004</v>
      </c>
      <c r="V56">
        <v>1</v>
      </c>
      <c r="W56">
        <v>2</v>
      </c>
      <c r="X56">
        <v>0.5</v>
      </c>
      <c r="Y56">
        <v>0</v>
      </c>
      <c r="Z56">
        <v>3</v>
      </c>
      <c r="AA56">
        <v>3</v>
      </c>
      <c r="AB56">
        <v>4</v>
      </c>
      <c r="AC56">
        <v>2</v>
      </c>
      <c r="AD56">
        <v>1</v>
      </c>
      <c r="AE56">
        <v>2</v>
      </c>
      <c r="AF56">
        <v>2</v>
      </c>
      <c r="AG56">
        <v>13</v>
      </c>
      <c r="AH56">
        <v>10.5</v>
      </c>
      <c r="AI56">
        <v>-9</v>
      </c>
    </row>
    <row r="57" spans="1:35" ht="21" x14ac:dyDescent="0.3">
      <c r="A57" t="s">
        <v>554</v>
      </c>
      <c r="B57" s="11">
        <v>51</v>
      </c>
      <c r="C57">
        <v>576</v>
      </c>
      <c r="D57">
        <v>56</v>
      </c>
      <c r="E57" s="4">
        <v>44602</v>
      </c>
      <c r="F57" t="s">
        <v>33</v>
      </c>
      <c r="H57" t="s">
        <v>110</v>
      </c>
      <c r="I57" t="s">
        <v>142</v>
      </c>
      <c r="J57" t="s">
        <v>41</v>
      </c>
      <c r="K57" s="9">
        <v>1.4854166666666666</v>
      </c>
      <c r="L57">
        <v>6</v>
      </c>
      <c r="M57">
        <v>13</v>
      </c>
      <c r="N57">
        <v>0.46200000000000002</v>
      </c>
      <c r="O57">
        <v>2</v>
      </c>
      <c r="P57">
        <v>4</v>
      </c>
      <c r="Q57">
        <v>0.5</v>
      </c>
      <c r="R57">
        <v>4</v>
      </c>
      <c r="S57">
        <v>9</v>
      </c>
      <c r="T57">
        <v>0.44400000000000001</v>
      </c>
      <c r="U57">
        <v>0.53800000000000003</v>
      </c>
      <c r="V57">
        <v>1</v>
      </c>
      <c r="W57">
        <v>1</v>
      </c>
      <c r="X57">
        <v>1</v>
      </c>
      <c r="Y57">
        <v>3</v>
      </c>
      <c r="Z57">
        <v>4</v>
      </c>
      <c r="AA57">
        <v>7</v>
      </c>
      <c r="AB57">
        <v>4</v>
      </c>
      <c r="AC57">
        <v>1</v>
      </c>
      <c r="AD57">
        <v>1</v>
      </c>
      <c r="AE57">
        <v>0</v>
      </c>
      <c r="AF57">
        <v>2</v>
      </c>
      <c r="AG57">
        <v>15</v>
      </c>
      <c r="AH57">
        <v>15.3</v>
      </c>
      <c r="AI57">
        <v>-5</v>
      </c>
    </row>
    <row r="58" spans="1:35" ht="21" x14ac:dyDescent="0.3">
      <c r="A58" t="s">
        <v>554</v>
      </c>
      <c r="B58" s="11">
        <v>52</v>
      </c>
      <c r="C58">
        <v>577</v>
      </c>
      <c r="D58">
        <v>57</v>
      </c>
      <c r="E58" s="4">
        <v>44604</v>
      </c>
      <c r="F58" t="s">
        <v>33</v>
      </c>
      <c r="H58" t="s">
        <v>62</v>
      </c>
      <c r="I58" t="s">
        <v>143</v>
      </c>
      <c r="J58" t="s">
        <v>41</v>
      </c>
      <c r="K58" s="9">
        <v>1.3701388888888888</v>
      </c>
      <c r="L58">
        <v>7</v>
      </c>
      <c r="M58">
        <v>15</v>
      </c>
      <c r="N58">
        <v>0.46700000000000003</v>
      </c>
      <c r="O58">
        <v>3</v>
      </c>
      <c r="P58">
        <v>7</v>
      </c>
      <c r="Q58">
        <v>0.42899999999999999</v>
      </c>
      <c r="R58">
        <v>4</v>
      </c>
      <c r="S58">
        <v>8</v>
      </c>
      <c r="T58">
        <v>0.5</v>
      </c>
      <c r="U58">
        <v>0.56699999999999995</v>
      </c>
      <c r="V58">
        <v>2</v>
      </c>
      <c r="W58">
        <v>5</v>
      </c>
      <c r="X58">
        <v>0.4</v>
      </c>
      <c r="Y58">
        <v>0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0</v>
      </c>
      <c r="AF58">
        <v>3</v>
      </c>
      <c r="AG58">
        <v>19</v>
      </c>
      <c r="AH58">
        <v>12.5</v>
      </c>
      <c r="AI58">
        <v>7</v>
      </c>
    </row>
    <row r="59" spans="1:35" ht="21" x14ac:dyDescent="0.3">
      <c r="A59" t="s">
        <v>554</v>
      </c>
      <c r="B59" s="11">
        <v>53</v>
      </c>
      <c r="C59">
        <v>578</v>
      </c>
      <c r="D59">
        <v>58</v>
      </c>
      <c r="E59" s="4">
        <v>44606</v>
      </c>
      <c r="F59" t="s">
        <v>33</v>
      </c>
      <c r="G59" t="s">
        <v>37</v>
      </c>
      <c r="H59" t="s">
        <v>64</v>
      </c>
      <c r="I59" t="s">
        <v>144</v>
      </c>
      <c r="J59" t="s">
        <v>41</v>
      </c>
      <c r="K59" s="9">
        <v>1.1555555555555554</v>
      </c>
      <c r="L59">
        <v>5</v>
      </c>
      <c r="M59">
        <v>10</v>
      </c>
      <c r="N59">
        <v>0.5</v>
      </c>
      <c r="O59">
        <v>2</v>
      </c>
      <c r="P59">
        <v>4</v>
      </c>
      <c r="Q59">
        <v>0.5</v>
      </c>
      <c r="R59">
        <v>3</v>
      </c>
      <c r="S59">
        <v>6</v>
      </c>
      <c r="T59">
        <v>0.5</v>
      </c>
      <c r="U59">
        <v>0.6</v>
      </c>
      <c r="V59">
        <v>1</v>
      </c>
      <c r="W59">
        <v>2</v>
      </c>
      <c r="X59">
        <v>0.5</v>
      </c>
      <c r="Y59">
        <v>1</v>
      </c>
      <c r="Z59">
        <v>1</v>
      </c>
      <c r="AA59">
        <v>2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13</v>
      </c>
      <c r="AH59">
        <v>8.6</v>
      </c>
      <c r="AI59">
        <v>-12</v>
      </c>
    </row>
    <row r="60" spans="1:35" ht="21" x14ac:dyDescent="0.3">
      <c r="A60" t="s">
        <v>554</v>
      </c>
      <c r="B60" s="11">
        <v>54</v>
      </c>
      <c r="C60">
        <v>579</v>
      </c>
      <c r="D60">
        <v>59</v>
      </c>
      <c r="E60" s="4">
        <v>44608</v>
      </c>
      <c r="F60" t="s">
        <v>33</v>
      </c>
      <c r="H60" t="s">
        <v>34</v>
      </c>
      <c r="I60" t="s">
        <v>145</v>
      </c>
      <c r="J60" t="s">
        <v>41</v>
      </c>
      <c r="K60" s="9">
        <v>1.5118055555555556</v>
      </c>
      <c r="L60">
        <v>4</v>
      </c>
      <c r="M60">
        <v>12</v>
      </c>
      <c r="N60">
        <v>0.33300000000000002</v>
      </c>
      <c r="O60">
        <v>1</v>
      </c>
      <c r="P60">
        <v>5</v>
      </c>
      <c r="Q60">
        <v>0.2</v>
      </c>
      <c r="R60">
        <v>3</v>
      </c>
      <c r="S60">
        <v>7</v>
      </c>
      <c r="T60">
        <v>0.42899999999999999</v>
      </c>
      <c r="U60">
        <v>0.375</v>
      </c>
      <c r="V60">
        <v>0</v>
      </c>
      <c r="W60">
        <v>0</v>
      </c>
      <c r="Y60">
        <v>1</v>
      </c>
      <c r="Z60">
        <v>3</v>
      </c>
      <c r="AA60">
        <v>4</v>
      </c>
      <c r="AB60">
        <v>4</v>
      </c>
      <c r="AC60">
        <v>2</v>
      </c>
      <c r="AD60">
        <v>1</v>
      </c>
      <c r="AE60">
        <v>2</v>
      </c>
      <c r="AF60">
        <v>0</v>
      </c>
      <c r="AG60">
        <v>9</v>
      </c>
      <c r="AH60">
        <v>7.3</v>
      </c>
      <c r="AI60">
        <v>-1</v>
      </c>
    </row>
    <row r="61" spans="1:35" ht="21" x14ac:dyDescent="0.3">
      <c r="A61" t="s">
        <v>554</v>
      </c>
      <c r="B61" s="11">
        <v>55</v>
      </c>
      <c r="C61">
        <v>580</v>
      </c>
      <c r="D61">
        <v>60</v>
      </c>
      <c r="E61" s="4">
        <v>44616</v>
      </c>
      <c r="F61" t="s">
        <v>33</v>
      </c>
      <c r="G61" t="s">
        <v>37</v>
      </c>
      <c r="H61" t="s">
        <v>96</v>
      </c>
      <c r="I61" t="s">
        <v>146</v>
      </c>
      <c r="J61" t="s">
        <v>41</v>
      </c>
      <c r="K61" s="9">
        <v>1.0687500000000001</v>
      </c>
      <c r="L61">
        <v>4</v>
      </c>
      <c r="M61">
        <v>13</v>
      </c>
      <c r="N61">
        <v>0.308</v>
      </c>
      <c r="O61">
        <v>2</v>
      </c>
      <c r="P61">
        <v>8</v>
      </c>
      <c r="Q61">
        <v>0.25</v>
      </c>
      <c r="R61">
        <v>2</v>
      </c>
      <c r="S61">
        <v>5</v>
      </c>
      <c r="T61">
        <v>0.4</v>
      </c>
      <c r="U61">
        <v>0.38500000000000001</v>
      </c>
      <c r="V61">
        <v>0</v>
      </c>
      <c r="W61">
        <v>2</v>
      </c>
      <c r="X61">
        <v>0</v>
      </c>
      <c r="Y61">
        <v>1</v>
      </c>
      <c r="Z61">
        <v>2</v>
      </c>
      <c r="AA61">
        <v>3</v>
      </c>
      <c r="AB61">
        <v>1</v>
      </c>
      <c r="AC61">
        <v>2</v>
      </c>
      <c r="AD61">
        <v>1</v>
      </c>
      <c r="AE61">
        <v>0</v>
      </c>
      <c r="AF61">
        <v>3</v>
      </c>
      <c r="AG61">
        <v>10</v>
      </c>
      <c r="AH61">
        <v>5.2</v>
      </c>
      <c r="AI61">
        <v>3</v>
      </c>
    </row>
    <row r="62" spans="1:35" ht="21" x14ac:dyDescent="0.3">
      <c r="A62" t="s">
        <v>554</v>
      </c>
      <c r="B62" s="11">
        <v>56</v>
      </c>
      <c r="C62">
        <v>581</v>
      </c>
      <c r="D62">
        <v>61</v>
      </c>
      <c r="E62" s="4">
        <v>44619</v>
      </c>
      <c r="F62" t="s">
        <v>33</v>
      </c>
      <c r="H62" t="s">
        <v>49</v>
      </c>
      <c r="I62" t="s">
        <v>147</v>
      </c>
      <c r="J62" t="s">
        <v>41</v>
      </c>
      <c r="K62" s="9">
        <v>1.4152777777777779</v>
      </c>
      <c r="L62">
        <v>7</v>
      </c>
      <c r="M62">
        <v>16</v>
      </c>
      <c r="N62">
        <v>0.438</v>
      </c>
      <c r="O62">
        <v>2</v>
      </c>
      <c r="P62">
        <v>6</v>
      </c>
      <c r="Q62">
        <v>0.33300000000000002</v>
      </c>
      <c r="R62">
        <v>5</v>
      </c>
      <c r="S62">
        <v>10</v>
      </c>
      <c r="T62">
        <v>0.5</v>
      </c>
      <c r="U62">
        <v>0.5</v>
      </c>
      <c r="V62">
        <v>2</v>
      </c>
      <c r="W62">
        <v>5</v>
      </c>
      <c r="X62">
        <v>0.4</v>
      </c>
      <c r="Y62">
        <v>1</v>
      </c>
      <c r="Z62">
        <v>1</v>
      </c>
      <c r="AA62">
        <v>2</v>
      </c>
      <c r="AB62">
        <v>2</v>
      </c>
      <c r="AC62">
        <v>2</v>
      </c>
      <c r="AD62">
        <v>0</v>
      </c>
      <c r="AE62">
        <v>0</v>
      </c>
      <c r="AF62">
        <v>6</v>
      </c>
      <c r="AG62">
        <v>18</v>
      </c>
      <c r="AH62">
        <v>10.4</v>
      </c>
      <c r="AI62">
        <v>0</v>
      </c>
    </row>
    <row r="63" spans="1:35" ht="21" x14ac:dyDescent="0.3">
      <c r="A63" t="s">
        <v>554</v>
      </c>
      <c r="B63" s="11">
        <v>57</v>
      </c>
      <c r="C63">
        <v>582</v>
      </c>
      <c r="D63">
        <v>62</v>
      </c>
      <c r="E63" s="4">
        <v>44621</v>
      </c>
      <c r="F63" t="s">
        <v>33</v>
      </c>
      <c r="G63" t="s">
        <v>37</v>
      </c>
      <c r="H63" t="s">
        <v>80</v>
      </c>
      <c r="I63" t="s">
        <v>148</v>
      </c>
      <c r="J63" t="s">
        <v>41</v>
      </c>
      <c r="K63" s="9">
        <v>1.2631944444444445</v>
      </c>
      <c r="L63">
        <v>5</v>
      </c>
      <c r="M63">
        <v>13</v>
      </c>
      <c r="N63">
        <v>0.38500000000000001</v>
      </c>
      <c r="O63">
        <v>2</v>
      </c>
      <c r="P63">
        <v>6</v>
      </c>
      <c r="Q63">
        <v>0.33300000000000002</v>
      </c>
      <c r="R63">
        <v>3</v>
      </c>
      <c r="S63">
        <v>7</v>
      </c>
      <c r="T63">
        <v>0.42899999999999999</v>
      </c>
      <c r="U63">
        <v>0.46200000000000002</v>
      </c>
      <c r="V63">
        <v>0</v>
      </c>
      <c r="W63">
        <v>0</v>
      </c>
      <c r="Y63">
        <v>1</v>
      </c>
      <c r="Z63">
        <v>6</v>
      </c>
      <c r="AA63">
        <v>7</v>
      </c>
      <c r="AB63">
        <v>4</v>
      </c>
      <c r="AC63">
        <v>1</v>
      </c>
      <c r="AD63">
        <v>2</v>
      </c>
      <c r="AE63">
        <v>3</v>
      </c>
      <c r="AF63">
        <v>4</v>
      </c>
      <c r="AG63">
        <v>12</v>
      </c>
      <c r="AH63">
        <v>8</v>
      </c>
      <c r="AI63">
        <v>-13</v>
      </c>
    </row>
    <row r="64" spans="1:35" ht="21" x14ac:dyDescent="0.3">
      <c r="A64" t="s">
        <v>554</v>
      </c>
      <c r="B64" s="11">
        <v>58</v>
      </c>
      <c r="C64">
        <v>583</v>
      </c>
      <c r="D64">
        <v>63</v>
      </c>
      <c r="E64" s="4">
        <v>44623</v>
      </c>
      <c r="F64" t="s">
        <v>33</v>
      </c>
      <c r="G64" t="s">
        <v>37</v>
      </c>
      <c r="H64" t="s">
        <v>49</v>
      </c>
      <c r="I64" t="s">
        <v>149</v>
      </c>
      <c r="J64" t="s">
        <v>41</v>
      </c>
      <c r="K64" s="9">
        <v>1.5430555555555556</v>
      </c>
      <c r="L64">
        <v>7</v>
      </c>
      <c r="M64">
        <v>17</v>
      </c>
      <c r="N64">
        <v>0.41199999999999998</v>
      </c>
      <c r="O64">
        <v>1</v>
      </c>
      <c r="P64">
        <v>3</v>
      </c>
      <c r="Q64">
        <v>0.33300000000000002</v>
      </c>
      <c r="R64">
        <v>6</v>
      </c>
      <c r="S64">
        <v>14</v>
      </c>
      <c r="T64">
        <v>0.42899999999999999</v>
      </c>
      <c r="U64">
        <v>0.441</v>
      </c>
      <c r="V64">
        <v>2</v>
      </c>
      <c r="W64">
        <v>4</v>
      </c>
      <c r="X64">
        <v>0.5</v>
      </c>
      <c r="Y64">
        <v>3</v>
      </c>
      <c r="Z64">
        <v>2</v>
      </c>
      <c r="AA64">
        <v>5</v>
      </c>
      <c r="AB64">
        <v>5</v>
      </c>
      <c r="AC64">
        <v>2</v>
      </c>
      <c r="AD64">
        <v>1</v>
      </c>
      <c r="AE64">
        <v>3</v>
      </c>
      <c r="AF64">
        <v>3</v>
      </c>
      <c r="AG64">
        <v>17</v>
      </c>
      <c r="AH64">
        <v>11.8</v>
      </c>
      <c r="AI64">
        <v>-5</v>
      </c>
    </row>
    <row r="65" spans="1:35" ht="21" x14ac:dyDescent="0.3">
      <c r="A65" t="s">
        <v>554</v>
      </c>
      <c r="B65" s="11">
        <v>59</v>
      </c>
      <c r="C65">
        <v>584</v>
      </c>
      <c r="D65">
        <v>64</v>
      </c>
      <c r="E65" s="4">
        <v>44625</v>
      </c>
      <c r="F65" t="s">
        <v>33</v>
      </c>
      <c r="G65" t="s">
        <v>37</v>
      </c>
      <c r="H65" t="s">
        <v>62</v>
      </c>
      <c r="I65" t="s">
        <v>150</v>
      </c>
      <c r="J65" t="s">
        <v>41</v>
      </c>
      <c r="K65" s="9">
        <v>1.336111111111111</v>
      </c>
      <c r="L65">
        <v>6</v>
      </c>
      <c r="M65">
        <v>15</v>
      </c>
      <c r="N65">
        <v>0.4</v>
      </c>
      <c r="O65">
        <v>2</v>
      </c>
      <c r="P65">
        <v>4</v>
      </c>
      <c r="Q65">
        <v>0.5</v>
      </c>
      <c r="R65">
        <v>4</v>
      </c>
      <c r="S65">
        <v>11</v>
      </c>
      <c r="T65">
        <v>0.36399999999999999</v>
      </c>
      <c r="U65">
        <v>0.46700000000000003</v>
      </c>
      <c r="V65">
        <v>0</v>
      </c>
      <c r="W65">
        <v>2</v>
      </c>
      <c r="X65">
        <v>0</v>
      </c>
      <c r="Y65">
        <v>2</v>
      </c>
      <c r="Z65">
        <v>3</v>
      </c>
      <c r="AA65">
        <v>5</v>
      </c>
      <c r="AB65">
        <v>4</v>
      </c>
      <c r="AC65">
        <v>3</v>
      </c>
      <c r="AD65">
        <v>0</v>
      </c>
      <c r="AE65">
        <v>1</v>
      </c>
      <c r="AF65">
        <v>5</v>
      </c>
      <c r="AG65">
        <v>14</v>
      </c>
      <c r="AH65">
        <v>10.199999999999999</v>
      </c>
      <c r="AI65">
        <v>-12</v>
      </c>
    </row>
    <row r="66" spans="1:35" ht="21" x14ac:dyDescent="0.3">
      <c r="A66" t="s">
        <v>554</v>
      </c>
      <c r="B66" s="11">
        <v>59</v>
      </c>
      <c r="D66">
        <v>65</v>
      </c>
      <c r="E66" s="4">
        <v>44627</v>
      </c>
      <c r="F66" t="s">
        <v>33</v>
      </c>
      <c r="G66" t="s">
        <v>37</v>
      </c>
      <c r="H66" t="s">
        <v>34</v>
      </c>
      <c r="I66" t="s">
        <v>151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  <c r="O66" t="s">
        <v>91</v>
      </c>
      <c r="P66" t="s">
        <v>91</v>
      </c>
      <c r="Q66" t="s">
        <v>91</v>
      </c>
      <c r="R66" t="s">
        <v>91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91</v>
      </c>
      <c r="Y66" t="s">
        <v>91</v>
      </c>
      <c r="Z66" t="s">
        <v>91</v>
      </c>
      <c r="AA66" t="s">
        <v>91</v>
      </c>
      <c r="AB66" t="s">
        <v>91</v>
      </c>
      <c r="AC66" t="s">
        <v>91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 t="s">
        <v>91</v>
      </c>
    </row>
    <row r="67" spans="1:35" ht="21" x14ac:dyDescent="0.3">
      <c r="A67" t="s">
        <v>554</v>
      </c>
      <c r="B67" s="11">
        <v>60</v>
      </c>
      <c r="C67">
        <v>585</v>
      </c>
      <c r="D67">
        <v>66</v>
      </c>
      <c r="E67" s="4">
        <v>44628</v>
      </c>
      <c r="F67" t="s">
        <v>33</v>
      </c>
      <c r="H67" t="s">
        <v>64</v>
      </c>
      <c r="I67" t="s">
        <v>152</v>
      </c>
      <c r="J67" t="s">
        <v>41</v>
      </c>
      <c r="K67" s="9">
        <v>1.2979166666666666</v>
      </c>
      <c r="L67">
        <v>6</v>
      </c>
      <c r="M67">
        <v>14</v>
      </c>
      <c r="N67">
        <v>0.42899999999999999</v>
      </c>
      <c r="O67">
        <v>2</v>
      </c>
      <c r="P67">
        <v>5</v>
      </c>
      <c r="Q67">
        <v>0.4</v>
      </c>
      <c r="R67">
        <v>4</v>
      </c>
      <c r="S67">
        <v>9</v>
      </c>
      <c r="T67">
        <v>0.44400000000000001</v>
      </c>
      <c r="U67">
        <v>0.5</v>
      </c>
      <c r="V67">
        <v>0</v>
      </c>
      <c r="W67">
        <v>0</v>
      </c>
      <c r="Y67">
        <v>2</v>
      </c>
      <c r="Z67">
        <v>9</v>
      </c>
      <c r="AA67">
        <v>11</v>
      </c>
      <c r="AB67">
        <v>3</v>
      </c>
      <c r="AC67">
        <v>0</v>
      </c>
      <c r="AD67">
        <v>3</v>
      </c>
      <c r="AE67">
        <v>5</v>
      </c>
      <c r="AF67">
        <v>3</v>
      </c>
      <c r="AG67">
        <v>14</v>
      </c>
      <c r="AH67">
        <v>8.6999999999999993</v>
      </c>
      <c r="AI67">
        <v>14</v>
      </c>
    </row>
    <row r="68" spans="1:35" ht="21" x14ac:dyDescent="0.3">
      <c r="A68" t="s">
        <v>554</v>
      </c>
      <c r="B68" s="11">
        <v>61</v>
      </c>
      <c r="C68">
        <v>586</v>
      </c>
      <c r="D68">
        <v>67</v>
      </c>
      <c r="E68" s="4">
        <v>44630</v>
      </c>
      <c r="F68" t="s">
        <v>33</v>
      </c>
      <c r="G68" t="s">
        <v>37</v>
      </c>
      <c r="H68" t="s">
        <v>34</v>
      </c>
      <c r="I68" t="s">
        <v>153</v>
      </c>
      <c r="J68" t="s">
        <v>41</v>
      </c>
      <c r="K68" s="9">
        <v>1.4131944444444444</v>
      </c>
      <c r="L68">
        <v>3</v>
      </c>
      <c r="M68">
        <v>11</v>
      </c>
      <c r="N68">
        <v>0.27300000000000002</v>
      </c>
      <c r="O68">
        <v>1</v>
      </c>
      <c r="P68">
        <v>7</v>
      </c>
      <c r="Q68">
        <v>0.14299999999999999</v>
      </c>
      <c r="R68">
        <v>2</v>
      </c>
      <c r="S68">
        <v>4</v>
      </c>
      <c r="T68">
        <v>0.5</v>
      </c>
      <c r="U68">
        <v>0.318</v>
      </c>
      <c r="V68">
        <v>0</v>
      </c>
      <c r="W68">
        <v>3</v>
      </c>
      <c r="X68">
        <v>0</v>
      </c>
      <c r="Y68">
        <v>0</v>
      </c>
      <c r="Z68">
        <v>4</v>
      </c>
      <c r="AA68">
        <v>4</v>
      </c>
      <c r="AB68">
        <v>5</v>
      </c>
      <c r="AC68">
        <v>3</v>
      </c>
      <c r="AD68">
        <v>0</v>
      </c>
      <c r="AE68">
        <v>1</v>
      </c>
      <c r="AF68">
        <v>4</v>
      </c>
      <c r="AG68">
        <v>7</v>
      </c>
      <c r="AH68">
        <v>4.4000000000000004</v>
      </c>
      <c r="AI68">
        <v>1</v>
      </c>
    </row>
    <row r="69" spans="1:35" ht="21" x14ac:dyDescent="0.3">
      <c r="A69" t="s">
        <v>554</v>
      </c>
      <c r="B69" s="11">
        <v>62</v>
      </c>
      <c r="C69">
        <v>587</v>
      </c>
      <c r="D69">
        <v>68</v>
      </c>
      <c r="E69" s="4">
        <v>44632</v>
      </c>
      <c r="F69" t="s">
        <v>33</v>
      </c>
      <c r="H69" t="s">
        <v>126</v>
      </c>
      <c r="I69" t="s">
        <v>154</v>
      </c>
      <c r="J69" t="s">
        <v>41</v>
      </c>
      <c r="K69" s="9">
        <v>1.4951388888888888</v>
      </c>
      <c r="L69">
        <v>8</v>
      </c>
      <c r="M69">
        <v>16</v>
      </c>
      <c r="N69">
        <v>0.5</v>
      </c>
      <c r="O69">
        <v>3</v>
      </c>
      <c r="P69">
        <v>8</v>
      </c>
      <c r="Q69">
        <v>0.375</v>
      </c>
      <c r="R69">
        <v>5</v>
      </c>
      <c r="S69">
        <v>8</v>
      </c>
      <c r="T69">
        <v>0.625</v>
      </c>
      <c r="U69">
        <v>0.59399999999999997</v>
      </c>
      <c r="V69">
        <v>2</v>
      </c>
      <c r="W69">
        <v>2</v>
      </c>
      <c r="X69">
        <v>1</v>
      </c>
      <c r="Y69">
        <v>4</v>
      </c>
      <c r="Z69">
        <v>3</v>
      </c>
      <c r="AA69">
        <v>7</v>
      </c>
      <c r="AB69">
        <v>4</v>
      </c>
      <c r="AC69">
        <v>0</v>
      </c>
      <c r="AD69">
        <v>2</v>
      </c>
      <c r="AE69">
        <v>1</v>
      </c>
      <c r="AF69">
        <v>2</v>
      </c>
      <c r="AG69">
        <v>21</v>
      </c>
      <c r="AH69">
        <v>19.100000000000001</v>
      </c>
      <c r="AI69">
        <v>14</v>
      </c>
    </row>
    <row r="70" spans="1:35" ht="21" x14ac:dyDescent="0.3">
      <c r="A70" t="s">
        <v>554</v>
      </c>
      <c r="B70" s="11">
        <v>62</v>
      </c>
      <c r="D70">
        <v>69</v>
      </c>
      <c r="E70" s="4">
        <v>44634</v>
      </c>
      <c r="F70" t="s">
        <v>33</v>
      </c>
      <c r="H70" t="s">
        <v>155</v>
      </c>
      <c r="I70" t="s">
        <v>156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  <c r="O70" t="s">
        <v>91</v>
      </c>
      <c r="P70" t="s">
        <v>91</v>
      </c>
      <c r="Q70" t="s">
        <v>91</v>
      </c>
      <c r="R70" t="s">
        <v>91</v>
      </c>
      <c r="S70" t="s">
        <v>91</v>
      </c>
      <c r="T70" t="s">
        <v>91</v>
      </c>
      <c r="U70" t="s">
        <v>91</v>
      </c>
      <c r="V70" t="s">
        <v>91</v>
      </c>
      <c r="W70" t="s">
        <v>91</v>
      </c>
      <c r="X70" t="s">
        <v>91</v>
      </c>
      <c r="Y70" t="s">
        <v>91</v>
      </c>
      <c r="Z70" t="s">
        <v>91</v>
      </c>
      <c r="AA70" t="s">
        <v>91</v>
      </c>
      <c r="AB70" t="s">
        <v>91</v>
      </c>
      <c r="AC70" t="s">
        <v>91</v>
      </c>
      <c r="AD70" t="s">
        <v>91</v>
      </c>
      <c r="AE70" t="s">
        <v>91</v>
      </c>
      <c r="AF70" t="s">
        <v>91</v>
      </c>
      <c r="AG70" t="s">
        <v>91</v>
      </c>
      <c r="AH70" t="s">
        <v>91</v>
      </c>
      <c r="AI70" t="s">
        <v>91</v>
      </c>
    </row>
    <row r="71" spans="1:35" ht="21" x14ac:dyDescent="0.3">
      <c r="A71" t="s">
        <v>554</v>
      </c>
      <c r="B71" s="11">
        <v>62</v>
      </c>
      <c r="D71">
        <v>70</v>
      </c>
      <c r="E71" s="4">
        <v>44636</v>
      </c>
      <c r="F71" t="s">
        <v>33</v>
      </c>
      <c r="H71" t="s">
        <v>55</v>
      </c>
      <c r="I71" t="s">
        <v>157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  <c r="O71" t="s">
        <v>91</v>
      </c>
      <c r="P71" t="s">
        <v>91</v>
      </c>
      <c r="Q71" t="s">
        <v>91</v>
      </c>
      <c r="R71" t="s">
        <v>91</v>
      </c>
      <c r="S71" t="s">
        <v>91</v>
      </c>
      <c r="T71" t="s">
        <v>91</v>
      </c>
      <c r="U71" t="s">
        <v>91</v>
      </c>
      <c r="V71" t="s">
        <v>91</v>
      </c>
      <c r="W71" t="s">
        <v>91</v>
      </c>
      <c r="X71" t="s">
        <v>91</v>
      </c>
      <c r="Y71" t="s">
        <v>91</v>
      </c>
      <c r="Z71" t="s">
        <v>91</v>
      </c>
      <c r="AA71" t="s">
        <v>91</v>
      </c>
      <c r="AB71" t="s">
        <v>91</v>
      </c>
      <c r="AC71" t="s">
        <v>91</v>
      </c>
      <c r="AD71" t="s">
        <v>91</v>
      </c>
      <c r="AE71" t="s">
        <v>91</v>
      </c>
      <c r="AF71" t="s">
        <v>91</v>
      </c>
      <c r="AG71" t="s">
        <v>91</v>
      </c>
      <c r="AH71" t="s">
        <v>91</v>
      </c>
      <c r="AI71" t="s">
        <v>91</v>
      </c>
    </row>
    <row r="72" spans="1:35" ht="21" x14ac:dyDescent="0.3">
      <c r="A72" t="s">
        <v>554</v>
      </c>
      <c r="B72" s="11">
        <v>63</v>
      </c>
      <c r="C72">
        <v>588</v>
      </c>
      <c r="D72">
        <v>71</v>
      </c>
      <c r="E72" s="4">
        <v>44640</v>
      </c>
      <c r="F72" t="s">
        <v>33</v>
      </c>
      <c r="H72" t="s">
        <v>102</v>
      </c>
      <c r="I72" t="s">
        <v>158</v>
      </c>
      <c r="J72" t="s">
        <v>41</v>
      </c>
      <c r="K72" s="9">
        <v>1.3777777777777778</v>
      </c>
      <c r="L72">
        <v>5</v>
      </c>
      <c r="M72">
        <v>13</v>
      </c>
      <c r="N72">
        <v>0.38500000000000001</v>
      </c>
      <c r="O72">
        <v>0</v>
      </c>
      <c r="P72">
        <v>3</v>
      </c>
      <c r="Q72">
        <v>0</v>
      </c>
      <c r="R72">
        <v>5</v>
      </c>
      <c r="S72">
        <v>10</v>
      </c>
      <c r="T72">
        <v>0.5</v>
      </c>
      <c r="U72">
        <v>0.38500000000000001</v>
      </c>
      <c r="V72">
        <v>6</v>
      </c>
      <c r="W72">
        <v>9</v>
      </c>
      <c r="X72">
        <v>0.66700000000000004</v>
      </c>
      <c r="Y72">
        <v>3</v>
      </c>
      <c r="Z72">
        <v>5</v>
      </c>
      <c r="AA72">
        <v>8</v>
      </c>
      <c r="AB72">
        <v>2</v>
      </c>
      <c r="AC72">
        <v>2</v>
      </c>
      <c r="AD72">
        <v>0</v>
      </c>
      <c r="AE72">
        <v>1</v>
      </c>
      <c r="AF72">
        <v>0</v>
      </c>
      <c r="AG72">
        <v>16</v>
      </c>
      <c r="AH72">
        <v>13.7</v>
      </c>
      <c r="AI72">
        <v>1</v>
      </c>
    </row>
    <row r="73" spans="1:35" ht="21" x14ac:dyDescent="0.3">
      <c r="A73" t="s">
        <v>554</v>
      </c>
      <c r="B73" s="11">
        <v>64</v>
      </c>
      <c r="C73">
        <v>589</v>
      </c>
      <c r="D73">
        <v>72</v>
      </c>
      <c r="E73" s="4">
        <v>44642</v>
      </c>
      <c r="F73" t="s">
        <v>33</v>
      </c>
      <c r="G73" t="s">
        <v>37</v>
      </c>
      <c r="H73" t="s">
        <v>104</v>
      </c>
      <c r="I73" t="s">
        <v>159</v>
      </c>
      <c r="J73" t="s">
        <v>41</v>
      </c>
      <c r="K73" s="9">
        <v>1.5034722222222223</v>
      </c>
      <c r="L73">
        <v>5</v>
      </c>
      <c r="M73">
        <v>19</v>
      </c>
      <c r="N73">
        <v>0.26300000000000001</v>
      </c>
      <c r="O73">
        <v>2</v>
      </c>
      <c r="P73">
        <v>6</v>
      </c>
      <c r="Q73">
        <v>0.33300000000000002</v>
      </c>
      <c r="R73">
        <v>3</v>
      </c>
      <c r="S73">
        <v>13</v>
      </c>
      <c r="T73">
        <v>0.23100000000000001</v>
      </c>
      <c r="U73">
        <v>0.316</v>
      </c>
      <c r="V73">
        <v>1</v>
      </c>
      <c r="W73">
        <v>2</v>
      </c>
      <c r="X73">
        <v>0.5</v>
      </c>
      <c r="Y73">
        <v>3</v>
      </c>
      <c r="Z73">
        <v>5</v>
      </c>
      <c r="AA73">
        <v>8</v>
      </c>
      <c r="AB73">
        <v>0</v>
      </c>
      <c r="AC73">
        <v>1</v>
      </c>
      <c r="AD73">
        <v>0</v>
      </c>
      <c r="AE73">
        <v>1</v>
      </c>
      <c r="AF73">
        <v>3</v>
      </c>
      <c r="AG73">
        <v>13</v>
      </c>
      <c r="AH73">
        <v>3.7</v>
      </c>
      <c r="AI73">
        <v>-7</v>
      </c>
    </row>
    <row r="74" spans="1:35" ht="21" x14ac:dyDescent="0.3">
      <c r="A74" t="s">
        <v>554</v>
      </c>
      <c r="B74" s="11">
        <v>65</v>
      </c>
      <c r="C74">
        <v>590</v>
      </c>
      <c r="D74">
        <v>73</v>
      </c>
      <c r="E74" s="4">
        <v>44643</v>
      </c>
      <c r="F74" t="s">
        <v>33</v>
      </c>
      <c r="G74" t="s">
        <v>37</v>
      </c>
      <c r="H74" t="s">
        <v>120</v>
      </c>
      <c r="I74" t="s">
        <v>160</v>
      </c>
      <c r="J74" t="s">
        <v>41</v>
      </c>
      <c r="K74" s="9">
        <v>1.5534722222222221</v>
      </c>
      <c r="L74">
        <v>8</v>
      </c>
      <c r="M74">
        <v>16</v>
      </c>
      <c r="N74">
        <v>0.5</v>
      </c>
      <c r="O74">
        <v>3</v>
      </c>
      <c r="P74">
        <v>7</v>
      </c>
      <c r="Q74">
        <v>0.42899999999999999</v>
      </c>
      <c r="R74">
        <v>5</v>
      </c>
      <c r="S74">
        <v>9</v>
      </c>
      <c r="T74">
        <v>0.55600000000000005</v>
      </c>
      <c r="U74">
        <v>0.59399999999999997</v>
      </c>
      <c r="V74">
        <v>3</v>
      </c>
      <c r="W74">
        <v>3</v>
      </c>
      <c r="X74">
        <v>1</v>
      </c>
      <c r="Y74">
        <v>0</v>
      </c>
      <c r="Z74">
        <v>3</v>
      </c>
      <c r="AA74">
        <v>3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22</v>
      </c>
      <c r="AH74">
        <v>15.9</v>
      </c>
      <c r="AI74">
        <v>10</v>
      </c>
    </row>
    <row r="75" spans="1:35" ht="21" x14ac:dyDescent="0.3">
      <c r="A75" t="s">
        <v>554</v>
      </c>
      <c r="B75" s="11">
        <v>66</v>
      </c>
      <c r="C75">
        <v>591</v>
      </c>
      <c r="D75">
        <v>74</v>
      </c>
      <c r="E75" s="4">
        <v>44645</v>
      </c>
      <c r="F75" t="s">
        <v>33</v>
      </c>
      <c r="G75" t="s">
        <v>37</v>
      </c>
      <c r="H75" t="s">
        <v>78</v>
      </c>
      <c r="I75" t="s">
        <v>161</v>
      </c>
      <c r="J75" t="s">
        <v>41</v>
      </c>
      <c r="K75" s="7">
        <v>0.92013888888888884</v>
      </c>
      <c r="L75">
        <v>4</v>
      </c>
      <c r="M75">
        <v>9</v>
      </c>
      <c r="N75">
        <v>0.44400000000000001</v>
      </c>
      <c r="O75">
        <v>1</v>
      </c>
      <c r="P75">
        <v>4</v>
      </c>
      <c r="Q75">
        <v>0.25</v>
      </c>
      <c r="R75">
        <v>3</v>
      </c>
      <c r="S75">
        <v>5</v>
      </c>
      <c r="T75">
        <v>0.6</v>
      </c>
      <c r="U75">
        <v>0.5</v>
      </c>
      <c r="V75">
        <v>0</v>
      </c>
      <c r="W75">
        <v>0</v>
      </c>
      <c r="Y75">
        <v>0</v>
      </c>
      <c r="Z75">
        <v>4</v>
      </c>
      <c r="AA75">
        <v>4</v>
      </c>
      <c r="AB75">
        <v>2</v>
      </c>
      <c r="AC75">
        <v>0</v>
      </c>
      <c r="AD75">
        <v>0</v>
      </c>
      <c r="AE75">
        <v>0</v>
      </c>
      <c r="AF75">
        <v>2</v>
      </c>
      <c r="AG75">
        <v>9</v>
      </c>
      <c r="AH75">
        <v>6.1</v>
      </c>
      <c r="AI75">
        <v>-14</v>
      </c>
    </row>
    <row r="76" spans="1:35" ht="21" x14ac:dyDescent="0.3">
      <c r="A76" t="s">
        <v>554</v>
      </c>
      <c r="B76" s="11">
        <v>67</v>
      </c>
      <c r="C76">
        <v>592</v>
      </c>
      <c r="D76">
        <v>75</v>
      </c>
      <c r="E76" s="4">
        <v>44647</v>
      </c>
      <c r="F76" t="s">
        <v>33</v>
      </c>
      <c r="G76" t="s">
        <v>37</v>
      </c>
      <c r="H76" t="s">
        <v>155</v>
      </c>
      <c r="I76" t="s">
        <v>162</v>
      </c>
      <c r="J76" t="s">
        <v>41</v>
      </c>
      <c r="K76" s="9">
        <v>1.4486111111111111</v>
      </c>
      <c r="L76">
        <v>8</v>
      </c>
      <c r="M76">
        <v>14</v>
      </c>
      <c r="N76">
        <v>0.57099999999999995</v>
      </c>
      <c r="O76">
        <v>0</v>
      </c>
      <c r="P76">
        <v>3</v>
      </c>
      <c r="Q76">
        <v>0</v>
      </c>
      <c r="R76">
        <v>8</v>
      </c>
      <c r="S76">
        <v>11</v>
      </c>
      <c r="T76">
        <v>0.72699999999999998</v>
      </c>
      <c r="U76">
        <v>0.57099999999999995</v>
      </c>
      <c r="V76">
        <v>7</v>
      </c>
      <c r="W76">
        <v>10</v>
      </c>
      <c r="X76">
        <v>0.7</v>
      </c>
      <c r="Y76">
        <v>1</v>
      </c>
      <c r="Z76">
        <v>1</v>
      </c>
      <c r="AA76">
        <v>2</v>
      </c>
      <c r="AB76">
        <v>0</v>
      </c>
      <c r="AC76">
        <v>1</v>
      </c>
      <c r="AD76">
        <v>0</v>
      </c>
      <c r="AE76">
        <v>3</v>
      </c>
      <c r="AF76">
        <v>4</v>
      </c>
      <c r="AG76">
        <v>23</v>
      </c>
      <c r="AH76">
        <v>12.6</v>
      </c>
      <c r="AI76">
        <v>-2</v>
      </c>
    </row>
    <row r="77" spans="1:35" ht="21" x14ac:dyDescent="0.3">
      <c r="A77" t="s">
        <v>554</v>
      </c>
      <c r="B77" s="11">
        <v>68</v>
      </c>
      <c r="C77">
        <v>593</v>
      </c>
      <c r="D77">
        <v>76</v>
      </c>
      <c r="E77" s="4">
        <v>44648</v>
      </c>
      <c r="F77" t="s">
        <v>33</v>
      </c>
      <c r="G77" t="s">
        <v>37</v>
      </c>
      <c r="H77" t="s">
        <v>42</v>
      </c>
      <c r="I77" t="s">
        <v>163</v>
      </c>
      <c r="J77" t="s">
        <v>41</v>
      </c>
      <c r="K77" s="9">
        <v>1.2194444444444446</v>
      </c>
      <c r="L77">
        <v>5</v>
      </c>
      <c r="M77">
        <v>15</v>
      </c>
      <c r="N77">
        <v>0.33300000000000002</v>
      </c>
      <c r="O77">
        <v>0</v>
      </c>
      <c r="P77">
        <v>5</v>
      </c>
      <c r="Q77">
        <v>0</v>
      </c>
      <c r="R77">
        <v>5</v>
      </c>
      <c r="S77">
        <v>10</v>
      </c>
      <c r="T77">
        <v>0.5</v>
      </c>
      <c r="U77">
        <v>0.33300000000000002</v>
      </c>
      <c r="V77">
        <v>0</v>
      </c>
      <c r="W77">
        <v>0</v>
      </c>
      <c r="Y77">
        <v>2</v>
      </c>
      <c r="Z77">
        <v>4</v>
      </c>
      <c r="AA77">
        <v>6</v>
      </c>
      <c r="AB77">
        <v>2</v>
      </c>
      <c r="AC77">
        <v>1</v>
      </c>
      <c r="AD77">
        <v>0</v>
      </c>
      <c r="AE77">
        <v>3</v>
      </c>
      <c r="AF77">
        <v>2</v>
      </c>
      <c r="AG77">
        <v>10</v>
      </c>
      <c r="AH77">
        <v>2.7</v>
      </c>
      <c r="AI77">
        <v>-19</v>
      </c>
    </row>
    <row r="78" spans="1:35" ht="21" x14ac:dyDescent="0.3">
      <c r="A78" t="s">
        <v>554</v>
      </c>
      <c r="B78" s="11">
        <v>69</v>
      </c>
      <c r="C78">
        <v>594</v>
      </c>
      <c r="D78">
        <v>77</v>
      </c>
      <c r="E78" s="4">
        <v>44650</v>
      </c>
      <c r="F78" t="s">
        <v>33</v>
      </c>
      <c r="H78" t="s">
        <v>99</v>
      </c>
      <c r="I78" t="s">
        <v>164</v>
      </c>
      <c r="J78" t="s">
        <v>41</v>
      </c>
      <c r="K78" s="9">
        <v>1.3618055555555555</v>
      </c>
      <c r="L78">
        <v>6</v>
      </c>
      <c r="M78">
        <v>16</v>
      </c>
      <c r="N78">
        <v>0.375</v>
      </c>
      <c r="O78">
        <v>2</v>
      </c>
      <c r="P78">
        <v>6</v>
      </c>
      <c r="Q78">
        <v>0.33300000000000002</v>
      </c>
      <c r="R78">
        <v>4</v>
      </c>
      <c r="S78">
        <v>10</v>
      </c>
      <c r="T78">
        <v>0.4</v>
      </c>
      <c r="U78">
        <v>0.438</v>
      </c>
      <c r="V78">
        <v>5</v>
      </c>
      <c r="W78">
        <v>8</v>
      </c>
      <c r="X78">
        <v>0.625</v>
      </c>
      <c r="Y78">
        <v>4</v>
      </c>
      <c r="Z78">
        <v>4</v>
      </c>
      <c r="AA78">
        <v>8</v>
      </c>
      <c r="AB78">
        <v>1</v>
      </c>
      <c r="AC78">
        <v>0</v>
      </c>
      <c r="AD78">
        <v>1</v>
      </c>
      <c r="AE78">
        <v>3</v>
      </c>
      <c r="AF78">
        <v>2</v>
      </c>
      <c r="AG78">
        <v>19</v>
      </c>
      <c r="AH78">
        <v>10.6</v>
      </c>
      <c r="AI78">
        <v>-7</v>
      </c>
    </row>
    <row r="79" spans="1:35" ht="21" x14ac:dyDescent="0.3">
      <c r="A79" t="s">
        <v>554</v>
      </c>
      <c r="B79" s="11">
        <v>70</v>
      </c>
      <c r="C79">
        <v>595</v>
      </c>
      <c r="D79">
        <v>78</v>
      </c>
      <c r="E79" s="4">
        <v>44653</v>
      </c>
      <c r="F79" t="s">
        <v>33</v>
      </c>
      <c r="H79" t="s">
        <v>118</v>
      </c>
      <c r="I79" t="s">
        <v>112</v>
      </c>
      <c r="J79" t="s">
        <v>41</v>
      </c>
      <c r="K79" s="9">
        <v>1.3736111111111111</v>
      </c>
      <c r="L79">
        <v>7</v>
      </c>
      <c r="M79">
        <v>10</v>
      </c>
      <c r="N79">
        <v>0.7</v>
      </c>
      <c r="O79">
        <v>3</v>
      </c>
      <c r="P79">
        <v>4</v>
      </c>
      <c r="Q79">
        <v>0.75</v>
      </c>
      <c r="R79">
        <v>4</v>
      </c>
      <c r="S79">
        <v>6</v>
      </c>
      <c r="T79">
        <v>0.66700000000000004</v>
      </c>
      <c r="U79">
        <v>0.85</v>
      </c>
      <c r="V79">
        <v>0</v>
      </c>
      <c r="W79">
        <v>0</v>
      </c>
      <c r="Y79">
        <v>1</v>
      </c>
      <c r="Z79">
        <v>1</v>
      </c>
      <c r="AA79">
        <v>2</v>
      </c>
      <c r="AB79">
        <v>3</v>
      </c>
      <c r="AC79">
        <v>2</v>
      </c>
      <c r="AD79">
        <v>1</v>
      </c>
      <c r="AE79">
        <v>2</v>
      </c>
      <c r="AF79">
        <v>4</v>
      </c>
      <c r="AG79">
        <v>17</v>
      </c>
      <c r="AH79">
        <v>15</v>
      </c>
      <c r="AI79">
        <v>26</v>
      </c>
    </row>
    <row r="80" spans="1:35" ht="21" x14ac:dyDescent="0.3">
      <c r="A80" t="s">
        <v>554</v>
      </c>
      <c r="B80" s="11">
        <v>71</v>
      </c>
      <c r="C80">
        <v>596</v>
      </c>
      <c r="D80">
        <v>79</v>
      </c>
      <c r="E80" s="4">
        <v>44654</v>
      </c>
      <c r="F80" t="s">
        <v>33</v>
      </c>
      <c r="G80" t="s">
        <v>37</v>
      </c>
      <c r="H80" t="s">
        <v>66</v>
      </c>
      <c r="I80" t="s">
        <v>165</v>
      </c>
      <c r="J80" t="s">
        <v>41</v>
      </c>
      <c r="K80" s="9">
        <v>1.5006944444444446</v>
      </c>
      <c r="L80">
        <v>8</v>
      </c>
      <c r="M80">
        <v>16</v>
      </c>
      <c r="N80">
        <v>0.5</v>
      </c>
      <c r="O80">
        <v>4</v>
      </c>
      <c r="P80">
        <v>7</v>
      </c>
      <c r="Q80">
        <v>0.57099999999999995</v>
      </c>
      <c r="R80">
        <v>4</v>
      </c>
      <c r="S80">
        <v>9</v>
      </c>
      <c r="T80">
        <v>0.44400000000000001</v>
      </c>
      <c r="U80">
        <v>0.625</v>
      </c>
      <c r="V80">
        <v>5</v>
      </c>
      <c r="W80">
        <v>6</v>
      </c>
      <c r="X80">
        <v>0.83299999999999996</v>
      </c>
      <c r="Y80">
        <v>0</v>
      </c>
      <c r="Z80">
        <v>5</v>
      </c>
      <c r="AA80">
        <v>5</v>
      </c>
      <c r="AB80">
        <v>5</v>
      </c>
      <c r="AC80">
        <v>1</v>
      </c>
      <c r="AD80">
        <v>0</v>
      </c>
      <c r="AE80">
        <v>1</v>
      </c>
      <c r="AF80">
        <v>2</v>
      </c>
      <c r="AG80">
        <v>25</v>
      </c>
      <c r="AH80">
        <v>20.8</v>
      </c>
      <c r="AI80">
        <v>7</v>
      </c>
    </row>
    <row r="81" spans="1:35" ht="21" x14ac:dyDescent="0.3">
      <c r="A81" t="s">
        <v>554</v>
      </c>
      <c r="B81" s="11">
        <v>72</v>
      </c>
      <c r="C81">
        <v>597</v>
      </c>
      <c r="D81">
        <v>80</v>
      </c>
      <c r="E81" s="4">
        <v>44658</v>
      </c>
      <c r="F81" t="s">
        <v>33</v>
      </c>
      <c r="H81" t="s">
        <v>62</v>
      </c>
      <c r="I81" t="s">
        <v>166</v>
      </c>
      <c r="J81" t="s">
        <v>41</v>
      </c>
      <c r="K81" s="9">
        <v>1.1395833333333334</v>
      </c>
      <c r="L81">
        <v>7</v>
      </c>
      <c r="M81">
        <v>12</v>
      </c>
      <c r="N81">
        <v>0.58299999999999996</v>
      </c>
      <c r="O81">
        <v>3</v>
      </c>
      <c r="P81">
        <v>5</v>
      </c>
      <c r="Q81">
        <v>0.6</v>
      </c>
      <c r="R81">
        <v>4</v>
      </c>
      <c r="S81">
        <v>7</v>
      </c>
      <c r="T81">
        <v>0.57099999999999995</v>
      </c>
      <c r="U81">
        <v>0.70799999999999996</v>
      </c>
      <c r="V81">
        <v>0</v>
      </c>
      <c r="W81">
        <v>0</v>
      </c>
      <c r="Y81">
        <v>2</v>
      </c>
      <c r="Z81">
        <v>2</v>
      </c>
      <c r="AA81">
        <v>4</v>
      </c>
      <c r="AB81">
        <v>1</v>
      </c>
      <c r="AC81">
        <v>0</v>
      </c>
      <c r="AD81">
        <v>1</v>
      </c>
      <c r="AE81">
        <v>2</v>
      </c>
      <c r="AF81">
        <v>3</v>
      </c>
      <c r="AG81">
        <v>17</v>
      </c>
      <c r="AH81">
        <v>11.6</v>
      </c>
      <c r="AI81">
        <v>2</v>
      </c>
    </row>
    <row r="82" spans="1:35" ht="21" x14ac:dyDescent="0.3">
      <c r="A82" t="s">
        <v>554</v>
      </c>
      <c r="B82" s="11">
        <v>73</v>
      </c>
      <c r="C82">
        <v>598</v>
      </c>
      <c r="D82">
        <v>81</v>
      </c>
      <c r="E82" s="4">
        <v>44660</v>
      </c>
      <c r="F82" t="s">
        <v>33</v>
      </c>
      <c r="G82" t="s">
        <v>37</v>
      </c>
      <c r="H82" t="s">
        <v>102</v>
      </c>
      <c r="I82" t="s">
        <v>167</v>
      </c>
      <c r="J82" t="s">
        <v>41</v>
      </c>
      <c r="K82" s="9">
        <v>1.4555555555555555</v>
      </c>
      <c r="L82">
        <v>5</v>
      </c>
      <c r="M82">
        <v>13</v>
      </c>
      <c r="N82">
        <v>0.38500000000000001</v>
      </c>
      <c r="O82">
        <v>2</v>
      </c>
      <c r="P82">
        <v>7</v>
      </c>
      <c r="Q82">
        <v>0.28599999999999998</v>
      </c>
      <c r="R82">
        <v>3</v>
      </c>
      <c r="S82">
        <v>6</v>
      </c>
      <c r="T82">
        <v>0.5</v>
      </c>
      <c r="U82">
        <v>0.46200000000000002</v>
      </c>
      <c r="V82">
        <v>3</v>
      </c>
      <c r="W82">
        <v>8</v>
      </c>
      <c r="X82">
        <v>0.375</v>
      </c>
      <c r="Y82">
        <v>0</v>
      </c>
      <c r="Z82">
        <v>2</v>
      </c>
      <c r="AA82">
        <v>2</v>
      </c>
      <c r="AB82">
        <v>0</v>
      </c>
      <c r="AC82">
        <v>0</v>
      </c>
      <c r="AD82">
        <v>0</v>
      </c>
      <c r="AE82">
        <v>1</v>
      </c>
      <c r="AF82">
        <v>3</v>
      </c>
      <c r="AG82">
        <v>15</v>
      </c>
      <c r="AH82">
        <v>4.3</v>
      </c>
      <c r="AI82">
        <v>3</v>
      </c>
    </row>
    <row r="83" spans="1:35" ht="21" x14ac:dyDescent="0.3">
      <c r="A83" t="s">
        <v>554</v>
      </c>
      <c r="B83" s="11">
        <v>73</v>
      </c>
      <c r="D83">
        <v>82</v>
      </c>
      <c r="E83" s="4">
        <v>44661</v>
      </c>
      <c r="F83" t="s">
        <v>33</v>
      </c>
      <c r="G83" t="s">
        <v>37</v>
      </c>
      <c r="H83" t="s">
        <v>74</v>
      </c>
      <c r="I83" t="s">
        <v>168</v>
      </c>
      <c r="J83" t="s">
        <v>91</v>
      </c>
      <c r="K83" t="s">
        <v>91</v>
      </c>
      <c r="L83" t="s">
        <v>91</v>
      </c>
      <c r="M83" t="s">
        <v>91</v>
      </c>
      <c r="N83" t="s">
        <v>91</v>
      </c>
      <c r="O83" t="s">
        <v>91</v>
      </c>
      <c r="P83" t="s">
        <v>91</v>
      </c>
      <c r="Q83" t="s">
        <v>91</v>
      </c>
      <c r="R83" t="s">
        <v>91</v>
      </c>
      <c r="S83" t="s">
        <v>91</v>
      </c>
      <c r="T83" t="s">
        <v>91</v>
      </c>
      <c r="U83" t="s">
        <v>91</v>
      </c>
      <c r="V83" t="s">
        <v>91</v>
      </c>
      <c r="W83" t="s">
        <v>91</v>
      </c>
      <c r="X83" t="s">
        <v>91</v>
      </c>
      <c r="Y83" t="s">
        <v>91</v>
      </c>
      <c r="Z83" t="s">
        <v>91</v>
      </c>
      <c r="AA83" t="s">
        <v>91</v>
      </c>
      <c r="AB83" t="s">
        <v>91</v>
      </c>
      <c r="AC83" t="s">
        <v>91</v>
      </c>
      <c r="AD83" t="s">
        <v>91</v>
      </c>
      <c r="AE83" t="s">
        <v>91</v>
      </c>
      <c r="AF83" t="s">
        <v>91</v>
      </c>
      <c r="AG83" t="s">
        <v>91</v>
      </c>
      <c r="AH83" t="s">
        <v>91</v>
      </c>
      <c r="AI83" t="s">
        <v>91</v>
      </c>
    </row>
    <row r="84" spans="1:35" ht="21" x14ac:dyDescent="0.3">
      <c r="A84" t="s">
        <v>554</v>
      </c>
      <c r="B84" s="11">
        <v>1</v>
      </c>
      <c r="C84">
        <v>6</v>
      </c>
      <c r="D84">
        <v>1</v>
      </c>
      <c r="E84" s="4">
        <v>44667</v>
      </c>
      <c r="F84" t="s">
        <v>33</v>
      </c>
      <c r="H84" t="s">
        <v>34</v>
      </c>
      <c r="I84" t="s">
        <v>170</v>
      </c>
      <c r="J84" t="s">
        <v>41</v>
      </c>
      <c r="K84" s="9">
        <v>1.2284722222222222</v>
      </c>
      <c r="L84">
        <v>6</v>
      </c>
      <c r="M84">
        <v>11</v>
      </c>
      <c r="N84">
        <v>0.54500000000000004</v>
      </c>
      <c r="O84">
        <v>1</v>
      </c>
      <c r="P84">
        <v>2</v>
      </c>
      <c r="Q84">
        <v>0.5</v>
      </c>
      <c r="R84">
        <v>5</v>
      </c>
      <c r="S84">
        <v>9</v>
      </c>
      <c r="T84">
        <v>0.55600000000000005</v>
      </c>
      <c r="U84">
        <v>0.59099999999999997</v>
      </c>
      <c r="V84">
        <v>3</v>
      </c>
      <c r="W84">
        <v>4</v>
      </c>
      <c r="X84">
        <v>0.75</v>
      </c>
      <c r="Y84">
        <v>1</v>
      </c>
      <c r="Z84">
        <v>8</v>
      </c>
      <c r="AA84">
        <v>9</v>
      </c>
      <c r="AB84">
        <v>2</v>
      </c>
      <c r="AC84">
        <v>1</v>
      </c>
      <c r="AD84">
        <v>0</v>
      </c>
      <c r="AE84">
        <v>1</v>
      </c>
      <c r="AF84">
        <v>2</v>
      </c>
      <c r="AG84">
        <v>16</v>
      </c>
      <c r="AH84">
        <v>14</v>
      </c>
      <c r="AI84">
        <v>16</v>
      </c>
    </row>
    <row r="85" spans="1:35" ht="21" x14ac:dyDescent="0.3">
      <c r="A85" t="s">
        <v>554</v>
      </c>
      <c r="B85" s="11">
        <v>2</v>
      </c>
      <c r="C85">
        <v>7</v>
      </c>
      <c r="D85">
        <v>2</v>
      </c>
      <c r="E85" s="4">
        <v>44669</v>
      </c>
      <c r="F85" t="s">
        <v>33</v>
      </c>
      <c r="H85" t="s">
        <v>34</v>
      </c>
      <c r="I85" t="s">
        <v>171</v>
      </c>
      <c r="J85" t="s">
        <v>41</v>
      </c>
      <c r="K85" s="9">
        <v>1.2784722222222222</v>
      </c>
      <c r="L85">
        <v>5</v>
      </c>
      <c r="M85">
        <v>9</v>
      </c>
      <c r="N85">
        <v>0.55600000000000005</v>
      </c>
      <c r="O85">
        <v>2</v>
      </c>
      <c r="P85">
        <v>3</v>
      </c>
      <c r="Q85">
        <v>0.66700000000000004</v>
      </c>
      <c r="R85">
        <v>3</v>
      </c>
      <c r="S85">
        <v>6</v>
      </c>
      <c r="T85">
        <v>0.5</v>
      </c>
      <c r="U85">
        <v>0.66700000000000004</v>
      </c>
      <c r="V85">
        <v>1</v>
      </c>
      <c r="W85">
        <v>3</v>
      </c>
      <c r="X85">
        <v>0.33300000000000002</v>
      </c>
      <c r="Y85">
        <v>2</v>
      </c>
      <c r="Z85">
        <v>6</v>
      </c>
      <c r="AA85">
        <v>8</v>
      </c>
      <c r="AB85">
        <v>2</v>
      </c>
      <c r="AC85">
        <v>1</v>
      </c>
      <c r="AD85">
        <v>1</v>
      </c>
      <c r="AE85">
        <v>1</v>
      </c>
      <c r="AF85">
        <v>2</v>
      </c>
      <c r="AG85">
        <v>13</v>
      </c>
      <c r="AH85">
        <v>12.4</v>
      </c>
      <c r="AI85">
        <v>24</v>
      </c>
    </row>
    <row r="86" spans="1:35" ht="21" x14ac:dyDescent="0.3">
      <c r="A86" t="s">
        <v>554</v>
      </c>
      <c r="B86" s="11">
        <v>3</v>
      </c>
      <c r="C86">
        <v>8</v>
      </c>
      <c r="D86">
        <v>3</v>
      </c>
      <c r="E86" s="4">
        <v>44672</v>
      </c>
      <c r="F86" t="s">
        <v>33</v>
      </c>
      <c r="G86" t="s">
        <v>37</v>
      </c>
      <c r="H86" t="s">
        <v>34</v>
      </c>
      <c r="I86" t="s">
        <v>172</v>
      </c>
      <c r="J86" t="s">
        <v>41</v>
      </c>
      <c r="K86" s="9">
        <v>1.1923611111111112</v>
      </c>
      <c r="L86">
        <v>3</v>
      </c>
      <c r="M86">
        <v>6</v>
      </c>
      <c r="N86">
        <v>0.5</v>
      </c>
      <c r="O86">
        <v>2</v>
      </c>
      <c r="P86">
        <v>4</v>
      </c>
      <c r="Q86">
        <v>0.5</v>
      </c>
      <c r="R86">
        <v>1</v>
      </c>
      <c r="S86">
        <v>2</v>
      </c>
      <c r="T86">
        <v>0.5</v>
      </c>
      <c r="U86">
        <v>0.66700000000000004</v>
      </c>
      <c r="V86">
        <v>1</v>
      </c>
      <c r="W86">
        <v>2</v>
      </c>
      <c r="X86">
        <v>0.5</v>
      </c>
      <c r="Y86">
        <v>1</v>
      </c>
      <c r="Z86">
        <v>5</v>
      </c>
      <c r="AA86">
        <v>6</v>
      </c>
      <c r="AB86">
        <v>1</v>
      </c>
      <c r="AC86">
        <v>1</v>
      </c>
      <c r="AD86">
        <v>0</v>
      </c>
      <c r="AE86">
        <v>1</v>
      </c>
      <c r="AF86">
        <v>2</v>
      </c>
      <c r="AG86">
        <v>9</v>
      </c>
      <c r="AH86">
        <v>7.7</v>
      </c>
      <c r="AI86">
        <v>-4</v>
      </c>
    </row>
    <row r="87" spans="1:35" ht="21" x14ac:dyDescent="0.3">
      <c r="A87" t="s">
        <v>554</v>
      </c>
      <c r="B87" s="11">
        <v>4</v>
      </c>
      <c r="C87">
        <v>9</v>
      </c>
      <c r="D87">
        <v>4</v>
      </c>
      <c r="E87" s="4">
        <v>44675</v>
      </c>
      <c r="F87" t="s">
        <v>33</v>
      </c>
      <c r="G87" t="s">
        <v>37</v>
      </c>
      <c r="H87" t="s">
        <v>34</v>
      </c>
      <c r="I87" t="s">
        <v>173</v>
      </c>
      <c r="J87" t="s">
        <v>41</v>
      </c>
      <c r="K87" s="9">
        <v>1.5493055555555555</v>
      </c>
      <c r="L87">
        <v>9</v>
      </c>
      <c r="M87">
        <v>16</v>
      </c>
      <c r="N87">
        <v>0.56299999999999994</v>
      </c>
      <c r="O87">
        <v>1</v>
      </c>
      <c r="P87">
        <v>3</v>
      </c>
      <c r="Q87">
        <v>0.33300000000000002</v>
      </c>
      <c r="R87">
        <v>8</v>
      </c>
      <c r="S87">
        <v>13</v>
      </c>
      <c r="T87">
        <v>0.61499999999999999</v>
      </c>
      <c r="U87">
        <v>0.59399999999999997</v>
      </c>
      <c r="V87">
        <v>1</v>
      </c>
      <c r="W87">
        <v>2</v>
      </c>
      <c r="X87">
        <v>0.5</v>
      </c>
      <c r="Y87">
        <v>3</v>
      </c>
      <c r="Z87">
        <v>3</v>
      </c>
      <c r="AA87">
        <v>6</v>
      </c>
      <c r="AB87">
        <v>1</v>
      </c>
      <c r="AC87">
        <v>2</v>
      </c>
      <c r="AD87">
        <v>2</v>
      </c>
      <c r="AE87">
        <v>1</v>
      </c>
      <c r="AF87">
        <v>2</v>
      </c>
      <c r="AG87">
        <v>20</v>
      </c>
      <c r="AH87">
        <v>17.3</v>
      </c>
      <c r="AI87">
        <v>5</v>
      </c>
    </row>
    <row r="88" spans="1:35" ht="21" x14ac:dyDescent="0.3">
      <c r="A88" t="s">
        <v>554</v>
      </c>
      <c r="B88" s="11">
        <v>5</v>
      </c>
      <c r="C88">
        <v>10</v>
      </c>
      <c r="D88">
        <v>5</v>
      </c>
      <c r="E88" s="4">
        <v>44678</v>
      </c>
      <c r="F88" t="s">
        <v>33</v>
      </c>
      <c r="H88" t="s">
        <v>34</v>
      </c>
      <c r="I88" t="s">
        <v>174</v>
      </c>
      <c r="J88" t="s">
        <v>41</v>
      </c>
      <c r="K88" s="7">
        <v>0.98124999999999996</v>
      </c>
      <c r="L88">
        <v>4</v>
      </c>
      <c r="M88">
        <v>9</v>
      </c>
      <c r="N88">
        <v>0.44400000000000001</v>
      </c>
      <c r="O88">
        <v>1</v>
      </c>
      <c r="P88">
        <v>1</v>
      </c>
      <c r="Q88">
        <v>1</v>
      </c>
      <c r="R88">
        <v>3</v>
      </c>
      <c r="S88">
        <v>8</v>
      </c>
      <c r="T88">
        <v>0.375</v>
      </c>
      <c r="U88">
        <v>0.5</v>
      </c>
      <c r="V88">
        <v>3</v>
      </c>
      <c r="W88">
        <v>5</v>
      </c>
      <c r="X88">
        <v>0.6</v>
      </c>
      <c r="Y88">
        <v>0</v>
      </c>
      <c r="Z88">
        <v>5</v>
      </c>
      <c r="AA88">
        <v>5</v>
      </c>
      <c r="AB88">
        <v>2</v>
      </c>
      <c r="AC88">
        <v>0</v>
      </c>
      <c r="AD88">
        <v>1</v>
      </c>
      <c r="AE88">
        <v>2</v>
      </c>
      <c r="AF88">
        <v>2</v>
      </c>
      <c r="AG88">
        <v>12</v>
      </c>
      <c r="AH88">
        <v>7.3</v>
      </c>
      <c r="AI88">
        <v>0</v>
      </c>
    </row>
    <row r="89" spans="1:35" ht="21" x14ac:dyDescent="0.3">
      <c r="A89" t="s">
        <v>554</v>
      </c>
      <c r="B89" s="11">
        <v>6</v>
      </c>
      <c r="C89">
        <v>11</v>
      </c>
      <c r="D89">
        <v>6</v>
      </c>
      <c r="E89" s="4">
        <v>44682</v>
      </c>
      <c r="F89" t="s">
        <v>33</v>
      </c>
      <c r="G89" t="s">
        <v>37</v>
      </c>
      <c r="H89" t="s">
        <v>42</v>
      </c>
      <c r="I89" t="s">
        <v>175</v>
      </c>
      <c r="J89" t="s">
        <v>41</v>
      </c>
      <c r="K89" s="9">
        <v>1.4319444444444445</v>
      </c>
      <c r="L89">
        <v>6</v>
      </c>
      <c r="M89">
        <v>14</v>
      </c>
      <c r="N89">
        <v>0.42899999999999999</v>
      </c>
      <c r="O89">
        <v>1</v>
      </c>
      <c r="P89">
        <v>5</v>
      </c>
      <c r="Q89">
        <v>0.2</v>
      </c>
      <c r="R89">
        <v>5</v>
      </c>
      <c r="S89">
        <v>9</v>
      </c>
      <c r="T89">
        <v>0.55600000000000005</v>
      </c>
      <c r="U89">
        <v>0.46400000000000002</v>
      </c>
      <c r="V89">
        <v>4</v>
      </c>
      <c r="W89">
        <v>7</v>
      </c>
      <c r="X89">
        <v>0.57099999999999995</v>
      </c>
      <c r="Y89">
        <v>3</v>
      </c>
      <c r="Z89">
        <v>5</v>
      </c>
      <c r="AA89">
        <v>8</v>
      </c>
      <c r="AB89">
        <v>1</v>
      </c>
      <c r="AC89">
        <v>0</v>
      </c>
      <c r="AD89">
        <v>0</v>
      </c>
      <c r="AE89">
        <v>1</v>
      </c>
      <c r="AF89">
        <v>3</v>
      </c>
      <c r="AG89">
        <v>17</v>
      </c>
      <c r="AH89">
        <v>10.5</v>
      </c>
      <c r="AI89">
        <v>0</v>
      </c>
    </row>
    <row r="90" spans="1:35" ht="21" x14ac:dyDescent="0.3">
      <c r="A90" t="s">
        <v>554</v>
      </c>
      <c r="B90" s="11">
        <v>7</v>
      </c>
      <c r="C90">
        <v>12</v>
      </c>
      <c r="D90">
        <v>7</v>
      </c>
      <c r="E90" s="4">
        <v>44684</v>
      </c>
      <c r="F90" t="s">
        <v>33</v>
      </c>
      <c r="G90" t="s">
        <v>37</v>
      </c>
      <c r="H90" t="s">
        <v>42</v>
      </c>
      <c r="I90" t="s">
        <v>176</v>
      </c>
      <c r="J90" t="s">
        <v>41</v>
      </c>
      <c r="K90" s="9">
        <v>1.5874999999999999</v>
      </c>
      <c r="L90">
        <v>6</v>
      </c>
      <c r="M90">
        <v>16</v>
      </c>
      <c r="N90">
        <v>0.375</v>
      </c>
      <c r="O90">
        <v>1</v>
      </c>
      <c r="P90">
        <v>7</v>
      </c>
      <c r="Q90">
        <v>0.14299999999999999</v>
      </c>
      <c r="R90">
        <v>5</v>
      </c>
      <c r="S90">
        <v>9</v>
      </c>
      <c r="T90">
        <v>0.55600000000000005</v>
      </c>
      <c r="U90">
        <v>0.40600000000000003</v>
      </c>
      <c r="V90">
        <v>3</v>
      </c>
      <c r="W90">
        <v>4</v>
      </c>
      <c r="X90">
        <v>0.75</v>
      </c>
      <c r="Y90">
        <v>5</v>
      </c>
      <c r="Z90">
        <v>4</v>
      </c>
      <c r="AA90">
        <v>9</v>
      </c>
      <c r="AB90">
        <v>2</v>
      </c>
      <c r="AC90">
        <v>1</v>
      </c>
      <c r="AD90">
        <v>1</v>
      </c>
      <c r="AE90">
        <v>3</v>
      </c>
      <c r="AF90">
        <v>3</v>
      </c>
      <c r="AG90">
        <v>16</v>
      </c>
      <c r="AH90">
        <v>10.4</v>
      </c>
      <c r="AI90">
        <v>3</v>
      </c>
    </row>
    <row r="91" spans="1:35" ht="21" x14ac:dyDescent="0.3">
      <c r="A91" t="s">
        <v>554</v>
      </c>
      <c r="B91" s="11">
        <v>8</v>
      </c>
      <c r="C91">
        <v>13</v>
      </c>
      <c r="D91">
        <v>8</v>
      </c>
      <c r="E91" s="4">
        <v>44688</v>
      </c>
      <c r="F91" t="s">
        <v>33</v>
      </c>
      <c r="H91" t="s">
        <v>42</v>
      </c>
      <c r="I91" t="s">
        <v>177</v>
      </c>
      <c r="J91" t="s">
        <v>41</v>
      </c>
      <c r="K91" s="9">
        <v>1.0687500000000001</v>
      </c>
      <c r="L91">
        <v>7</v>
      </c>
      <c r="M91">
        <v>10</v>
      </c>
      <c r="N91">
        <v>0.7</v>
      </c>
      <c r="O91">
        <v>2</v>
      </c>
      <c r="P91">
        <v>2</v>
      </c>
      <c r="Q91">
        <v>1</v>
      </c>
      <c r="R91">
        <v>5</v>
      </c>
      <c r="S91">
        <v>8</v>
      </c>
      <c r="T91">
        <v>0.625</v>
      </c>
      <c r="U91">
        <v>0.8</v>
      </c>
      <c r="V91">
        <v>1</v>
      </c>
      <c r="W91">
        <v>1</v>
      </c>
      <c r="X91">
        <v>1</v>
      </c>
      <c r="Y91">
        <v>1</v>
      </c>
      <c r="Z91">
        <v>2</v>
      </c>
      <c r="AA91">
        <v>3</v>
      </c>
      <c r="AB91">
        <v>1</v>
      </c>
      <c r="AC91">
        <v>2</v>
      </c>
      <c r="AD91">
        <v>1</v>
      </c>
      <c r="AE91">
        <v>0</v>
      </c>
      <c r="AF91">
        <v>5</v>
      </c>
      <c r="AG91">
        <v>17</v>
      </c>
      <c r="AH91">
        <v>15.5</v>
      </c>
      <c r="AI91">
        <v>3</v>
      </c>
    </row>
    <row r="92" spans="1:35" ht="21" x14ac:dyDescent="0.3">
      <c r="A92" t="s">
        <v>554</v>
      </c>
      <c r="B92" s="11">
        <v>9</v>
      </c>
      <c r="C92">
        <v>14</v>
      </c>
      <c r="D92">
        <v>9</v>
      </c>
      <c r="E92" s="4">
        <v>44690</v>
      </c>
      <c r="F92" t="s">
        <v>33</v>
      </c>
      <c r="H92" t="s">
        <v>42</v>
      </c>
      <c r="I92" t="s">
        <v>178</v>
      </c>
      <c r="J92" t="s">
        <v>41</v>
      </c>
      <c r="K92" s="9">
        <v>1.6430555555555555</v>
      </c>
      <c r="L92">
        <v>7</v>
      </c>
      <c r="M92">
        <v>13</v>
      </c>
      <c r="N92">
        <v>0.53800000000000003</v>
      </c>
      <c r="O92">
        <v>1</v>
      </c>
      <c r="P92">
        <v>5</v>
      </c>
      <c r="Q92">
        <v>0.2</v>
      </c>
      <c r="R92">
        <v>6</v>
      </c>
      <c r="S92">
        <v>8</v>
      </c>
      <c r="T92">
        <v>0.75</v>
      </c>
      <c r="U92">
        <v>0.57699999999999996</v>
      </c>
      <c r="V92">
        <v>2</v>
      </c>
      <c r="W92">
        <v>3</v>
      </c>
      <c r="X92">
        <v>0.66700000000000004</v>
      </c>
      <c r="Y92">
        <v>5</v>
      </c>
      <c r="Z92">
        <v>5</v>
      </c>
      <c r="AA92">
        <v>10</v>
      </c>
      <c r="AB92">
        <v>1</v>
      </c>
      <c r="AC92">
        <v>1</v>
      </c>
      <c r="AD92">
        <v>2</v>
      </c>
      <c r="AE92">
        <v>2</v>
      </c>
      <c r="AF92">
        <v>0</v>
      </c>
      <c r="AG92">
        <v>17</v>
      </c>
      <c r="AH92">
        <v>16.399999999999999</v>
      </c>
      <c r="AI92">
        <v>12</v>
      </c>
    </row>
    <row r="93" spans="1:35" ht="21" x14ac:dyDescent="0.3">
      <c r="A93" t="s">
        <v>554</v>
      </c>
      <c r="B93" s="11">
        <v>10</v>
      </c>
      <c r="C93">
        <v>15</v>
      </c>
      <c r="D93">
        <v>10</v>
      </c>
      <c r="E93" s="4">
        <v>44692</v>
      </c>
      <c r="F93" t="s">
        <v>33</v>
      </c>
      <c r="G93" t="s">
        <v>37</v>
      </c>
      <c r="H93" t="s">
        <v>42</v>
      </c>
      <c r="I93" t="s">
        <v>179</v>
      </c>
      <c r="J93" t="s">
        <v>41</v>
      </c>
      <c r="K93" s="7">
        <v>0.80902777777777779</v>
      </c>
      <c r="L93">
        <v>2</v>
      </c>
      <c r="M93">
        <v>6</v>
      </c>
      <c r="N93">
        <v>0.33300000000000002</v>
      </c>
      <c r="O93">
        <v>1</v>
      </c>
      <c r="P93">
        <v>3</v>
      </c>
      <c r="Q93">
        <v>0.33300000000000002</v>
      </c>
      <c r="R93">
        <v>1</v>
      </c>
      <c r="S93">
        <v>3</v>
      </c>
      <c r="T93">
        <v>0.33300000000000002</v>
      </c>
      <c r="U93">
        <v>0.41699999999999998</v>
      </c>
      <c r="V93">
        <v>0</v>
      </c>
      <c r="W93">
        <v>0</v>
      </c>
      <c r="Y93">
        <v>0</v>
      </c>
      <c r="Z93">
        <v>1</v>
      </c>
      <c r="AA93">
        <v>1</v>
      </c>
      <c r="AB93">
        <v>0</v>
      </c>
      <c r="AC93">
        <v>0</v>
      </c>
      <c r="AD93">
        <v>1</v>
      </c>
      <c r="AE93">
        <v>1</v>
      </c>
      <c r="AF93">
        <v>3</v>
      </c>
      <c r="AG93">
        <v>5</v>
      </c>
      <c r="AH93">
        <v>0.4</v>
      </c>
      <c r="AI93">
        <v>-23</v>
      </c>
    </row>
    <row r="94" spans="1:35" ht="21" x14ac:dyDescent="0.3">
      <c r="A94" t="s">
        <v>554</v>
      </c>
      <c r="B94" s="11">
        <v>11</v>
      </c>
      <c r="C94">
        <v>16</v>
      </c>
      <c r="D94">
        <v>11</v>
      </c>
      <c r="E94" s="4">
        <v>44694</v>
      </c>
      <c r="F94" t="s">
        <v>33</v>
      </c>
      <c r="H94" t="s">
        <v>42</v>
      </c>
      <c r="I94" t="s">
        <v>180</v>
      </c>
      <c r="J94" t="s">
        <v>41</v>
      </c>
      <c r="K94" s="9">
        <v>1.7208333333333334</v>
      </c>
      <c r="L94">
        <v>7</v>
      </c>
      <c r="M94">
        <v>16</v>
      </c>
      <c r="N94">
        <v>0.438</v>
      </c>
      <c r="O94">
        <v>3</v>
      </c>
      <c r="P94">
        <v>5</v>
      </c>
      <c r="Q94">
        <v>0.6</v>
      </c>
      <c r="R94">
        <v>4</v>
      </c>
      <c r="S94">
        <v>11</v>
      </c>
      <c r="T94">
        <v>0.36399999999999999</v>
      </c>
      <c r="U94">
        <v>0.53100000000000003</v>
      </c>
      <c r="V94">
        <v>1</v>
      </c>
      <c r="W94">
        <v>2</v>
      </c>
      <c r="X94">
        <v>0.5</v>
      </c>
      <c r="Y94">
        <v>6</v>
      </c>
      <c r="Z94">
        <v>5</v>
      </c>
      <c r="AA94">
        <v>11</v>
      </c>
      <c r="AB94">
        <v>0</v>
      </c>
      <c r="AC94">
        <v>1</v>
      </c>
      <c r="AD94">
        <v>3</v>
      </c>
      <c r="AE94">
        <v>2</v>
      </c>
      <c r="AF94">
        <v>2</v>
      </c>
      <c r="AG94">
        <v>18</v>
      </c>
      <c r="AH94">
        <v>15.2</v>
      </c>
      <c r="AI94">
        <v>20</v>
      </c>
    </row>
    <row r="95" spans="1:35" ht="21" x14ac:dyDescent="0.3">
      <c r="A95" t="s">
        <v>554</v>
      </c>
      <c r="B95" s="11">
        <v>12</v>
      </c>
      <c r="C95">
        <v>17</v>
      </c>
      <c r="D95">
        <v>12</v>
      </c>
      <c r="E95" s="4">
        <v>44699</v>
      </c>
      <c r="F95" t="s">
        <v>33</v>
      </c>
      <c r="H95" t="s">
        <v>49</v>
      </c>
      <c r="I95" t="s">
        <v>181</v>
      </c>
      <c r="J95" t="s">
        <v>41</v>
      </c>
      <c r="K95" s="9">
        <v>1.4645833333333333</v>
      </c>
      <c r="L95">
        <v>8</v>
      </c>
      <c r="M95">
        <v>17</v>
      </c>
      <c r="N95">
        <v>0.47099999999999997</v>
      </c>
      <c r="O95">
        <v>3</v>
      </c>
      <c r="P95">
        <v>8</v>
      </c>
      <c r="Q95">
        <v>0.375</v>
      </c>
      <c r="R95">
        <v>5</v>
      </c>
      <c r="S95">
        <v>9</v>
      </c>
      <c r="T95">
        <v>0.55600000000000005</v>
      </c>
      <c r="U95">
        <v>0.55900000000000005</v>
      </c>
      <c r="V95">
        <v>0</v>
      </c>
      <c r="W95">
        <v>2</v>
      </c>
      <c r="X95">
        <v>0</v>
      </c>
      <c r="Y95">
        <v>1</v>
      </c>
      <c r="Z95">
        <v>4</v>
      </c>
      <c r="AA95">
        <v>5</v>
      </c>
      <c r="AB95">
        <v>3</v>
      </c>
      <c r="AC95">
        <v>1</v>
      </c>
      <c r="AD95">
        <v>1</v>
      </c>
      <c r="AE95">
        <v>2</v>
      </c>
      <c r="AF95">
        <v>3</v>
      </c>
      <c r="AG95">
        <v>19</v>
      </c>
      <c r="AH95">
        <v>12</v>
      </c>
      <c r="AI95">
        <v>28</v>
      </c>
    </row>
    <row r="96" spans="1:35" ht="21" x14ac:dyDescent="0.3">
      <c r="A96" t="s">
        <v>554</v>
      </c>
      <c r="B96" s="11">
        <v>13</v>
      </c>
      <c r="C96">
        <v>18</v>
      </c>
      <c r="D96">
        <v>13</v>
      </c>
      <c r="E96" s="4">
        <v>44701</v>
      </c>
      <c r="F96" t="s">
        <v>33</v>
      </c>
      <c r="H96" t="s">
        <v>49</v>
      </c>
      <c r="I96" t="s">
        <v>182</v>
      </c>
      <c r="J96" t="s">
        <v>41</v>
      </c>
      <c r="K96" s="9">
        <v>1.5833333333333333</v>
      </c>
      <c r="L96">
        <v>5</v>
      </c>
      <c r="M96">
        <v>14</v>
      </c>
      <c r="N96">
        <v>0.35699999999999998</v>
      </c>
      <c r="O96">
        <v>3</v>
      </c>
      <c r="P96">
        <v>5</v>
      </c>
      <c r="Q96">
        <v>0.6</v>
      </c>
      <c r="R96">
        <v>2</v>
      </c>
      <c r="S96">
        <v>9</v>
      </c>
      <c r="T96">
        <v>0.222</v>
      </c>
      <c r="U96">
        <v>0.46400000000000002</v>
      </c>
      <c r="V96">
        <v>3</v>
      </c>
      <c r="W96">
        <v>6</v>
      </c>
      <c r="X96">
        <v>0.5</v>
      </c>
      <c r="Y96">
        <v>2</v>
      </c>
      <c r="Z96">
        <v>3</v>
      </c>
      <c r="AA96">
        <v>5</v>
      </c>
      <c r="AB96">
        <v>5</v>
      </c>
      <c r="AC96">
        <v>1</v>
      </c>
      <c r="AD96">
        <v>1</v>
      </c>
      <c r="AE96">
        <v>1</v>
      </c>
      <c r="AF96">
        <v>4</v>
      </c>
      <c r="AG96">
        <v>16</v>
      </c>
      <c r="AH96">
        <v>11.9</v>
      </c>
      <c r="AI96">
        <v>16</v>
      </c>
    </row>
    <row r="97" spans="1:35" ht="21" x14ac:dyDescent="0.3">
      <c r="A97" t="s">
        <v>554</v>
      </c>
      <c r="B97" s="11">
        <v>14</v>
      </c>
      <c r="C97">
        <v>19</v>
      </c>
      <c r="D97">
        <v>14</v>
      </c>
      <c r="E97" s="4">
        <v>44703</v>
      </c>
      <c r="F97" t="s">
        <v>33</v>
      </c>
      <c r="G97" t="s">
        <v>37</v>
      </c>
      <c r="H97" t="s">
        <v>49</v>
      </c>
      <c r="I97" t="s">
        <v>183</v>
      </c>
      <c r="J97" t="s">
        <v>41</v>
      </c>
      <c r="K97" s="9">
        <v>1.6590277777777778</v>
      </c>
      <c r="L97">
        <v>11</v>
      </c>
      <c r="M97">
        <v>20</v>
      </c>
      <c r="N97">
        <v>0.55000000000000004</v>
      </c>
      <c r="O97">
        <v>1</v>
      </c>
      <c r="P97">
        <v>5</v>
      </c>
      <c r="Q97">
        <v>0.2</v>
      </c>
      <c r="R97">
        <v>10</v>
      </c>
      <c r="S97">
        <v>15</v>
      </c>
      <c r="T97">
        <v>0.66700000000000004</v>
      </c>
      <c r="U97">
        <v>0.57499999999999996</v>
      </c>
      <c r="V97">
        <v>4</v>
      </c>
      <c r="W97">
        <v>5</v>
      </c>
      <c r="X97">
        <v>0.8</v>
      </c>
      <c r="Y97">
        <v>6</v>
      </c>
      <c r="Z97">
        <v>5</v>
      </c>
      <c r="AA97">
        <v>11</v>
      </c>
      <c r="AB97">
        <v>3</v>
      </c>
      <c r="AC97">
        <v>0</v>
      </c>
      <c r="AD97">
        <v>0</v>
      </c>
      <c r="AE97">
        <v>0</v>
      </c>
      <c r="AF97">
        <v>4</v>
      </c>
      <c r="AG97">
        <v>27</v>
      </c>
      <c r="AH97">
        <v>23.2</v>
      </c>
      <c r="AI97">
        <v>22</v>
      </c>
    </row>
    <row r="98" spans="1:35" ht="21" x14ac:dyDescent="0.3">
      <c r="A98" t="s">
        <v>554</v>
      </c>
      <c r="B98" s="11">
        <v>15</v>
      </c>
      <c r="C98">
        <v>20</v>
      </c>
      <c r="D98">
        <v>15</v>
      </c>
      <c r="E98" s="4">
        <v>44705</v>
      </c>
      <c r="F98" t="s">
        <v>33</v>
      </c>
      <c r="G98" t="s">
        <v>37</v>
      </c>
      <c r="H98" t="s">
        <v>49</v>
      </c>
      <c r="I98" t="s">
        <v>184</v>
      </c>
      <c r="J98" t="s">
        <v>41</v>
      </c>
      <c r="K98" s="9">
        <v>1.2722222222222221</v>
      </c>
      <c r="L98">
        <v>5</v>
      </c>
      <c r="M98">
        <v>11</v>
      </c>
      <c r="N98">
        <v>0.45500000000000002</v>
      </c>
      <c r="O98">
        <v>1</v>
      </c>
      <c r="P98">
        <v>3</v>
      </c>
      <c r="Q98">
        <v>0.33300000000000002</v>
      </c>
      <c r="R98">
        <v>4</v>
      </c>
      <c r="S98">
        <v>8</v>
      </c>
      <c r="T98">
        <v>0.5</v>
      </c>
      <c r="U98">
        <v>0.5</v>
      </c>
      <c r="V98">
        <v>2</v>
      </c>
      <c r="W98">
        <v>2</v>
      </c>
      <c r="X98">
        <v>1</v>
      </c>
      <c r="Y98">
        <v>3</v>
      </c>
      <c r="Z98">
        <v>2</v>
      </c>
      <c r="AA98">
        <v>5</v>
      </c>
      <c r="AB98">
        <v>1</v>
      </c>
      <c r="AC98">
        <v>0</v>
      </c>
      <c r="AD98">
        <v>0</v>
      </c>
      <c r="AE98">
        <v>0</v>
      </c>
      <c r="AF98">
        <v>3</v>
      </c>
      <c r="AG98">
        <v>13</v>
      </c>
      <c r="AH98">
        <v>9.5</v>
      </c>
      <c r="AI98">
        <v>-20</v>
      </c>
    </row>
    <row r="99" spans="1:35" ht="21" x14ac:dyDescent="0.3">
      <c r="A99" t="s">
        <v>554</v>
      </c>
      <c r="B99" s="11">
        <v>16</v>
      </c>
      <c r="C99">
        <v>21</v>
      </c>
      <c r="D99">
        <v>16</v>
      </c>
      <c r="E99" s="4">
        <v>44707</v>
      </c>
      <c r="F99" t="s">
        <v>33</v>
      </c>
      <c r="H99" t="s">
        <v>49</v>
      </c>
      <c r="I99" t="s">
        <v>185</v>
      </c>
      <c r="J99" t="s">
        <v>41</v>
      </c>
      <c r="K99" s="9">
        <v>1.66875</v>
      </c>
      <c r="L99">
        <v>7</v>
      </c>
      <c r="M99">
        <v>16</v>
      </c>
      <c r="N99">
        <v>0.438</v>
      </c>
      <c r="O99">
        <v>0</v>
      </c>
      <c r="P99">
        <v>7</v>
      </c>
      <c r="Q99">
        <v>0</v>
      </c>
      <c r="R99">
        <v>7</v>
      </c>
      <c r="S99">
        <v>9</v>
      </c>
      <c r="T99">
        <v>0.77800000000000002</v>
      </c>
      <c r="U99">
        <v>0.438</v>
      </c>
      <c r="V99">
        <v>4</v>
      </c>
      <c r="W99">
        <v>4</v>
      </c>
      <c r="X99">
        <v>1</v>
      </c>
      <c r="Y99">
        <v>3</v>
      </c>
      <c r="Z99">
        <v>7</v>
      </c>
      <c r="AA99">
        <v>10</v>
      </c>
      <c r="AB99">
        <v>2</v>
      </c>
      <c r="AC99">
        <v>1</v>
      </c>
      <c r="AD99">
        <v>0</v>
      </c>
      <c r="AE99">
        <v>1</v>
      </c>
      <c r="AF99">
        <v>1</v>
      </c>
      <c r="AG99">
        <v>18</v>
      </c>
      <c r="AH99">
        <v>14.8</v>
      </c>
      <c r="AI99">
        <v>9</v>
      </c>
    </row>
    <row r="100" spans="1:35" ht="21" x14ac:dyDescent="0.3">
      <c r="A100" t="s">
        <v>554</v>
      </c>
      <c r="B100" s="11">
        <v>17</v>
      </c>
      <c r="C100">
        <v>22</v>
      </c>
      <c r="D100">
        <v>17</v>
      </c>
      <c r="E100" s="4">
        <v>44714</v>
      </c>
      <c r="F100" t="s">
        <v>33</v>
      </c>
      <c r="H100" t="s">
        <v>55</v>
      </c>
      <c r="I100" t="s">
        <v>186</v>
      </c>
      <c r="J100" t="s">
        <v>41</v>
      </c>
      <c r="K100" s="9">
        <v>1.4548611111111112</v>
      </c>
      <c r="L100">
        <v>8</v>
      </c>
      <c r="M100">
        <v>15</v>
      </c>
      <c r="N100">
        <v>0.53300000000000003</v>
      </c>
      <c r="O100">
        <v>2</v>
      </c>
      <c r="P100">
        <v>7</v>
      </c>
      <c r="Q100">
        <v>0.28599999999999998</v>
      </c>
      <c r="R100">
        <v>6</v>
      </c>
      <c r="S100">
        <v>8</v>
      </c>
      <c r="T100">
        <v>0.75</v>
      </c>
      <c r="U100">
        <v>0.6</v>
      </c>
      <c r="V100">
        <v>2</v>
      </c>
      <c r="W100">
        <v>2</v>
      </c>
      <c r="X100">
        <v>1</v>
      </c>
      <c r="Y100">
        <v>1</v>
      </c>
      <c r="Z100">
        <v>4</v>
      </c>
      <c r="AA100">
        <v>5</v>
      </c>
      <c r="AB100">
        <v>0</v>
      </c>
      <c r="AC100">
        <v>1</v>
      </c>
      <c r="AD100">
        <v>3</v>
      </c>
      <c r="AE100">
        <v>1</v>
      </c>
      <c r="AF100">
        <v>3</v>
      </c>
      <c r="AG100">
        <v>20</v>
      </c>
      <c r="AH100">
        <v>15.5</v>
      </c>
      <c r="AI100">
        <v>-11</v>
      </c>
    </row>
    <row r="101" spans="1:35" ht="21" x14ac:dyDescent="0.3">
      <c r="A101" t="s">
        <v>554</v>
      </c>
      <c r="B101" s="11">
        <v>18</v>
      </c>
      <c r="C101">
        <v>23</v>
      </c>
      <c r="D101">
        <v>18</v>
      </c>
      <c r="E101" s="4">
        <v>44717</v>
      </c>
      <c r="F101" t="s">
        <v>33</v>
      </c>
      <c r="H101" t="s">
        <v>55</v>
      </c>
      <c r="I101" t="s">
        <v>187</v>
      </c>
      <c r="J101" t="s">
        <v>41</v>
      </c>
      <c r="K101" s="9">
        <v>1.2708333333333333</v>
      </c>
      <c r="L101">
        <v>4</v>
      </c>
      <c r="M101">
        <v>12</v>
      </c>
      <c r="N101">
        <v>0.33300000000000002</v>
      </c>
      <c r="O101">
        <v>2</v>
      </c>
      <c r="P101">
        <v>3</v>
      </c>
      <c r="Q101">
        <v>0.66700000000000004</v>
      </c>
      <c r="R101">
        <v>2</v>
      </c>
      <c r="S101">
        <v>9</v>
      </c>
      <c r="T101">
        <v>0.222</v>
      </c>
      <c r="U101">
        <v>0.41699999999999998</v>
      </c>
      <c r="V101">
        <v>1</v>
      </c>
      <c r="W101">
        <v>2</v>
      </c>
      <c r="X101">
        <v>0.5</v>
      </c>
      <c r="Y101">
        <v>3</v>
      </c>
      <c r="Z101">
        <v>3</v>
      </c>
      <c r="AA101">
        <v>6</v>
      </c>
      <c r="AB101">
        <v>2</v>
      </c>
      <c r="AC101">
        <v>0</v>
      </c>
      <c r="AD101">
        <v>0</v>
      </c>
      <c r="AE101">
        <v>2</v>
      </c>
      <c r="AF101">
        <v>2</v>
      </c>
      <c r="AG101">
        <v>11</v>
      </c>
      <c r="AH101">
        <v>5.4</v>
      </c>
      <c r="AI101">
        <v>19</v>
      </c>
    </row>
    <row r="102" spans="1:35" ht="21" x14ac:dyDescent="0.3">
      <c r="A102" t="s">
        <v>554</v>
      </c>
      <c r="B102" s="11">
        <v>19</v>
      </c>
      <c r="C102">
        <v>24</v>
      </c>
      <c r="D102">
        <v>19</v>
      </c>
      <c r="E102" s="4">
        <v>44720</v>
      </c>
      <c r="F102" t="s">
        <v>33</v>
      </c>
      <c r="G102" t="s">
        <v>37</v>
      </c>
      <c r="H102" t="s">
        <v>55</v>
      </c>
      <c r="I102" t="s">
        <v>188</v>
      </c>
      <c r="J102" t="s">
        <v>41</v>
      </c>
      <c r="K102" s="9">
        <v>1.6819444444444445</v>
      </c>
      <c r="L102">
        <v>7</v>
      </c>
      <c r="M102">
        <v>16</v>
      </c>
      <c r="N102">
        <v>0.438</v>
      </c>
      <c r="O102">
        <v>1</v>
      </c>
      <c r="P102">
        <v>6</v>
      </c>
      <c r="Q102">
        <v>0.16700000000000001</v>
      </c>
      <c r="R102">
        <v>6</v>
      </c>
      <c r="S102">
        <v>10</v>
      </c>
      <c r="T102">
        <v>0.6</v>
      </c>
      <c r="U102">
        <v>0.46899999999999997</v>
      </c>
      <c r="V102">
        <v>3</v>
      </c>
      <c r="W102">
        <v>4</v>
      </c>
      <c r="X102">
        <v>0.75</v>
      </c>
      <c r="Y102">
        <v>1</v>
      </c>
      <c r="Z102">
        <v>6</v>
      </c>
      <c r="AA102">
        <v>7</v>
      </c>
      <c r="AB102">
        <v>2</v>
      </c>
      <c r="AC102">
        <v>2</v>
      </c>
      <c r="AD102">
        <v>2</v>
      </c>
      <c r="AE102">
        <v>3</v>
      </c>
      <c r="AF102">
        <v>4</v>
      </c>
      <c r="AG102">
        <v>18</v>
      </c>
      <c r="AH102">
        <v>11.9</v>
      </c>
      <c r="AI102">
        <v>-16</v>
      </c>
    </row>
    <row r="103" spans="1:35" ht="21" x14ac:dyDescent="0.3">
      <c r="A103" t="s">
        <v>554</v>
      </c>
      <c r="B103" s="11">
        <v>20</v>
      </c>
      <c r="C103">
        <v>25</v>
      </c>
      <c r="D103">
        <v>20</v>
      </c>
      <c r="E103" s="4">
        <v>44722</v>
      </c>
      <c r="F103" t="s">
        <v>33</v>
      </c>
      <c r="G103" t="s">
        <v>37</v>
      </c>
      <c r="H103" t="s">
        <v>55</v>
      </c>
      <c r="I103" t="s">
        <v>189</v>
      </c>
      <c r="J103" t="s">
        <v>41</v>
      </c>
      <c r="K103" s="9">
        <v>1.8090277777777777</v>
      </c>
      <c r="L103">
        <v>7</v>
      </c>
      <c r="M103">
        <v>17</v>
      </c>
      <c r="N103">
        <v>0.41199999999999998</v>
      </c>
      <c r="O103">
        <v>2</v>
      </c>
      <c r="P103">
        <v>6</v>
      </c>
      <c r="Q103">
        <v>0.33300000000000002</v>
      </c>
      <c r="R103">
        <v>5</v>
      </c>
      <c r="S103">
        <v>11</v>
      </c>
      <c r="T103">
        <v>0.45500000000000002</v>
      </c>
      <c r="U103">
        <v>0.47099999999999997</v>
      </c>
      <c r="V103">
        <v>1</v>
      </c>
      <c r="W103">
        <v>2</v>
      </c>
      <c r="X103">
        <v>0.5</v>
      </c>
      <c r="Y103">
        <v>3</v>
      </c>
      <c r="Z103">
        <v>13</v>
      </c>
      <c r="AA103">
        <v>16</v>
      </c>
      <c r="AB103">
        <v>2</v>
      </c>
      <c r="AC103">
        <v>1</v>
      </c>
      <c r="AD103">
        <v>0</v>
      </c>
      <c r="AE103">
        <v>2</v>
      </c>
      <c r="AF103">
        <v>2</v>
      </c>
      <c r="AG103">
        <v>17</v>
      </c>
      <c r="AH103">
        <v>13.1</v>
      </c>
      <c r="AI103">
        <v>20</v>
      </c>
    </row>
    <row r="104" spans="1:35" ht="21" x14ac:dyDescent="0.3">
      <c r="A104" t="s">
        <v>554</v>
      </c>
      <c r="B104" s="11">
        <v>21</v>
      </c>
      <c r="C104">
        <v>26</v>
      </c>
      <c r="D104">
        <v>21</v>
      </c>
      <c r="E104" s="4">
        <v>44725</v>
      </c>
      <c r="F104" t="s">
        <v>33</v>
      </c>
      <c r="H104" t="s">
        <v>55</v>
      </c>
      <c r="I104" t="s">
        <v>106</v>
      </c>
      <c r="J104" t="s">
        <v>41</v>
      </c>
      <c r="K104" s="9">
        <v>1.7722222222222221</v>
      </c>
      <c r="L104">
        <v>12</v>
      </c>
      <c r="M104">
        <v>23</v>
      </c>
      <c r="N104">
        <v>0.52200000000000002</v>
      </c>
      <c r="O104">
        <v>0</v>
      </c>
      <c r="P104">
        <v>6</v>
      </c>
      <c r="Q104">
        <v>0</v>
      </c>
      <c r="R104">
        <v>12</v>
      </c>
      <c r="S104">
        <v>17</v>
      </c>
      <c r="T104">
        <v>0.70599999999999996</v>
      </c>
      <c r="U104">
        <v>0.52200000000000002</v>
      </c>
      <c r="V104">
        <v>2</v>
      </c>
      <c r="W104">
        <v>3</v>
      </c>
      <c r="X104">
        <v>0.66700000000000004</v>
      </c>
      <c r="Y104">
        <v>1</v>
      </c>
      <c r="Z104">
        <v>12</v>
      </c>
      <c r="AA104">
        <v>13</v>
      </c>
      <c r="AB104">
        <v>2</v>
      </c>
      <c r="AC104">
        <v>1</v>
      </c>
      <c r="AD104">
        <v>1</v>
      </c>
      <c r="AE104">
        <v>0</v>
      </c>
      <c r="AF104">
        <v>2</v>
      </c>
      <c r="AG104">
        <v>26</v>
      </c>
      <c r="AH104">
        <v>20.9</v>
      </c>
      <c r="AI104">
        <v>12</v>
      </c>
    </row>
    <row r="105" spans="1:35" ht="21" x14ac:dyDescent="0.3">
      <c r="A105" t="s">
        <v>554</v>
      </c>
      <c r="B105" s="11">
        <v>22</v>
      </c>
      <c r="C105">
        <v>27</v>
      </c>
      <c r="D105">
        <v>22</v>
      </c>
      <c r="E105" s="4">
        <v>44728</v>
      </c>
      <c r="F105" t="s">
        <v>33</v>
      </c>
      <c r="G105" t="s">
        <v>37</v>
      </c>
      <c r="H105" t="s">
        <v>55</v>
      </c>
      <c r="I105" t="s">
        <v>190</v>
      </c>
      <c r="J105" t="s">
        <v>41</v>
      </c>
      <c r="K105" s="9">
        <v>1.820138888888889</v>
      </c>
      <c r="L105">
        <v>7</v>
      </c>
      <c r="M105">
        <v>18</v>
      </c>
      <c r="N105">
        <v>0.38900000000000001</v>
      </c>
      <c r="O105">
        <v>4</v>
      </c>
      <c r="P105">
        <v>9</v>
      </c>
      <c r="Q105">
        <v>0.44400000000000001</v>
      </c>
      <c r="R105">
        <v>3</v>
      </c>
      <c r="S105">
        <v>9</v>
      </c>
      <c r="T105">
        <v>0.33300000000000002</v>
      </c>
      <c r="U105">
        <v>0.5</v>
      </c>
      <c r="V105">
        <v>0</v>
      </c>
      <c r="W105">
        <v>0</v>
      </c>
      <c r="Y105">
        <v>3</v>
      </c>
      <c r="Z105">
        <v>3</v>
      </c>
      <c r="AA105">
        <v>6</v>
      </c>
      <c r="AB105">
        <v>5</v>
      </c>
      <c r="AC105">
        <v>4</v>
      </c>
      <c r="AD105">
        <v>3</v>
      </c>
      <c r="AE105">
        <v>3</v>
      </c>
      <c r="AF105">
        <v>0</v>
      </c>
      <c r="AG105">
        <v>18</v>
      </c>
      <c r="AH105">
        <v>17.8</v>
      </c>
      <c r="AI10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CBFB-6DE5-B74B-AB28-2E2F6EE4D1B9}">
  <dimension ref="A1:AI83"/>
  <sheetViews>
    <sheetView workbookViewId="0">
      <selection activeCell="H2" sqref="H2:H83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553</v>
      </c>
      <c r="B2" s="11">
        <v>1</v>
      </c>
      <c r="C2">
        <v>565</v>
      </c>
      <c r="D2">
        <v>1</v>
      </c>
      <c r="E2" s="4">
        <v>44488</v>
      </c>
      <c r="F2" t="s">
        <v>62</v>
      </c>
      <c r="H2" t="s">
        <v>33</v>
      </c>
      <c r="I2" t="s">
        <v>191</v>
      </c>
      <c r="J2" t="s">
        <v>41</v>
      </c>
      <c r="K2" s="9">
        <v>1.6215277777777777</v>
      </c>
      <c r="L2">
        <v>15</v>
      </c>
      <c r="M2">
        <v>26</v>
      </c>
      <c r="N2">
        <v>0.57699999999999996</v>
      </c>
      <c r="O2">
        <v>1</v>
      </c>
      <c r="P2">
        <v>5</v>
      </c>
      <c r="Q2">
        <v>0.2</v>
      </c>
      <c r="R2">
        <v>14</v>
      </c>
      <c r="S2">
        <v>21</v>
      </c>
      <c r="T2">
        <v>0.66700000000000004</v>
      </c>
      <c r="U2">
        <v>0.59599999999999997</v>
      </c>
      <c r="V2">
        <v>2</v>
      </c>
      <c r="W2">
        <v>7</v>
      </c>
      <c r="X2">
        <v>0.28599999999999998</v>
      </c>
      <c r="Y2">
        <v>2</v>
      </c>
      <c r="Z2">
        <v>9</v>
      </c>
      <c r="AA2">
        <v>11</v>
      </c>
      <c r="AB2">
        <v>2</v>
      </c>
      <c r="AC2">
        <v>1</v>
      </c>
      <c r="AD2">
        <v>2</v>
      </c>
      <c r="AE2">
        <v>0</v>
      </c>
      <c r="AF2">
        <v>0</v>
      </c>
      <c r="AG2">
        <v>33</v>
      </c>
      <c r="AH2">
        <v>26.7</v>
      </c>
      <c r="AI2">
        <v>-2</v>
      </c>
    </row>
    <row r="3" spans="1:35" ht="21" x14ac:dyDescent="0.3">
      <c r="A3" t="s">
        <v>553</v>
      </c>
      <c r="B3" s="11">
        <v>2</v>
      </c>
      <c r="C3">
        <v>566</v>
      </c>
      <c r="D3">
        <v>2</v>
      </c>
      <c r="E3" s="4">
        <v>44491</v>
      </c>
      <c r="F3" t="s">
        <v>62</v>
      </c>
      <c r="H3" t="s">
        <v>99</v>
      </c>
      <c r="I3" t="s">
        <v>192</v>
      </c>
      <c r="J3" t="s">
        <v>41</v>
      </c>
      <c r="K3" s="9">
        <v>1.5895833333333333</v>
      </c>
      <c r="L3">
        <v>6</v>
      </c>
      <c r="M3">
        <v>18</v>
      </c>
      <c r="N3">
        <v>0.33300000000000002</v>
      </c>
      <c r="O3">
        <v>0</v>
      </c>
      <c r="P3">
        <v>1</v>
      </c>
      <c r="Q3">
        <v>0</v>
      </c>
      <c r="R3">
        <v>6</v>
      </c>
      <c r="S3">
        <v>17</v>
      </c>
      <c r="T3">
        <v>0.35299999999999998</v>
      </c>
      <c r="U3">
        <v>0.33300000000000002</v>
      </c>
      <c r="V3">
        <v>10</v>
      </c>
      <c r="W3">
        <v>11</v>
      </c>
      <c r="X3">
        <v>0.90900000000000003</v>
      </c>
      <c r="Y3">
        <v>5</v>
      </c>
      <c r="Z3">
        <v>9</v>
      </c>
      <c r="AA3">
        <v>14</v>
      </c>
      <c r="AB3">
        <v>3</v>
      </c>
      <c r="AC3">
        <v>1</v>
      </c>
      <c r="AD3">
        <v>2</v>
      </c>
      <c r="AE3">
        <v>2</v>
      </c>
      <c r="AF3">
        <v>3</v>
      </c>
      <c r="AG3">
        <v>22</v>
      </c>
      <c r="AH3">
        <v>18.899999999999999</v>
      </c>
      <c r="AI3">
        <v>-6</v>
      </c>
    </row>
    <row r="4" spans="1:35" ht="21" x14ac:dyDescent="0.3">
      <c r="A4" t="s">
        <v>553</v>
      </c>
      <c r="B4" s="11">
        <v>3</v>
      </c>
      <c r="C4">
        <v>567</v>
      </c>
      <c r="D4">
        <v>3</v>
      </c>
      <c r="E4" s="4">
        <v>44493</v>
      </c>
      <c r="F4" t="s">
        <v>62</v>
      </c>
      <c r="H4" t="s">
        <v>42</v>
      </c>
      <c r="I4" t="s">
        <v>193</v>
      </c>
      <c r="J4" t="s">
        <v>41</v>
      </c>
      <c r="K4" s="9">
        <v>1.4041666666666666</v>
      </c>
      <c r="L4">
        <v>8</v>
      </c>
      <c r="M4">
        <v>15</v>
      </c>
      <c r="N4">
        <v>0.53300000000000003</v>
      </c>
      <c r="O4">
        <v>1</v>
      </c>
      <c r="P4">
        <v>3</v>
      </c>
      <c r="Q4">
        <v>0.33300000000000002</v>
      </c>
      <c r="R4">
        <v>7</v>
      </c>
      <c r="S4">
        <v>12</v>
      </c>
      <c r="T4">
        <v>0.58299999999999996</v>
      </c>
      <c r="U4">
        <v>0.56699999999999995</v>
      </c>
      <c r="V4">
        <v>5</v>
      </c>
      <c r="W4">
        <v>7</v>
      </c>
      <c r="X4">
        <v>0.71399999999999997</v>
      </c>
      <c r="Y4">
        <v>3</v>
      </c>
      <c r="Z4">
        <v>5</v>
      </c>
      <c r="AA4">
        <v>8</v>
      </c>
      <c r="AB4">
        <v>2</v>
      </c>
      <c r="AC4">
        <v>0</v>
      </c>
      <c r="AD4">
        <v>4</v>
      </c>
      <c r="AE4">
        <v>3</v>
      </c>
      <c r="AF4">
        <v>1</v>
      </c>
      <c r="AG4">
        <v>22</v>
      </c>
      <c r="AH4">
        <v>18.3</v>
      </c>
      <c r="AI4">
        <v>-5</v>
      </c>
    </row>
    <row r="5" spans="1:35" ht="21" x14ac:dyDescent="0.3">
      <c r="A5" t="s">
        <v>553</v>
      </c>
      <c r="B5" s="11">
        <v>4</v>
      </c>
      <c r="C5">
        <v>568</v>
      </c>
      <c r="D5">
        <v>4</v>
      </c>
      <c r="E5" s="4">
        <v>44495</v>
      </c>
      <c r="F5" t="s">
        <v>62</v>
      </c>
      <c r="G5" t="s">
        <v>37</v>
      </c>
      <c r="H5" t="s">
        <v>102</v>
      </c>
      <c r="I5" t="s">
        <v>194</v>
      </c>
      <c r="J5" t="s">
        <v>41</v>
      </c>
      <c r="K5" s="9">
        <v>1.7659722222222223</v>
      </c>
      <c r="L5">
        <v>15</v>
      </c>
      <c r="M5">
        <v>31</v>
      </c>
      <c r="N5">
        <v>0.48399999999999999</v>
      </c>
      <c r="O5">
        <v>0</v>
      </c>
      <c r="P5">
        <v>4</v>
      </c>
      <c r="Q5">
        <v>0</v>
      </c>
      <c r="R5">
        <v>15</v>
      </c>
      <c r="S5">
        <v>27</v>
      </c>
      <c r="T5">
        <v>0.55600000000000005</v>
      </c>
      <c r="U5">
        <v>0.48399999999999999</v>
      </c>
      <c r="V5">
        <v>5</v>
      </c>
      <c r="W5">
        <v>6</v>
      </c>
      <c r="X5">
        <v>0.83299999999999996</v>
      </c>
      <c r="Y5">
        <v>7</v>
      </c>
      <c r="Z5">
        <v>10</v>
      </c>
      <c r="AA5">
        <v>17</v>
      </c>
      <c r="AB5">
        <v>4</v>
      </c>
      <c r="AC5">
        <v>0</v>
      </c>
      <c r="AD5">
        <v>4</v>
      </c>
      <c r="AE5">
        <v>2</v>
      </c>
      <c r="AF5">
        <v>2</v>
      </c>
      <c r="AG5">
        <v>35</v>
      </c>
      <c r="AH5">
        <v>29.6</v>
      </c>
      <c r="AI5">
        <v>3</v>
      </c>
    </row>
    <row r="6" spans="1:35" ht="21" x14ac:dyDescent="0.3">
      <c r="A6" t="s">
        <v>553</v>
      </c>
      <c r="B6" s="11">
        <v>5</v>
      </c>
      <c r="C6">
        <v>569</v>
      </c>
      <c r="D6">
        <v>5</v>
      </c>
      <c r="E6" s="4">
        <v>44496</v>
      </c>
      <c r="F6" t="s">
        <v>62</v>
      </c>
      <c r="G6" t="s">
        <v>37</v>
      </c>
      <c r="H6" t="s">
        <v>68</v>
      </c>
      <c r="I6" t="s">
        <v>162</v>
      </c>
      <c r="J6" t="s">
        <v>41</v>
      </c>
      <c r="K6" s="9">
        <v>1.523611111111111</v>
      </c>
      <c r="L6">
        <v>12</v>
      </c>
      <c r="M6">
        <v>22</v>
      </c>
      <c r="N6">
        <v>0.54500000000000004</v>
      </c>
      <c r="O6">
        <v>0</v>
      </c>
      <c r="P6">
        <v>1</v>
      </c>
      <c r="Q6">
        <v>0</v>
      </c>
      <c r="R6">
        <v>12</v>
      </c>
      <c r="S6">
        <v>21</v>
      </c>
      <c r="T6">
        <v>0.57099999999999995</v>
      </c>
      <c r="U6">
        <v>0.54500000000000004</v>
      </c>
      <c r="V6">
        <v>6</v>
      </c>
      <c r="W6">
        <v>7</v>
      </c>
      <c r="X6">
        <v>0.85699999999999998</v>
      </c>
      <c r="Y6">
        <v>4</v>
      </c>
      <c r="Z6">
        <v>4</v>
      </c>
      <c r="AA6">
        <v>8</v>
      </c>
      <c r="AB6">
        <v>2</v>
      </c>
      <c r="AC6">
        <v>1</v>
      </c>
      <c r="AD6">
        <v>0</v>
      </c>
      <c r="AE6">
        <v>2</v>
      </c>
      <c r="AF6">
        <v>1</v>
      </c>
      <c r="AG6">
        <v>30</v>
      </c>
      <c r="AH6">
        <v>23</v>
      </c>
      <c r="AI6">
        <v>-7</v>
      </c>
    </row>
    <row r="7" spans="1:35" ht="21" x14ac:dyDescent="0.3">
      <c r="A7" t="s">
        <v>553</v>
      </c>
      <c r="B7" s="11">
        <v>6</v>
      </c>
      <c r="C7">
        <v>570</v>
      </c>
      <c r="D7">
        <v>6</v>
      </c>
      <c r="E7" s="4">
        <v>44498</v>
      </c>
      <c r="F7" t="s">
        <v>62</v>
      </c>
      <c r="H7" t="s">
        <v>87</v>
      </c>
      <c r="I7" t="s">
        <v>195</v>
      </c>
      <c r="J7" t="s">
        <v>41</v>
      </c>
      <c r="K7" s="9">
        <v>1.29375</v>
      </c>
      <c r="L7">
        <v>7</v>
      </c>
      <c r="M7">
        <v>14</v>
      </c>
      <c r="N7">
        <v>0.5</v>
      </c>
      <c r="O7">
        <v>1</v>
      </c>
      <c r="P7">
        <v>2</v>
      </c>
      <c r="Q7">
        <v>0.5</v>
      </c>
      <c r="R7">
        <v>6</v>
      </c>
      <c r="S7">
        <v>12</v>
      </c>
      <c r="T7">
        <v>0.5</v>
      </c>
      <c r="U7">
        <v>0.53600000000000003</v>
      </c>
      <c r="V7">
        <v>0</v>
      </c>
      <c r="W7">
        <v>0</v>
      </c>
      <c r="Y7">
        <v>2</v>
      </c>
      <c r="Z7">
        <v>7</v>
      </c>
      <c r="AA7">
        <v>9</v>
      </c>
      <c r="AB7">
        <v>3</v>
      </c>
      <c r="AC7">
        <v>1</v>
      </c>
      <c r="AD7">
        <v>3</v>
      </c>
      <c r="AE7">
        <v>2</v>
      </c>
      <c r="AF7">
        <v>3</v>
      </c>
      <c r="AG7">
        <v>15</v>
      </c>
      <c r="AH7">
        <v>13.5</v>
      </c>
      <c r="AI7">
        <v>11</v>
      </c>
    </row>
    <row r="8" spans="1:35" ht="21" x14ac:dyDescent="0.3">
      <c r="A8" t="s">
        <v>553</v>
      </c>
      <c r="B8" s="11">
        <v>7</v>
      </c>
      <c r="C8">
        <v>571</v>
      </c>
      <c r="D8">
        <v>7</v>
      </c>
      <c r="E8" s="4">
        <v>44500</v>
      </c>
      <c r="F8" t="s">
        <v>62</v>
      </c>
      <c r="H8" t="s">
        <v>76</v>
      </c>
      <c r="I8" t="s">
        <v>196</v>
      </c>
      <c r="J8" t="s">
        <v>41</v>
      </c>
      <c r="K8" s="9">
        <v>1.3576388888888888</v>
      </c>
      <c r="L8">
        <v>7</v>
      </c>
      <c r="M8">
        <v>17</v>
      </c>
      <c r="N8">
        <v>0.41199999999999998</v>
      </c>
      <c r="O8">
        <v>0</v>
      </c>
      <c r="P8">
        <v>1</v>
      </c>
      <c r="Q8">
        <v>0</v>
      </c>
      <c r="R8">
        <v>7</v>
      </c>
      <c r="S8">
        <v>16</v>
      </c>
      <c r="T8">
        <v>0.438</v>
      </c>
      <c r="U8">
        <v>0.41199999999999998</v>
      </c>
      <c r="V8">
        <v>2</v>
      </c>
      <c r="W8">
        <v>2</v>
      </c>
      <c r="X8">
        <v>1</v>
      </c>
      <c r="Y8">
        <v>6</v>
      </c>
      <c r="Z8">
        <v>7</v>
      </c>
      <c r="AA8">
        <v>13</v>
      </c>
      <c r="AB8">
        <v>2</v>
      </c>
      <c r="AC8">
        <v>1</v>
      </c>
      <c r="AD8">
        <v>1</v>
      </c>
      <c r="AE8">
        <v>3</v>
      </c>
      <c r="AF8">
        <v>3</v>
      </c>
      <c r="AG8">
        <v>16</v>
      </c>
      <c r="AH8">
        <v>12.1</v>
      </c>
      <c r="AI8">
        <v>6</v>
      </c>
    </row>
    <row r="9" spans="1:35" ht="21" x14ac:dyDescent="0.3">
      <c r="A9" t="s">
        <v>553</v>
      </c>
      <c r="B9" s="11">
        <v>8</v>
      </c>
      <c r="C9">
        <v>572</v>
      </c>
      <c r="D9">
        <v>8</v>
      </c>
      <c r="E9" s="4">
        <v>44502</v>
      </c>
      <c r="F9" t="s">
        <v>62</v>
      </c>
      <c r="H9" t="s">
        <v>76</v>
      </c>
      <c r="I9" t="s">
        <v>197</v>
      </c>
      <c r="J9" t="s">
        <v>41</v>
      </c>
      <c r="K9" s="9">
        <v>1.3347222222222221</v>
      </c>
      <c r="L9">
        <v>11</v>
      </c>
      <c r="M9">
        <v>18</v>
      </c>
      <c r="N9">
        <v>0.61099999999999999</v>
      </c>
      <c r="O9">
        <v>0</v>
      </c>
      <c r="P9">
        <v>3</v>
      </c>
      <c r="Q9">
        <v>0</v>
      </c>
      <c r="R9">
        <v>11</v>
      </c>
      <c r="S9">
        <v>15</v>
      </c>
      <c r="T9">
        <v>0.73299999999999998</v>
      </c>
      <c r="U9">
        <v>0.61099999999999999</v>
      </c>
      <c r="V9">
        <v>5</v>
      </c>
      <c r="W9">
        <v>8</v>
      </c>
      <c r="X9">
        <v>0.625</v>
      </c>
      <c r="Y9">
        <v>1</v>
      </c>
      <c r="Z9">
        <v>8</v>
      </c>
      <c r="AA9">
        <v>9</v>
      </c>
      <c r="AB9">
        <v>3</v>
      </c>
      <c r="AC9">
        <v>3</v>
      </c>
      <c r="AD9">
        <v>3</v>
      </c>
      <c r="AE9">
        <v>4</v>
      </c>
      <c r="AF9">
        <v>2</v>
      </c>
      <c r="AG9">
        <v>27</v>
      </c>
      <c r="AH9">
        <v>23.1</v>
      </c>
      <c r="AI9">
        <v>-1</v>
      </c>
    </row>
    <row r="10" spans="1:35" ht="21" x14ac:dyDescent="0.3">
      <c r="A10" t="s">
        <v>553</v>
      </c>
      <c r="B10" s="11">
        <v>9</v>
      </c>
      <c r="C10">
        <v>573</v>
      </c>
      <c r="D10">
        <v>9</v>
      </c>
      <c r="E10" s="4">
        <v>44504</v>
      </c>
      <c r="F10" t="s">
        <v>62</v>
      </c>
      <c r="H10" t="s">
        <v>68</v>
      </c>
      <c r="I10" t="s">
        <v>198</v>
      </c>
      <c r="J10" t="s">
        <v>41</v>
      </c>
      <c r="K10" s="9">
        <v>1.5881944444444445</v>
      </c>
      <c r="L10">
        <v>11</v>
      </c>
      <c r="M10">
        <v>20</v>
      </c>
      <c r="N10">
        <v>0.55000000000000004</v>
      </c>
      <c r="O10">
        <v>0</v>
      </c>
      <c r="P10">
        <v>1</v>
      </c>
      <c r="Q10">
        <v>0</v>
      </c>
      <c r="R10">
        <v>11</v>
      </c>
      <c r="S10">
        <v>19</v>
      </c>
      <c r="T10">
        <v>0.57899999999999996</v>
      </c>
      <c r="U10">
        <v>0.55000000000000004</v>
      </c>
      <c r="V10">
        <v>7</v>
      </c>
      <c r="W10">
        <v>9</v>
      </c>
      <c r="X10">
        <v>0.77800000000000002</v>
      </c>
      <c r="Y10">
        <v>6</v>
      </c>
      <c r="Z10">
        <v>12</v>
      </c>
      <c r="AA10">
        <v>18</v>
      </c>
      <c r="AB10">
        <v>5</v>
      </c>
      <c r="AC10">
        <v>1</v>
      </c>
      <c r="AD10">
        <v>2</v>
      </c>
      <c r="AE10">
        <v>3</v>
      </c>
      <c r="AF10">
        <v>4</v>
      </c>
      <c r="AG10">
        <v>29</v>
      </c>
      <c r="AH10">
        <v>27.7</v>
      </c>
      <c r="AI10">
        <v>-14</v>
      </c>
    </row>
    <row r="11" spans="1:35" ht="21" x14ac:dyDescent="0.3">
      <c r="A11" t="s">
        <v>553</v>
      </c>
      <c r="B11" s="11">
        <v>10</v>
      </c>
      <c r="C11">
        <v>574</v>
      </c>
      <c r="D11">
        <v>10</v>
      </c>
      <c r="E11" s="4">
        <v>44506</v>
      </c>
      <c r="F11" t="s">
        <v>62</v>
      </c>
      <c r="G11" t="s">
        <v>37</v>
      </c>
      <c r="H11" t="s">
        <v>96</v>
      </c>
      <c r="I11" t="s">
        <v>199</v>
      </c>
      <c r="J11" t="s">
        <v>41</v>
      </c>
      <c r="K11" s="7">
        <v>0.29791666666666666</v>
      </c>
      <c r="L11">
        <v>1</v>
      </c>
      <c r="M11">
        <v>5</v>
      </c>
      <c r="N11">
        <v>0.2</v>
      </c>
      <c r="O11">
        <v>0</v>
      </c>
      <c r="P11">
        <v>0</v>
      </c>
      <c r="R11">
        <v>1</v>
      </c>
      <c r="S11">
        <v>5</v>
      </c>
      <c r="T11">
        <v>0.2</v>
      </c>
      <c r="U11">
        <v>0.2</v>
      </c>
      <c r="V11">
        <v>0</v>
      </c>
      <c r="W11">
        <v>0</v>
      </c>
      <c r="Y11">
        <v>3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2</v>
      </c>
      <c r="AH11">
        <v>0.6</v>
      </c>
      <c r="AI11">
        <v>-11</v>
      </c>
    </row>
    <row r="12" spans="1:35" ht="21" x14ac:dyDescent="0.3">
      <c r="A12" t="s">
        <v>553</v>
      </c>
      <c r="B12" s="11">
        <v>11</v>
      </c>
      <c r="C12">
        <v>575</v>
      </c>
      <c r="D12">
        <v>11</v>
      </c>
      <c r="E12" s="4">
        <v>44508</v>
      </c>
      <c r="F12" t="s">
        <v>62</v>
      </c>
      <c r="H12" t="s">
        <v>72</v>
      </c>
      <c r="I12" t="s">
        <v>200</v>
      </c>
      <c r="J12" t="s">
        <v>41</v>
      </c>
      <c r="K12" s="9">
        <v>1.8159722222222223</v>
      </c>
      <c r="L12">
        <v>13</v>
      </c>
      <c r="M12">
        <v>25</v>
      </c>
      <c r="N12">
        <v>0.52</v>
      </c>
      <c r="O12">
        <v>0</v>
      </c>
      <c r="P12">
        <v>3</v>
      </c>
      <c r="Q12">
        <v>0</v>
      </c>
      <c r="R12">
        <v>13</v>
      </c>
      <c r="S12">
        <v>22</v>
      </c>
      <c r="T12">
        <v>0.59099999999999997</v>
      </c>
      <c r="U12">
        <v>0.52</v>
      </c>
      <c r="V12">
        <v>6</v>
      </c>
      <c r="W12">
        <v>8</v>
      </c>
      <c r="X12">
        <v>0.75</v>
      </c>
      <c r="Y12">
        <v>2</v>
      </c>
      <c r="Z12">
        <v>10</v>
      </c>
      <c r="AA12">
        <v>12</v>
      </c>
      <c r="AB12">
        <v>4</v>
      </c>
      <c r="AC12">
        <v>3</v>
      </c>
      <c r="AD12">
        <v>5</v>
      </c>
      <c r="AE12">
        <v>4</v>
      </c>
      <c r="AF12">
        <v>4</v>
      </c>
      <c r="AG12">
        <v>32</v>
      </c>
      <c r="AH12">
        <v>27</v>
      </c>
      <c r="AI12">
        <v>-1</v>
      </c>
    </row>
    <row r="13" spans="1:35" ht="21" x14ac:dyDescent="0.3">
      <c r="A13" t="s">
        <v>553</v>
      </c>
      <c r="B13" s="11">
        <v>12</v>
      </c>
      <c r="C13">
        <v>576</v>
      </c>
      <c r="D13">
        <v>12</v>
      </c>
      <c r="E13" s="4">
        <v>44510</v>
      </c>
      <c r="F13" t="s">
        <v>62</v>
      </c>
      <c r="H13" t="s">
        <v>120</v>
      </c>
      <c r="I13" t="s">
        <v>201</v>
      </c>
      <c r="J13" t="s">
        <v>41</v>
      </c>
      <c r="K13" s="9">
        <v>1.8555555555555556</v>
      </c>
      <c r="L13">
        <v>10</v>
      </c>
      <c r="M13">
        <v>23</v>
      </c>
      <c r="N13">
        <v>0.435</v>
      </c>
      <c r="O13">
        <v>1</v>
      </c>
      <c r="P13">
        <v>2</v>
      </c>
      <c r="Q13">
        <v>0.5</v>
      </c>
      <c r="R13">
        <v>9</v>
      </c>
      <c r="S13">
        <v>21</v>
      </c>
      <c r="T13">
        <v>0.42899999999999999</v>
      </c>
      <c r="U13">
        <v>0.45700000000000002</v>
      </c>
      <c r="V13">
        <v>3</v>
      </c>
      <c r="W13">
        <v>4</v>
      </c>
      <c r="X13">
        <v>0.75</v>
      </c>
      <c r="Y13">
        <v>5</v>
      </c>
      <c r="Z13">
        <v>8</v>
      </c>
      <c r="AA13">
        <v>13</v>
      </c>
      <c r="AB13">
        <v>4</v>
      </c>
      <c r="AC13">
        <v>1</v>
      </c>
      <c r="AD13">
        <v>1</v>
      </c>
      <c r="AE13">
        <v>4</v>
      </c>
      <c r="AF13">
        <v>3</v>
      </c>
      <c r="AG13">
        <v>24</v>
      </c>
      <c r="AH13">
        <v>16.7</v>
      </c>
      <c r="AI13">
        <v>-4</v>
      </c>
    </row>
    <row r="14" spans="1:35" ht="21" x14ac:dyDescent="0.3">
      <c r="A14" t="s">
        <v>553</v>
      </c>
      <c r="B14" s="11">
        <v>13</v>
      </c>
      <c r="C14">
        <v>577</v>
      </c>
      <c r="D14">
        <v>13</v>
      </c>
      <c r="E14" s="4">
        <v>44512</v>
      </c>
      <c r="F14" t="s">
        <v>62</v>
      </c>
      <c r="H14" t="s">
        <v>80</v>
      </c>
      <c r="I14" t="s">
        <v>202</v>
      </c>
      <c r="J14" t="s">
        <v>41</v>
      </c>
      <c r="K14" s="9">
        <v>1.2902777777777779</v>
      </c>
      <c r="L14">
        <v>7</v>
      </c>
      <c r="M14">
        <v>13</v>
      </c>
      <c r="N14">
        <v>0.53800000000000003</v>
      </c>
      <c r="O14">
        <v>0</v>
      </c>
      <c r="P14">
        <v>1</v>
      </c>
      <c r="Q14">
        <v>0</v>
      </c>
      <c r="R14">
        <v>7</v>
      </c>
      <c r="S14">
        <v>12</v>
      </c>
      <c r="T14">
        <v>0.58299999999999996</v>
      </c>
      <c r="U14">
        <v>0.53800000000000003</v>
      </c>
      <c r="V14">
        <v>8</v>
      </c>
      <c r="W14">
        <v>10</v>
      </c>
      <c r="X14">
        <v>0.8</v>
      </c>
      <c r="Y14">
        <v>2</v>
      </c>
      <c r="Z14">
        <v>6</v>
      </c>
      <c r="AA14">
        <v>8</v>
      </c>
      <c r="AB14">
        <v>2</v>
      </c>
      <c r="AC14">
        <v>3</v>
      </c>
      <c r="AD14">
        <v>3</v>
      </c>
      <c r="AE14">
        <v>2</v>
      </c>
      <c r="AF14">
        <v>4</v>
      </c>
      <c r="AG14">
        <v>22</v>
      </c>
      <c r="AH14">
        <v>21</v>
      </c>
      <c r="AI14">
        <v>-16</v>
      </c>
    </row>
    <row r="15" spans="1:35" ht="21" x14ac:dyDescent="0.3">
      <c r="A15" t="s">
        <v>553</v>
      </c>
      <c r="B15" s="11">
        <v>14</v>
      </c>
      <c r="C15">
        <v>578</v>
      </c>
      <c r="D15">
        <v>14</v>
      </c>
      <c r="E15" s="4">
        <v>44514</v>
      </c>
      <c r="F15" t="s">
        <v>62</v>
      </c>
      <c r="H15" t="s">
        <v>102</v>
      </c>
      <c r="I15" t="s">
        <v>203</v>
      </c>
      <c r="J15" t="s">
        <v>41</v>
      </c>
      <c r="K15" s="9">
        <v>1.6527777777777777</v>
      </c>
      <c r="L15">
        <v>14</v>
      </c>
      <c r="M15">
        <v>24</v>
      </c>
      <c r="N15">
        <v>0.58299999999999996</v>
      </c>
      <c r="O15">
        <v>2</v>
      </c>
      <c r="P15">
        <v>3</v>
      </c>
      <c r="Q15">
        <v>0.66700000000000004</v>
      </c>
      <c r="R15">
        <v>12</v>
      </c>
      <c r="S15">
        <v>21</v>
      </c>
      <c r="T15">
        <v>0.57099999999999995</v>
      </c>
      <c r="U15">
        <v>0.625</v>
      </c>
      <c r="V15">
        <v>4</v>
      </c>
      <c r="W15">
        <v>5</v>
      </c>
      <c r="X15">
        <v>0.8</v>
      </c>
      <c r="Y15">
        <v>5</v>
      </c>
      <c r="Z15">
        <v>10</v>
      </c>
      <c r="AA15">
        <v>15</v>
      </c>
      <c r="AB15">
        <v>6</v>
      </c>
      <c r="AC15">
        <v>1</v>
      </c>
      <c r="AD15">
        <v>1</v>
      </c>
      <c r="AE15">
        <v>1</v>
      </c>
      <c r="AF15">
        <v>0</v>
      </c>
      <c r="AG15">
        <v>34</v>
      </c>
      <c r="AH15">
        <v>33.799999999999997</v>
      </c>
      <c r="AI15">
        <v>0</v>
      </c>
    </row>
    <row r="16" spans="1:35" ht="21" x14ac:dyDescent="0.3">
      <c r="A16" t="s">
        <v>553</v>
      </c>
      <c r="B16" s="11">
        <v>15</v>
      </c>
      <c r="C16">
        <v>579</v>
      </c>
      <c r="D16">
        <v>15</v>
      </c>
      <c r="E16" s="4">
        <v>44515</v>
      </c>
      <c r="F16" t="s">
        <v>62</v>
      </c>
      <c r="H16" t="s">
        <v>82</v>
      </c>
      <c r="I16" t="s">
        <v>204</v>
      </c>
      <c r="J16" t="s">
        <v>41</v>
      </c>
      <c r="K16" s="9">
        <v>1.1659722222222222</v>
      </c>
      <c r="L16">
        <v>6</v>
      </c>
      <c r="M16">
        <v>9</v>
      </c>
      <c r="N16">
        <v>0.66700000000000004</v>
      </c>
      <c r="O16">
        <v>0</v>
      </c>
      <c r="P16">
        <v>0</v>
      </c>
      <c r="R16">
        <v>6</v>
      </c>
      <c r="S16">
        <v>9</v>
      </c>
      <c r="T16">
        <v>0.66700000000000004</v>
      </c>
      <c r="U16">
        <v>0.66700000000000004</v>
      </c>
      <c r="V16">
        <v>8</v>
      </c>
      <c r="W16">
        <v>9</v>
      </c>
      <c r="X16">
        <v>0.88900000000000001</v>
      </c>
      <c r="Y16">
        <v>1</v>
      </c>
      <c r="Z16">
        <v>5</v>
      </c>
      <c r="AA16">
        <v>6</v>
      </c>
      <c r="AB16">
        <v>1</v>
      </c>
      <c r="AC16">
        <v>1</v>
      </c>
      <c r="AD16">
        <v>0</v>
      </c>
      <c r="AE16">
        <v>4</v>
      </c>
      <c r="AF16">
        <v>1</v>
      </c>
      <c r="AG16">
        <v>20</v>
      </c>
      <c r="AH16">
        <v>15.2</v>
      </c>
      <c r="AI16">
        <v>-22</v>
      </c>
    </row>
    <row r="17" spans="1:35" ht="21" x14ac:dyDescent="0.3">
      <c r="A17" t="s">
        <v>553</v>
      </c>
      <c r="B17" s="11">
        <v>16</v>
      </c>
      <c r="C17">
        <v>580</v>
      </c>
      <c r="D17">
        <v>16</v>
      </c>
      <c r="E17" s="4">
        <v>44517</v>
      </c>
      <c r="F17" t="s">
        <v>62</v>
      </c>
      <c r="G17" t="s">
        <v>37</v>
      </c>
      <c r="H17" t="s">
        <v>126</v>
      </c>
      <c r="I17" t="s">
        <v>205</v>
      </c>
      <c r="J17" t="s">
        <v>41</v>
      </c>
      <c r="K17" s="9">
        <v>1.5416666666666667</v>
      </c>
      <c r="L17">
        <v>9</v>
      </c>
      <c r="M17">
        <v>15</v>
      </c>
      <c r="N17">
        <v>0.6</v>
      </c>
      <c r="O17">
        <v>0</v>
      </c>
      <c r="P17">
        <v>1</v>
      </c>
      <c r="Q17">
        <v>0</v>
      </c>
      <c r="R17">
        <v>9</v>
      </c>
      <c r="S17">
        <v>14</v>
      </c>
      <c r="T17">
        <v>0.64300000000000002</v>
      </c>
      <c r="U17">
        <v>0.6</v>
      </c>
      <c r="V17">
        <v>0</v>
      </c>
      <c r="W17">
        <v>0</v>
      </c>
      <c r="Y17">
        <v>2</v>
      </c>
      <c r="Z17">
        <v>7</v>
      </c>
      <c r="AA17">
        <v>9</v>
      </c>
      <c r="AB17">
        <v>4</v>
      </c>
      <c r="AC17">
        <v>0</v>
      </c>
      <c r="AD17">
        <v>2</v>
      </c>
      <c r="AE17">
        <v>1</v>
      </c>
      <c r="AF17">
        <v>4</v>
      </c>
      <c r="AG17">
        <v>18</v>
      </c>
      <c r="AH17">
        <v>16.2</v>
      </c>
      <c r="AI17">
        <v>5</v>
      </c>
    </row>
    <row r="18" spans="1:35" ht="21" x14ac:dyDescent="0.3">
      <c r="A18" t="s">
        <v>553</v>
      </c>
      <c r="B18" s="11">
        <v>17</v>
      </c>
      <c r="C18">
        <v>581</v>
      </c>
      <c r="D18">
        <v>17</v>
      </c>
      <c r="E18" s="4">
        <v>44519</v>
      </c>
      <c r="F18" t="s">
        <v>62</v>
      </c>
      <c r="G18" t="s">
        <v>37</v>
      </c>
      <c r="H18" t="s">
        <v>55</v>
      </c>
      <c r="I18" t="s">
        <v>206</v>
      </c>
      <c r="J18" t="s">
        <v>41</v>
      </c>
      <c r="K18" s="9">
        <v>1.5249999999999999</v>
      </c>
      <c r="L18">
        <v>12</v>
      </c>
      <c r="M18">
        <v>21</v>
      </c>
      <c r="N18">
        <v>0.57099999999999995</v>
      </c>
      <c r="O18">
        <v>0</v>
      </c>
      <c r="P18">
        <v>3</v>
      </c>
      <c r="Q18">
        <v>0</v>
      </c>
      <c r="R18">
        <v>12</v>
      </c>
      <c r="S18">
        <v>18</v>
      </c>
      <c r="T18">
        <v>0.66700000000000004</v>
      </c>
      <c r="U18">
        <v>0.57099999999999995</v>
      </c>
      <c r="V18">
        <v>7</v>
      </c>
      <c r="W18">
        <v>9</v>
      </c>
      <c r="X18">
        <v>0.77800000000000002</v>
      </c>
      <c r="Y18">
        <v>1</v>
      </c>
      <c r="Z18">
        <v>5</v>
      </c>
      <c r="AA18">
        <v>6</v>
      </c>
      <c r="AB18">
        <v>2</v>
      </c>
      <c r="AC18">
        <v>0</v>
      </c>
      <c r="AD18">
        <v>3</v>
      </c>
      <c r="AE18">
        <v>1</v>
      </c>
      <c r="AF18">
        <v>2</v>
      </c>
      <c r="AG18">
        <v>31</v>
      </c>
      <c r="AH18">
        <v>24.2</v>
      </c>
      <c r="AI18">
        <v>-14</v>
      </c>
    </row>
    <row r="19" spans="1:35" ht="21" x14ac:dyDescent="0.3">
      <c r="A19" t="s">
        <v>553</v>
      </c>
      <c r="B19" s="11">
        <v>18</v>
      </c>
      <c r="C19">
        <v>582</v>
      </c>
      <c r="D19">
        <v>18</v>
      </c>
      <c r="E19" s="4">
        <v>44521</v>
      </c>
      <c r="F19" t="s">
        <v>62</v>
      </c>
      <c r="G19" t="s">
        <v>37</v>
      </c>
      <c r="H19" t="s">
        <v>89</v>
      </c>
      <c r="I19" t="s">
        <v>207</v>
      </c>
      <c r="J19" t="s">
        <v>41</v>
      </c>
      <c r="K19" s="9">
        <v>1.6513888888888888</v>
      </c>
      <c r="L19">
        <v>11</v>
      </c>
      <c r="M19">
        <v>19</v>
      </c>
      <c r="N19">
        <v>0.57899999999999996</v>
      </c>
      <c r="O19">
        <v>0</v>
      </c>
      <c r="P19">
        <v>1</v>
      </c>
      <c r="Q19">
        <v>0</v>
      </c>
      <c r="R19">
        <v>11</v>
      </c>
      <c r="S19">
        <v>18</v>
      </c>
      <c r="T19">
        <v>0.61099999999999999</v>
      </c>
      <c r="U19">
        <v>0.57899999999999996</v>
      </c>
      <c r="V19">
        <v>8</v>
      </c>
      <c r="W19">
        <v>10</v>
      </c>
      <c r="X19">
        <v>0.8</v>
      </c>
      <c r="Y19">
        <v>1</v>
      </c>
      <c r="Z19">
        <v>9</v>
      </c>
      <c r="AA19">
        <v>10</v>
      </c>
      <c r="AB19">
        <v>6</v>
      </c>
      <c r="AC19">
        <v>4</v>
      </c>
      <c r="AD19">
        <v>5</v>
      </c>
      <c r="AE19">
        <v>2</v>
      </c>
      <c r="AF19">
        <v>4</v>
      </c>
      <c r="AG19">
        <v>30</v>
      </c>
      <c r="AH19">
        <v>31.8</v>
      </c>
      <c r="AI19">
        <v>5</v>
      </c>
    </row>
    <row r="20" spans="1:35" ht="21" x14ac:dyDescent="0.3">
      <c r="A20" t="s">
        <v>553</v>
      </c>
      <c r="B20" s="11">
        <v>19</v>
      </c>
      <c r="C20">
        <v>583</v>
      </c>
      <c r="D20">
        <v>19</v>
      </c>
      <c r="E20" s="4">
        <v>44523</v>
      </c>
      <c r="F20" t="s">
        <v>62</v>
      </c>
      <c r="G20" t="s">
        <v>37</v>
      </c>
      <c r="H20" t="s">
        <v>110</v>
      </c>
      <c r="I20" t="s">
        <v>208</v>
      </c>
      <c r="J20" t="s">
        <v>41</v>
      </c>
      <c r="K20" s="9">
        <v>1.4152777777777779</v>
      </c>
      <c r="L20">
        <v>7</v>
      </c>
      <c r="M20">
        <v>17</v>
      </c>
      <c r="N20">
        <v>0.41199999999999998</v>
      </c>
      <c r="O20">
        <v>1</v>
      </c>
      <c r="P20">
        <v>2</v>
      </c>
      <c r="Q20">
        <v>0.5</v>
      </c>
      <c r="R20">
        <v>6</v>
      </c>
      <c r="S20">
        <v>15</v>
      </c>
      <c r="T20">
        <v>0.4</v>
      </c>
      <c r="U20">
        <v>0.441</v>
      </c>
      <c r="V20">
        <v>5</v>
      </c>
      <c r="W20">
        <v>11</v>
      </c>
      <c r="X20">
        <v>0.45500000000000002</v>
      </c>
      <c r="Y20">
        <v>3</v>
      </c>
      <c r="Z20">
        <v>3</v>
      </c>
      <c r="AA20">
        <v>6</v>
      </c>
      <c r="AB20">
        <v>3</v>
      </c>
      <c r="AC20">
        <v>0</v>
      </c>
      <c r="AD20">
        <v>0</v>
      </c>
      <c r="AE20">
        <v>0</v>
      </c>
      <c r="AF20">
        <v>1</v>
      </c>
      <c r="AG20">
        <v>20</v>
      </c>
      <c r="AH20">
        <v>13.2</v>
      </c>
      <c r="AI20">
        <v>8</v>
      </c>
    </row>
    <row r="21" spans="1:35" ht="21" x14ac:dyDescent="0.3">
      <c r="A21" t="s">
        <v>553</v>
      </c>
      <c r="B21" s="11">
        <v>19</v>
      </c>
      <c r="D21">
        <v>20</v>
      </c>
      <c r="E21" s="4">
        <v>44524</v>
      </c>
      <c r="F21" t="s">
        <v>62</v>
      </c>
      <c r="G21" t="s">
        <v>37</v>
      </c>
      <c r="H21" t="s">
        <v>108</v>
      </c>
      <c r="I21" t="s">
        <v>209</v>
      </c>
      <c r="J21" t="s">
        <v>210</v>
      </c>
      <c r="K21" t="s">
        <v>210</v>
      </c>
      <c r="L21" t="s">
        <v>210</v>
      </c>
      <c r="M21" t="s">
        <v>210</v>
      </c>
      <c r="N21" t="s">
        <v>210</v>
      </c>
      <c r="O21" t="s">
        <v>210</v>
      </c>
      <c r="P21" t="s">
        <v>210</v>
      </c>
      <c r="Q21" t="s">
        <v>210</v>
      </c>
      <c r="R21" t="s">
        <v>210</v>
      </c>
      <c r="S21" t="s">
        <v>210</v>
      </c>
      <c r="T21" t="s">
        <v>210</v>
      </c>
      <c r="U21" t="s">
        <v>210</v>
      </c>
      <c r="V21" t="s">
        <v>210</v>
      </c>
      <c r="W21" t="s">
        <v>210</v>
      </c>
      <c r="X21" t="s">
        <v>210</v>
      </c>
      <c r="Y21" t="s">
        <v>210</v>
      </c>
      <c r="Z21" t="s">
        <v>210</v>
      </c>
      <c r="AA21" t="s">
        <v>210</v>
      </c>
      <c r="AB21" t="s">
        <v>210</v>
      </c>
      <c r="AC21" t="s">
        <v>210</v>
      </c>
      <c r="AD21" t="s">
        <v>210</v>
      </c>
      <c r="AE21" t="s">
        <v>210</v>
      </c>
      <c r="AF21" t="s">
        <v>210</v>
      </c>
      <c r="AG21" t="s">
        <v>210</v>
      </c>
      <c r="AH21" t="s">
        <v>210</v>
      </c>
      <c r="AI21" t="s">
        <v>210</v>
      </c>
    </row>
    <row r="22" spans="1:35" ht="21" x14ac:dyDescent="0.3">
      <c r="A22" t="s">
        <v>553</v>
      </c>
      <c r="B22" s="11">
        <v>20</v>
      </c>
      <c r="C22">
        <v>584</v>
      </c>
      <c r="D22">
        <v>21</v>
      </c>
      <c r="E22" s="4">
        <v>44526</v>
      </c>
      <c r="F22" t="s">
        <v>62</v>
      </c>
      <c r="H22" t="s">
        <v>66</v>
      </c>
      <c r="I22" t="s">
        <v>211</v>
      </c>
      <c r="J22" t="s">
        <v>41</v>
      </c>
      <c r="K22" s="9">
        <v>2.0249999999999999</v>
      </c>
      <c r="L22">
        <v>9</v>
      </c>
      <c r="M22">
        <v>22</v>
      </c>
      <c r="N22">
        <v>0.40899999999999997</v>
      </c>
      <c r="O22">
        <v>0</v>
      </c>
      <c r="P22">
        <v>5</v>
      </c>
      <c r="Q22">
        <v>0</v>
      </c>
      <c r="R22">
        <v>9</v>
      </c>
      <c r="S22">
        <v>17</v>
      </c>
      <c r="T22">
        <v>0.52900000000000003</v>
      </c>
      <c r="U22">
        <v>0.40899999999999997</v>
      </c>
      <c r="V22">
        <v>5</v>
      </c>
      <c r="W22">
        <v>8</v>
      </c>
      <c r="X22">
        <v>0.625</v>
      </c>
      <c r="Y22">
        <v>1</v>
      </c>
      <c r="Z22">
        <v>7</v>
      </c>
      <c r="AA22">
        <v>8</v>
      </c>
      <c r="AB22">
        <v>4</v>
      </c>
      <c r="AC22">
        <v>3</v>
      </c>
      <c r="AD22">
        <v>4</v>
      </c>
      <c r="AE22">
        <v>2</v>
      </c>
      <c r="AF22">
        <v>5</v>
      </c>
      <c r="AG22">
        <v>23</v>
      </c>
      <c r="AH22">
        <v>17.399999999999999</v>
      </c>
      <c r="AI22">
        <v>-16</v>
      </c>
    </row>
    <row r="23" spans="1:35" ht="21" x14ac:dyDescent="0.3">
      <c r="A23" t="s">
        <v>553</v>
      </c>
      <c r="B23" s="11">
        <v>21</v>
      </c>
      <c r="C23">
        <v>585</v>
      </c>
      <c r="D23">
        <v>22</v>
      </c>
      <c r="E23" s="4">
        <v>44528</v>
      </c>
      <c r="F23" t="s">
        <v>62</v>
      </c>
      <c r="H23" t="s">
        <v>89</v>
      </c>
      <c r="I23" t="s">
        <v>136</v>
      </c>
      <c r="J23" t="s">
        <v>41</v>
      </c>
      <c r="K23" s="9">
        <v>1.570138888888889</v>
      </c>
      <c r="L23">
        <v>10</v>
      </c>
      <c r="M23">
        <v>15</v>
      </c>
      <c r="N23">
        <v>0.66700000000000004</v>
      </c>
      <c r="O23">
        <v>2</v>
      </c>
      <c r="P23">
        <v>2</v>
      </c>
      <c r="Q23">
        <v>1</v>
      </c>
      <c r="R23">
        <v>8</v>
      </c>
      <c r="S23">
        <v>13</v>
      </c>
      <c r="T23">
        <v>0.61499999999999999</v>
      </c>
      <c r="U23">
        <v>0.73299999999999998</v>
      </c>
      <c r="V23">
        <v>2</v>
      </c>
      <c r="W23">
        <v>3</v>
      </c>
      <c r="X23">
        <v>0.66700000000000004</v>
      </c>
      <c r="Y23">
        <v>0</v>
      </c>
      <c r="Z23">
        <v>10</v>
      </c>
      <c r="AA23">
        <v>10</v>
      </c>
      <c r="AB23">
        <v>2</v>
      </c>
      <c r="AC23">
        <v>2</v>
      </c>
      <c r="AD23">
        <v>3</v>
      </c>
      <c r="AE23">
        <v>1</v>
      </c>
      <c r="AF23">
        <v>1</v>
      </c>
      <c r="AG23">
        <v>24</v>
      </c>
      <c r="AH23">
        <v>24.2</v>
      </c>
      <c r="AI23">
        <v>4</v>
      </c>
    </row>
    <row r="24" spans="1:35" ht="21" x14ac:dyDescent="0.3">
      <c r="A24" t="s">
        <v>553</v>
      </c>
      <c r="B24" s="11">
        <v>22</v>
      </c>
      <c r="C24">
        <v>586</v>
      </c>
      <c r="D24">
        <v>23</v>
      </c>
      <c r="E24" s="4">
        <v>44530</v>
      </c>
      <c r="F24" t="s">
        <v>62</v>
      </c>
      <c r="G24" t="s">
        <v>37</v>
      </c>
      <c r="H24" t="s">
        <v>66</v>
      </c>
      <c r="I24" t="s">
        <v>212</v>
      </c>
      <c r="J24" t="s">
        <v>41</v>
      </c>
      <c r="K24" s="9">
        <v>1.4548611111111112</v>
      </c>
      <c r="L24">
        <v>12</v>
      </c>
      <c r="M24">
        <v>22</v>
      </c>
      <c r="N24">
        <v>0.54500000000000004</v>
      </c>
      <c r="O24">
        <v>0</v>
      </c>
      <c r="P24">
        <v>2</v>
      </c>
      <c r="Q24">
        <v>0</v>
      </c>
      <c r="R24">
        <v>12</v>
      </c>
      <c r="S24">
        <v>20</v>
      </c>
      <c r="T24">
        <v>0.6</v>
      </c>
      <c r="U24">
        <v>0.54500000000000004</v>
      </c>
      <c r="V24">
        <v>1</v>
      </c>
      <c r="W24">
        <v>2</v>
      </c>
      <c r="X24">
        <v>0.5</v>
      </c>
      <c r="Y24">
        <v>2</v>
      </c>
      <c r="Z24">
        <v>5</v>
      </c>
      <c r="AA24">
        <v>7</v>
      </c>
      <c r="AB24">
        <v>3</v>
      </c>
      <c r="AC24">
        <v>2</v>
      </c>
      <c r="AD24">
        <v>2</v>
      </c>
      <c r="AE24">
        <v>1</v>
      </c>
      <c r="AF24">
        <v>2</v>
      </c>
      <c r="AG24">
        <v>25</v>
      </c>
      <c r="AH24">
        <v>20.6</v>
      </c>
      <c r="AI24">
        <v>10</v>
      </c>
    </row>
    <row r="25" spans="1:35" ht="21" x14ac:dyDescent="0.3">
      <c r="A25" t="s">
        <v>553</v>
      </c>
      <c r="B25" s="11">
        <v>23</v>
      </c>
      <c r="C25">
        <v>587</v>
      </c>
      <c r="D25">
        <v>24</v>
      </c>
      <c r="E25" s="4">
        <v>44533</v>
      </c>
      <c r="F25" t="s">
        <v>62</v>
      </c>
      <c r="H25" t="s">
        <v>64</v>
      </c>
      <c r="I25" t="s">
        <v>213</v>
      </c>
      <c r="J25" t="s">
        <v>41</v>
      </c>
      <c r="K25" s="9">
        <v>1.5125</v>
      </c>
      <c r="L25">
        <v>10</v>
      </c>
      <c r="M25">
        <v>15</v>
      </c>
      <c r="N25">
        <v>0.66700000000000004</v>
      </c>
      <c r="O25">
        <v>0</v>
      </c>
      <c r="P25">
        <v>2</v>
      </c>
      <c r="Q25">
        <v>0</v>
      </c>
      <c r="R25">
        <v>10</v>
      </c>
      <c r="S25">
        <v>13</v>
      </c>
      <c r="T25">
        <v>0.76900000000000002</v>
      </c>
      <c r="U25">
        <v>0.66700000000000004</v>
      </c>
      <c r="V25">
        <v>7</v>
      </c>
      <c r="W25">
        <v>11</v>
      </c>
      <c r="X25">
        <v>0.63600000000000001</v>
      </c>
      <c r="Y25">
        <v>5</v>
      </c>
      <c r="Z25">
        <v>5</v>
      </c>
      <c r="AA25">
        <v>10</v>
      </c>
      <c r="AB25">
        <v>4</v>
      </c>
      <c r="AC25">
        <v>0</v>
      </c>
      <c r="AD25">
        <v>1</v>
      </c>
      <c r="AE25">
        <v>2</v>
      </c>
      <c r="AF25">
        <v>2</v>
      </c>
      <c r="AG25">
        <v>27</v>
      </c>
      <c r="AH25">
        <v>24.6</v>
      </c>
      <c r="AI25">
        <v>-9</v>
      </c>
    </row>
    <row r="26" spans="1:35" ht="21" x14ac:dyDescent="0.3">
      <c r="A26" t="s">
        <v>553</v>
      </c>
      <c r="B26" s="11">
        <v>24</v>
      </c>
      <c r="C26">
        <v>588</v>
      </c>
      <c r="D26">
        <v>25</v>
      </c>
      <c r="E26" s="4">
        <v>44537</v>
      </c>
      <c r="F26" t="s">
        <v>62</v>
      </c>
      <c r="H26" t="s">
        <v>55</v>
      </c>
      <c r="I26" t="s">
        <v>214</v>
      </c>
      <c r="J26" t="s">
        <v>41</v>
      </c>
      <c r="K26" s="9">
        <v>1.4784722222222222</v>
      </c>
      <c r="L26">
        <v>7</v>
      </c>
      <c r="M26">
        <v>13</v>
      </c>
      <c r="N26">
        <v>0.53800000000000003</v>
      </c>
      <c r="O26">
        <v>0</v>
      </c>
      <c r="P26">
        <v>0</v>
      </c>
      <c r="R26">
        <v>7</v>
      </c>
      <c r="S26">
        <v>13</v>
      </c>
      <c r="T26">
        <v>0.53800000000000003</v>
      </c>
      <c r="U26">
        <v>0.53800000000000003</v>
      </c>
      <c r="V26">
        <v>3</v>
      </c>
      <c r="W26">
        <v>4</v>
      </c>
      <c r="X26">
        <v>0.75</v>
      </c>
      <c r="Y26">
        <v>4</v>
      </c>
      <c r="Z26">
        <v>12</v>
      </c>
      <c r="AA26">
        <v>16</v>
      </c>
      <c r="AB26">
        <v>3</v>
      </c>
      <c r="AC26">
        <v>2</v>
      </c>
      <c r="AD26">
        <v>2</v>
      </c>
      <c r="AE26">
        <v>3</v>
      </c>
      <c r="AF26">
        <v>3</v>
      </c>
      <c r="AG26">
        <v>17</v>
      </c>
      <c r="AH26">
        <v>18</v>
      </c>
      <c r="AI26">
        <v>17</v>
      </c>
    </row>
    <row r="27" spans="1:35" ht="21" x14ac:dyDescent="0.3">
      <c r="A27" t="s">
        <v>553</v>
      </c>
      <c r="B27" s="11">
        <v>25</v>
      </c>
      <c r="C27">
        <v>589</v>
      </c>
      <c r="D27">
        <v>26</v>
      </c>
      <c r="E27" s="4">
        <v>44539</v>
      </c>
      <c r="F27" t="s">
        <v>62</v>
      </c>
      <c r="G27" t="s">
        <v>37</v>
      </c>
      <c r="H27" t="s">
        <v>42</v>
      </c>
      <c r="I27" t="s">
        <v>215</v>
      </c>
      <c r="J27" t="s">
        <v>41</v>
      </c>
      <c r="K27" s="9">
        <v>1.5888888888888888</v>
      </c>
      <c r="L27">
        <v>9</v>
      </c>
      <c r="M27">
        <v>18</v>
      </c>
      <c r="N27">
        <v>0.5</v>
      </c>
      <c r="O27">
        <v>1</v>
      </c>
      <c r="P27">
        <v>4</v>
      </c>
      <c r="Q27">
        <v>0.25</v>
      </c>
      <c r="R27">
        <v>8</v>
      </c>
      <c r="S27">
        <v>14</v>
      </c>
      <c r="T27">
        <v>0.57099999999999995</v>
      </c>
      <c r="U27">
        <v>0.52800000000000002</v>
      </c>
      <c r="V27">
        <v>3</v>
      </c>
      <c r="W27">
        <v>4</v>
      </c>
      <c r="X27">
        <v>0.75</v>
      </c>
      <c r="Y27">
        <v>1</v>
      </c>
      <c r="Z27">
        <v>7</v>
      </c>
      <c r="AA27">
        <v>8</v>
      </c>
      <c r="AB27">
        <v>1</v>
      </c>
      <c r="AC27">
        <v>1</v>
      </c>
      <c r="AD27">
        <v>1</v>
      </c>
      <c r="AE27">
        <v>2</v>
      </c>
      <c r="AF27">
        <v>1</v>
      </c>
      <c r="AG27">
        <v>22</v>
      </c>
      <c r="AH27">
        <v>15.4</v>
      </c>
      <c r="AI27">
        <v>-2</v>
      </c>
    </row>
    <row r="28" spans="1:35" ht="21" x14ac:dyDescent="0.3">
      <c r="A28" t="s">
        <v>553</v>
      </c>
      <c r="B28" s="11">
        <v>25</v>
      </c>
      <c r="D28">
        <v>27</v>
      </c>
      <c r="E28" s="4">
        <v>44540</v>
      </c>
      <c r="F28" t="s">
        <v>62</v>
      </c>
      <c r="G28" t="s">
        <v>37</v>
      </c>
      <c r="H28" t="s">
        <v>68</v>
      </c>
      <c r="I28" t="s">
        <v>216</v>
      </c>
      <c r="J28" t="s">
        <v>210</v>
      </c>
      <c r="K28" t="s">
        <v>210</v>
      </c>
      <c r="L28" t="s">
        <v>210</v>
      </c>
      <c r="M28" t="s">
        <v>210</v>
      </c>
      <c r="N28" t="s">
        <v>210</v>
      </c>
      <c r="O28" t="s">
        <v>210</v>
      </c>
      <c r="P28" t="s">
        <v>210</v>
      </c>
      <c r="Q28" t="s">
        <v>210</v>
      </c>
      <c r="R28" t="s">
        <v>210</v>
      </c>
      <c r="S28" t="s">
        <v>210</v>
      </c>
      <c r="T28" t="s">
        <v>210</v>
      </c>
      <c r="U28" t="s">
        <v>210</v>
      </c>
      <c r="V28" t="s">
        <v>210</v>
      </c>
      <c r="W28" t="s">
        <v>210</v>
      </c>
      <c r="X28" t="s">
        <v>210</v>
      </c>
      <c r="Y28" t="s">
        <v>210</v>
      </c>
      <c r="Z28" t="s">
        <v>210</v>
      </c>
      <c r="AA28" t="s">
        <v>210</v>
      </c>
      <c r="AB28" t="s">
        <v>210</v>
      </c>
      <c r="AC28" t="s">
        <v>210</v>
      </c>
      <c r="AD28" t="s">
        <v>210</v>
      </c>
      <c r="AE28" t="s">
        <v>210</v>
      </c>
      <c r="AF28" t="s">
        <v>210</v>
      </c>
      <c r="AG28" t="s">
        <v>210</v>
      </c>
      <c r="AH28" t="s">
        <v>210</v>
      </c>
      <c r="AI28" t="s">
        <v>210</v>
      </c>
    </row>
    <row r="29" spans="1:35" ht="21" x14ac:dyDescent="0.3">
      <c r="A29" t="s">
        <v>553</v>
      </c>
      <c r="B29" s="11">
        <v>25</v>
      </c>
      <c r="D29">
        <v>28</v>
      </c>
      <c r="E29" s="4">
        <v>44542</v>
      </c>
      <c r="F29" t="s">
        <v>62</v>
      </c>
      <c r="H29" t="s">
        <v>104</v>
      </c>
      <c r="I29" t="s">
        <v>217</v>
      </c>
      <c r="J29" t="s">
        <v>210</v>
      </c>
      <c r="K29" t="s">
        <v>210</v>
      </c>
      <c r="L29" t="s">
        <v>210</v>
      </c>
      <c r="M29" t="s">
        <v>210</v>
      </c>
      <c r="N29" t="s">
        <v>210</v>
      </c>
      <c r="O29" t="s">
        <v>210</v>
      </c>
      <c r="P29" t="s">
        <v>210</v>
      </c>
      <c r="Q29" t="s">
        <v>210</v>
      </c>
      <c r="R29" t="s">
        <v>210</v>
      </c>
      <c r="S29" t="s">
        <v>210</v>
      </c>
      <c r="T29" t="s">
        <v>210</v>
      </c>
      <c r="U29" t="s">
        <v>210</v>
      </c>
      <c r="V29" t="s">
        <v>210</v>
      </c>
      <c r="W29" t="s">
        <v>210</v>
      </c>
      <c r="X29" t="s">
        <v>210</v>
      </c>
      <c r="Y29" t="s">
        <v>210</v>
      </c>
      <c r="Z29" t="s">
        <v>210</v>
      </c>
      <c r="AA29" t="s">
        <v>210</v>
      </c>
      <c r="AB29" t="s">
        <v>210</v>
      </c>
      <c r="AC29" t="s">
        <v>210</v>
      </c>
      <c r="AD29" t="s">
        <v>210</v>
      </c>
      <c r="AE29" t="s">
        <v>210</v>
      </c>
      <c r="AF29" t="s">
        <v>210</v>
      </c>
      <c r="AG29" t="s">
        <v>210</v>
      </c>
      <c r="AH29" t="s">
        <v>210</v>
      </c>
      <c r="AI29" t="s">
        <v>210</v>
      </c>
    </row>
    <row r="30" spans="1:35" ht="21" x14ac:dyDescent="0.3">
      <c r="A30" t="s">
        <v>553</v>
      </c>
      <c r="B30" s="11">
        <v>26</v>
      </c>
      <c r="C30">
        <v>590</v>
      </c>
      <c r="D30">
        <v>29</v>
      </c>
      <c r="E30" s="4">
        <v>44545</v>
      </c>
      <c r="F30" t="s">
        <v>62</v>
      </c>
      <c r="G30" t="s">
        <v>37</v>
      </c>
      <c r="H30" t="s">
        <v>49</v>
      </c>
      <c r="I30" t="s">
        <v>218</v>
      </c>
      <c r="J30" t="s">
        <v>41</v>
      </c>
      <c r="K30" s="9">
        <v>1.6409722222222223</v>
      </c>
      <c r="L30">
        <v>8</v>
      </c>
      <c r="M30">
        <v>18</v>
      </c>
      <c r="N30">
        <v>0.44400000000000001</v>
      </c>
      <c r="O30">
        <v>0</v>
      </c>
      <c r="P30">
        <v>3</v>
      </c>
      <c r="Q30">
        <v>0</v>
      </c>
      <c r="R30">
        <v>8</v>
      </c>
      <c r="S30">
        <v>15</v>
      </c>
      <c r="T30">
        <v>0.53300000000000003</v>
      </c>
      <c r="U30">
        <v>0.44400000000000001</v>
      </c>
      <c r="V30">
        <v>4</v>
      </c>
      <c r="W30">
        <v>5</v>
      </c>
      <c r="X30">
        <v>0.8</v>
      </c>
      <c r="Y30">
        <v>0</v>
      </c>
      <c r="Z30">
        <v>12</v>
      </c>
      <c r="AA30">
        <v>12</v>
      </c>
      <c r="AB30">
        <v>2</v>
      </c>
      <c r="AC30">
        <v>0</v>
      </c>
      <c r="AD30">
        <v>0</v>
      </c>
      <c r="AE30">
        <v>6</v>
      </c>
      <c r="AF30">
        <v>4</v>
      </c>
      <c r="AG30">
        <v>20</v>
      </c>
      <c r="AH30">
        <v>7.6</v>
      </c>
      <c r="AI30">
        <v>21</v>
      </c>
    </row>
    <row r="31" spans="1:35" ht="21" x14ac:dyDescent="0.3">
      <c r="A31" t="s">
        <v>553</v>
      </c>
      <c r="B31" s="11">
        <v>27</v>
      </c>
      <c r="C31">
        <v>591</v>
      </c>
      <c r="D31">
        <v>30</v>
      </c>
      <c r="E31" s="4">
        <v>44547</v>
      </c>
      <c r="F31" t="s">
        <v>62</v>
      </c>
      <c r="G31" t="s">
        <v>37</v>
      </c>
      <c r="H31" t="s">
        <v>80</v>
      </c>
      <c r="I31" t="s">
        <v>219</v>
      </c>
      <c r="J31" t="s">
        <v>41</v>
      </c>
      <c r="K31" s="7">
        <v>0.83680555555555558</v>
      </c>
      <c r="L31">
        <v>4</v>
      </c>
      <c r="M31">
        <v>7</v>
      </c>
      <c r="N31">
        <v>0.57099999999999995</v>
      </c>
      <c r="O31">
        <v>0</v>
      </c>
      <c r="P31">
        <v>1</v>
      </c>
      <c r="Q31">
        <v>0</v>
      </c>
      <c r="R31">
        <v>4</v>
      </c>
      <c r="S31">
        <v>6</v>
      </c>
      <c r="T31">
        <v>0.66700000000000004</v>
      </c>
      <c r="U31">
        <v>0.57099999999999995</v>
      </c>
      <c r="V31">
        <v>1</v>
      </c>
      <c r="W31">
        <v>1</v>
      </c>
      <c r="X31">
        <v>1</v>
      </c>
      <c r="Y31">
        <v>0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3</v>
      </c>
      <c r="AF31">
        <v>2</v>
      </c>
      <c r="AG31">
        <v>9</v>
      </c>
      <c r="AH31">
        <v>2.9</v>
      </c>
      <c r="AI31">
        <v>-8</v>
      </c>
    </row>
    <row r="32" spans="1:35" ht="21" x14ac:dyDescent="0.3">
      <c r="A32" t="s">
        <v>553</v>
      </c>
      <c r="B32" s="11">
        <v>27</v>
      </c>
      <c r="D32">
        <v>31</v>
      </c>
      <c r="E32" s="4">
        <v>44549</v>
      </c>
      <c r="F32" t="s">
        <v>62</v>
      </c>
      <c r="G32" t="s">
        <v>37</v>
      </c>
      <c r="H32" t="s">
        <v>82</v>
      </c>
      <c r="I32" t="s">
        <v>220</v>
      </c>
      <c r="J32" t="s">
        <v>210</v>
      </c>
      <c r="K32" t="s">
        <v>210</v>
      </c>
      <c r="L32" t="s">
        <v>210</v>
      </c>
      <c r="M32" t="s">
        <v>210</v>
      </c>
      <c r="N32" t="s">
        <v>210</v>
      </c>
      <c r="O32" t="s">
        <v>210</v>
      </c>
      <c r="P32" t="s">
        <v>210</v>
      </c>
      <c r="Q32" t="s">
        <v>210</v>
      </c>
      <c r="R32" t="s">
        <v>210</v>
      </c>
      <c r="S32" t="s">
        <v>210</v>
      </c>
      <c r="T32" t="s">
        <v>210</v>
      </c>
      <c r="U32" t="s">
        <v>210</v>
      </c>
      <c r="V32" t="s">
        <v>210</v>
      </c>
      <c r="W32" t="s">
        <v>210</v>
      </c>
      <c r="X32" t="s">
        <v>210</v>
      </c>
      <c r="Y32" t="s">
        <v>210</v>
      </c>
      <c r="Z32" t="s">
        <v>210</v>
      </c>
      <c r="AA32" t="s">
        <v>210</v>
      </c>
      <c r="AB32" t="s">
        <v>210</v>
      </c>
      <c r="AC32" t="s">
        <v>210</v>
      </c>
      <c r="AD32" t="s">
        <v>210</v>
      </c>
      <c r="AE32" t="s">
        <v>210</v>
      </c>
      <c r="AF32" t="s">
        <v>210</v>
      </c>
      <c r="AG32" t="s">
        <v>210</v>
      </c>
      <c r="AH32" t="s">
        <v>210</v>
      </c>
      <c r="AI32" t="s">
        <v>210</v>
      </c>
    </row>
    <row r="33" spans="1:35" ht="21" x14ac:dyDescent="0.3">
      <c r="A33" t="s">
        <v>553</v>
      </c>
      <c r="B33" s="11">
        <v>27</v>
      </c>
      <c r="D33">
        <v>32</v>
      </c>
      <c r="E33" s="4">
        <v>44551</v>
      </c>
      <c r="F33" t="s">
        <v>62</v>
      </c>
      <c r="H33" t="s">
        <v>99</v>
      </c>
      <c r="I33" t="s">
        <v>221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91</v>
      </c>
      <c r="Q33" t="s">
        <v>91</v>
      </c>
      <c r="R33" t="s">
        <v>91</v>
      </c>
      <c r="S33" t="s">
        <v>91</v>
      </c>
      <c r="T33" t="s">
        <v>91</v>
      </c>
      <c r="U33" t="s">
        <v>91</v>
      </c>
      <c r="V33" t="s">
        <v>91</v>
      </c>
      <c r="W33" t="s">
        <v>91</v>
      </c>
      <c r="X33" t="s">
        <v>91</v>
      </c>
      <c r="Y33" t="s">
        <v>91</v>
      </c>
      <c r="Z33" t="s">
        <v>91</v>
      </c>
      <c r="AA33" t="s">
        <v>91</v>
      </c>
      <c r="AB33" t="s">
        <v>91</v>
      </c>
      <c r="AC33" t="s">
        <v>91</v>
      </c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 t="s">
        <v>91</v>
      </c>
    </row>
    <row r="34" spans="1:35" ht="21" x14ac:dyDescent="0.3">
      <c r="A34" t="s">
        <v>553</v>
      </c>
      <c r="B34" s="11">
        <v>27</v>
      </c>
      <c r="D34">
        <v>33</v>
      </c>
      <c r="E34" s="4">
        <v>44553</v>
      </c>
      <c r="F34" t="s">
        <v>62</v>
      </c>
      <c r="H34" t="s">
        <v>102</v>
      </c>
      <c r="I34" t="s">
        <v>222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  <c r="O34" t="s">
        <v>91</v>
      </c>
      <c r="P34" t="s">
        <v>91</v>
      </c>
      <c r="Q34" t="s">
        <v>91</v>
      </c>
      <c r="R34" t="s">
        <v>91</v>
      </c>
      <c r="S34" t="s">
        <v>91</v>
      </c>
      <c r="T34" t="s">
        <v>91</v>
      </c>
      <c r="U34" t="s">
        <v>91</v>
      </c>
      <c r="V34" t="s">
        <v>91</v>
      </c>
      <c r="W34" t="s">
        <v>91</v>
      </c>
      <c r="X34" t="s">
        <v>91</v>
      </c>
      <c r="Y34" t="s">
        <v>91</v>
      </c>
      <c r="Z34" t="s">
        <v>91</v>
      </c>
      <c r="AA34" t="s">
        <v>91</v>
      </c>
      <c r="AB34" t="s">
        <v>91</v>
      </c>
      <c r="AC34" t="s">
        <v>91</v>
      </c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 t="s">
        <v>91</v>
      </c>
    </row>
    <row r="35" spans="1:35" ht="21" x14ac:dyDescent="0.3">
      <c r="A35" t="s">
        <v>553</v>
      </c>
      <c r="B35" s="11">
        <v>27</v>
      </c>
      <c r="D35">
        <v>34</v>
      </c>
      <c r="E35" s="4">
        <v>44555</v>
      </c>
      <c r="F35" t="s">
        <v>62</v>
      </c>
      <c r="H35" t="s">
        <v>85</v>
      </c>
      <c r="I35" t="s">
        <v>223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  <c r="O35" t="s">
        <v>91</v>
      </c>
      <c r="P35" t="s">
        <v>91</v>
      </c>
      <c r="Q35" t="s">
        <v>91</v>
      </c>
      <c r="R35" t="s">
        <v>91</v>
      </c>
      <c r="S35" t="s">
        <v>91</v>
      </c>
      <c r="T35" t="s">
        <v>91</v>
      </c>
      <c r="U35" t="s">
        <v>91</v>
      </c>
      <c r="V35" t="s">
        <v>91</v>
      </c>
      <c r="W35" t="s">
        <v>91</v>
      </c>
      <c r="X35" t="s">
        <v>91</v>
      </c>
      <c r="Y35" t="s">
        <v>91</v>
      </c>
      <c r="Z35" t="s">
        <v>91</v>
      </c>
      <c r="AA35" t="s">
        <v>91</v>
      </c>
      <c r="AB35" t="s">
        <v>91</v>
      </c>
      <c r="AC35" t="s">
        <v>91</v>
      </c>
      <c r="AD35" t="s">
        <v>91</v>
      </c>
      <c r="AE35" t="s">
        <v>91</v>
      </c>
      <c r="AF35" t="s">
        <v>91</v>
      </c>
      <c r="AG35" t="s">
        <v>91</v>
      </c>
      <c r="AH35" t="s">
        <v>91</v>
      </c>
      <c r="AI35" t="s">
        <v>91</v>
      </c>
    </row>
    <row r="36" spans="1:35" ht="21" x14ac:dyDescent="0.3">
      <c r="A36" t="s">
        <v>553</v>
      </c>
      <c r="B36" s="11">
        <v>27</v>
      </c>
      <c r="D36">
        <v>35</v>
      </c>
      <c r="E36" s="4">
        <v>44558</v>
      </c>
      <c r="F36" t="s">
        <v>62</v>
      </c>
      <c r="G36" t="s">
        <v>37</v>
      </c>
      <c r="H36" t="s">
        <v>76</v>
      </c>
      <c r="I36" t="s">
        <v>224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  <c r="O36" t="s">
        <v>91</v>
      </c>
      <c r="P36" t="s">
        <v>91</v>
      </c>
      <c r="Q36" t="s">
        <v>91</v>
      </c>
      <c r="R36" t="s">
        <v>91</v>
      </c>
      <c r="S36" t="s">
        <v>91</v>
      </c>
      <c r="T36" t="s">
        <v>91</v>
      </c>
      <c r="U36" t="s">
        <v>91</v>
      </c>
      <c r="V36" t="s">
        <v>91</v>
      </c>
      <c r="W36" t="s">
        <v>91</v>
      </c>
      <c r="X36" t="s">
        <v>91</v>
      </c>
      <c r="Y36" t="s">
        <v>91</v>
      </c>
      <c r="Z36" t="s">
        <v>91</v>
      </c>
      <c r="AA36" t="s">
        <v>91</v>
      </c>
      <c r="AB36" t="s">
        <v>91</v>
      </c>
      <c r="AC36" t="s">
        <v>91</v>
      </c>
      <c r="AD36" t="s">
        <v>91</v>
      </c>
      <c r="AE36" t="s">
        <v>91</v>
      </c>
      <c r="AF36" t="s">
        <v>91</v>
      </c>
      <c r="AG36" t="s">
        <v>91</v>
      </c>
      <c r="AH36" t="s">
        <v>91</v>
      </c>
      <c r="AI36" t="s">
        <v>91</v>
      </c>
    </row>
    <row r="37" spans="1:35" ht="21" x14ac:dyDescent="0.3">
      <c r="A37" t="s">
        <v>553</v>
      </c>
      <c r="B37" s="11">
        <v>27</v>
      </c>
      <c r="D37">
        <v>36</v>
      </c>
      <c r="E37" s="4">
        <v>44559</v>
      </c>
      <c r="F37" t="s">
        <v>62</v>
      </c>
      <c r="G37" t="s">
        <v>37</v>
      </c>
      <c r="H37" t="s">
        <v>42</v>
      </c>
      <c r="I37" t="s">
        <v>225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  <c r="O37" t="s">
        <v>91</v>
      </c>
      <c r="P37" t="s">
        <v>91</v>
      </c>
      <c r="Q37" t="s">
        <v>91</v>
      </c>
      <c r="R37" t="s">
        <v>91</v>
      </c>
      <c r="S37" t="s">
        <v>91</v>
      </c>
      <c r="T37" t="s">
        <v>91</v>
      </c>
      <c r="U37" t="s">
        <v>91</v>
      </c>
      <c r="V37" t="s">
        <v>91</v>
      </c>
      <c r="W37" t="s">
        <v>91</v>
      </c>
      <c r="X37" t="s">
        <v>91</v>
      </c>
      <c r="Y37" t="s">
        <v>91</v>
      </c>
      <c r="Z37" t="s">
        <v>91</v>
      </c>
      <c r="AA37" t="s">
        <v>91</v>
      </c>
      <c r="AB37" t="s">
        <v>91</v>
      </c>
      <c r="AC37" t="s">
        <v>91</v>
      </c>
      <c r="AD37" t="s">
        <v>91</v>
      </c>
      <c r="AE37" t="s">
        <v>91</v>
      </c>
      <c r="AF37" t="s">
        <v>91</v>
      </c>
      <c r="AG37" t="s">
        <v>91</v>
      </c>
      <c r="AH37" t="s">
        <v>91</v>
      </c>
      <c r="AI37" t="s">
        <v>91</v>
      </c>
    </row>
    <row r="38" spans="1:35" ht="21" x14ac:dyDescent="0.3">
      <c r="A38" t="s">
        <v>553</v>
      </c>
      <c r="B38" s="11">
        <v>27</v>
      </c>
      <c r="D38">
        <v>37</v>
      </c>
      <c r="E38" s="4">
        <v>44561</v>
      </c>
      <c r="F38" t="s">
        <v>62</v>
      </c>
      <c r="H38" t="s">
        <v>96</v>
      </c>
      <c r="I38" t="s">
        <v>226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  <c r="O38" t="s">
        <v>91</v>
      </c>
      <c r="P38" t="s">
        <v>91</v>
      </c>
      <c r="Q38" t="s">
        <v>91</v>
      </c>
      <c r="R38" t="s">
        <v>91</v>
      </c>
      <c r="S38" t="s">
        <v>91</v>
      </c>
      <c r="T38" t="s">
        <v>91</v>
      </c>
      <c r="U38" t="s">
        <v>91</v>
      </c>
      <c r="V38" t="s">
        <v>91</v>
      </c>
      <c r="W38" t="s">
        <v>91</v>
      </c>
      <c r="X38" t="s">
        <v>91</v>
      </c>
      <c r="Y38" t="s">
        <v>91</v>
      </c>
      <c r="Z38" t="s">
        <v>91</v>
      </c>
      <c r="AA38" t="s">
        <v>91</v>
      </c>
      <c r="AB38" t="s">
        <v>91</v>
      </c>
      <c r="AC38" t="s">
        <v>91</v>
      </c>
      <c r="AD38" t="s">
        <v>91</v>
      </c>
      <c r="AE38" t="s">
        <v>91</v>
      </c>
      <c r="AF38" t="s">
        <v>91</v>
      </c>
      <c r="AG38" t="s">
        <v>91</v>
      </c>
      <c r="AH38" t="s">
        <v>91</v>
      </c>
      <c r="AI38" t="s">
        <v>91</v>
      </c>
    </row>
    <row r="39" spans="1:35" ht="21" x14ac:dyDescent="0.3">
      <c r="A39" t="s">
        <v>553</v>
      </c>
      <c r="B39" s="11">
        <v>27</v>
      </c>
      <c r="D39">
        <v>38</v>
      </c>
      <c r="E39" s="4">
        <v>44563</v>
      </c>
      <c r="F39" t="s">
        <v>62</v>
      </c>
      <c r="H39" t="s">
        <v>80</v>
      </c>
      <c r="I39" t="s">
        <v>227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  <c r="O39" t="s">
        <v>91</v>
      </c>
      <c r="P39" t="s">
        <v>91</v>
      </c>
      <c r="Q39" t="s">
        <v>91</v>
      </c>
      <c r="R39" t="s">
        <v>91</v>
      </c>
      <c r="S39" t="s">
        <v>91</v>
      </c>
      <c r="T39" t="s">
        <v>91</v>
      </c>
      <c r="U39" t="s">
        <v>91</v>
      </c>
      <c r="V39" t="s">
        <v>91</v>
      </c>
      <c r="W39" t="s">
        <v>91</v>
      </c>
      <c r="X39" t="s">
        <v>91</v>
      </c>
      <c r="Y39" t="s">
        <v>91</v>
      </c>
      <c r="Z39" t="s">
        <v>91</v>
      </c>
      <c r="AA39" t="s">
        <v>91</v>
      </c>
      <c r="AB39" t="s">
        <v>91</v>
      </c>
      <c r="AC39" t="s">
        <v>91</v>
      </c>
      <c r="AD39" t="s">
        <v>91</v>
      </c>
      <c r="AE39" t="s">
        <v>91</v>
      </c>
      <c r="AF39" t="s">
        <v>91</v>
      </c>
      <c r="AG39" t="s">
        <v>91</v>
      </c>
      <c r="AH39" t="s">
        <v>91</v>
      </c>
      <c r="AI39" t="s">
        <v>91</v>
      </c>
    </row>
    <row r="40" spans="1:35" ht="21" x14ac:dyDescent="0.3">
      <c r="A40" t="s">
        <v>553</v>
      </c>
      <c r="B40" s="11">
        <v>27</v>
      </c>
      <c r="D40">
        <v>39</v>
      </c>
      <c r="E40" s="4">
        <v>44565</v>
      </c>
      <c r="F40" t="s">
        <v>62</v>
      </c>
      <c r="H40" t="s">
        <v>66</v>
      </c>
      <c r="I40" t="s">
        <v>228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  <c r="O40" t="s">
        <v>91</v>
      </c>
      <c r="P40" t="s">
        <v>91</v>
      </c>
      <c r="Q40" t="s">
        <v>91</v>
      </c>
      <c r="R40" t="s">
        <v>91</v>
      </c>
      <c r="S40" t="s">
        <v>91</v>
      </c>
      <c r="T40" t="s">
        <v>91</v>
      </c>
      <c r="U40" t="s">
        <v>91</v>
      </c>
      <c r="V40" t="s">
        <v>91</v>
      </c>
      <c r="W40" t="s">
        <v>91</v>
      </c>
      <c r="X40" t="s">
        <v>91</v>
      </c>
      <c r="Y40" t="s">
        <v>91</v>
      </c>
      <c r="Z40" t="s">
        <v>91</v>
      </c>
      <c r="AA40" t="s">
        <v>91</v>
      </c>
      <c r="AB40" t="s">
        <v>91</v>
      </c>
      <c r="AC40" t="s">
        <v>91</v>
      </c>
      <c r="AD40" t="s">
        <v>91</v>
      </c>
      <c r="AE40" t="s">
        <v>91</v>
      </c>
      <c r="AF40" t="s">
        <v>91</v>
      </c>
      <c r="AG40" t="s">
        <v>91</v>
      </c>
      <c r="AH40" t="s">
        <v>91</v>
      </c>
      <c r="AI40" t="s">
        <v>91</v>
      </c>
    </row>
    <row r="41" spans="1:35" ht="21" x14ac:dyDescent="0.3">
      <c r="A41" t="s">
        <v>553</v>
      </c>
      <c r="B41" s="11">
        <v>27</v>
      </c>
      <c r="D41">
        <v>40</v>
      </c>
      <c r="E41" s="4">
        <v>44568</v>
      </c>
      <c r="F41" t="s">
        <v>62</v>
      </c>
      <c r="H41" t="s">
        <v>78</v>
      </c>
      <c r="I41" t="s">
        <v>229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  <c r="O41" t="s">
        <v>91</v>
      </c>
      <c r="P41" t="s">
        <v>91</v>
      </c>
      <c r="Q41" t="s">
        <v>91</v>
      </c>
      <c r="R41" t="s">
        <v>91</v>
      </c>
      <c r="S41" t="s">
        <v>91</v>
      </c>
      <c r="T41" t="s">
        <v>91</v>
      </c>
      <c r="U41" t="s">
        <v>91</v>
      </c>
      <c r="V41" t="s">
        <v>91</v>
      </c>
      <c r="W41" t="s">
        <v>91</v>
      </c>
      <c r="X41" t="s">
        <v>91</v>
      </c>
      <c r="Y41" t="s">
        <v>91</v>
      </c>
      <c r="Z41" t="s">
        <v>91</v>
      </c>
      <c r="AA41" t="s">
        <v>91</v>
      </c>
      <c r="AB41" t="s">
        <v>91</v>
      </c>
      <c r="AC41" t="s">
        <v>91</v>
      </c>
      <c r="AD41" t="s">
        <v>91</v>
      </c>
      <c r="AE41" t="s">
        <v>91</v>
      </c>
      <c r="AF41" t="s">
        <v>91</v>
      </c>
      <c r="AG41" t="s">
        <v>91</v>
      </c>
      <c r="AH41" t="s">
        <v>91</v>
      </c>
      <c r="AI41" t="s">
        <v>91</v>
      </c>
    </row>
    <row r="42" spans="1:35" ht="21" x14ac:dyDescent="0.3">
      <c r="A42" t="s">
        <v>553</v>
      </c>
      <c r="B42" s="11">
        <v>27</v>
      </c>
      <c r="D42">
        <v>41</v>
      </c>
      <c r="E42" s="4">
        <v>44570</v>
      </c>
      <c r="F42" t="s">
        <v>62</v>
      </c>
      <c r="H42" t="s">
        <v>42</v>
      </c>
      <c r="I42" t="s">
        <v>230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  <c r="O42" t="s">
        <v>91</v>
      </c>
      <c r="P42" t="s">
        <v>91</v>
      </c>
      <c r="Q42" t="s">
        <v>91</v>
      </c>
      <c r="R42" t="s">
        <v>91</v>
      </c>
      <c r="S42" t="s">
        <v>91</v>
      </c>
      <c r="T42" t="s">
        <v>91</v>
      </c>
      <c r="U42" t="s">
        <v>91</v>
      </c>
      <c r="V42" t="s">
        <v>91</v>
      </c>
      <c r="W42" t="s">
        <v>91</v>
      </c>
      <c r="X42" t="s">
        <v>91</v>
      </c>
      <c r="Y42" t="s">
        <v>91</v>
      </c>
      <c r="Z42" t="s">
        <v>91</v>
      </c>
      <c r="AA42" t="s">
        <v>91</v>
      </c>
      <c r="AB42" t="s">
        <v>91</v>
      </c>
      <c r="AC42" t="s">
        <v>91</v>
      </c>
      <c r="AD42" t="s">
        <v>91</v>
      </c>
      <c r="AE42" t="s">
        <v>91</v>
      </c>
      <c r="AF42" t="s">
        <v>91</v>
      </c>
      <c r="AG42" t="s">
        <v>91</v>
      </c>
      <c r="AH42" t="s">
        <v>91</v>
      </c>
      <c r="AI42" t="s">
        <v>91</v>
      </c>
    </row>
    <row r="43" spans="1:35" ht="21" x14ac:dyDescent="0.3">
      <c r="A43" t="s">
        <v>553</v>
      </c>
      <c r="B43" s="11">
        <v>27</v>
      </c>
      <c r="D43">
        <v>42</v>
      </c>
      <c r="E43" s="4">
        <v>44573</v>
      </c>
      <c r="F43" t="s">
        <v>62</v>
      </c>
      <c r="G43" t="s">
        <v>37</v>
      </c>
      <c r="H43" t="s">
        <v>66</v>
      </c>
      <c r="I43" t="s">
        <v>231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  <c r="O43" t="s">
        <v>91</v>
      </c>
      <c r="P43" t="s">
        <v>91</v>
      </c>
      <c r="Q43" t="s">
        <v>91</v>
      </c>
      <c r="R43" t="s">
        <v>91</v>
      </c>
      <c r="S43" t="s">
        <v>91</v>
      </c>
      <c r="T43" t="s">
        <v>91</v>
      </c>
      <c r="U43" t="s">
        <v>91</v>
      </c>
      <c r="V43" t="s">
        <v>91</v>
      </c>
      <c r="W43" t="s">
        <v>91</v>
      </c>
      <c r="X43" t="s">
        <v>91</v>
      </c>
      <c r="Y43" t="s">
        <v>91</v>
      </c>
      <c r="Z43" t="s">
        <v>91</v>
      </c>
      <c r="AA43" t="s">
        <v>91</v>
      </c>
      <c r="AB43" t="s">
        <v>91</v>
      </c>
      <c r="AC43" t="s">
        <v>91</v>
      </c>
      <c r="AD43" t="s">
        <v>91</v>
      </c>
      <c r="AE43" t="s">
        <v>91</v>
      </c>
      <c r="AF43" t="s">
        <v>91</v>
      </c>
      <c r="AG43" t="s">
        <v>91</v>
      </c>
      <c r="AH43" t="s">
        <v>91</v>
      </c>
      <c r="AI43" t="s">
        <v>91</v>
      </c>
    </row>
    <row r="44" spans="1:35" ht="21" x14ac:dyDescent="0.3">
      <c r="A44" t="s">
        <v>553</v>
      </c>
      <c r="B44" s="11">
        <v>27</v>
      </c>
      <c r="D44">
        <v>43</v>
      </c>
      <c r="E44" s="4">
        <v>44576</v>
      </c>
      <c r="F44" t="s">
        <v>62</v>
      </c>
      <c r="G44" t="s">
        <v>37</v>
      </c>
      <c r="H44" t="s">
        <v>34</v>
      </c>
      <c r="I44" t="s">
        <v>232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  <c r="O44" t="s">
        <v>91</v>
      </c>
      <c r="P44" t="s">
        <v>91</v>
      </c>
      <c r="Q44" t="s">
        <v>91</v>
      </c>
      <c r="R44" t="s">
        <v>91</v>
      </c>
      <c r="S44" t="s">
        <v>91</v>
      </c>
      <c r="T44" t="s">
        <v>91</v>
      </c>
      <c r="U44" t="s">
        <v>91</v>
      </c>
      <c r="V44" t="s">
        <v>91</v>
      </c>
      <c r="W44" t="s">
        <v>91</v>
      </c>
      <c r="X44" t="s">
        <v>91</v>
      </c>
      <c r="Y44" t="s">
        <v>91</v>
      </c>
      <c r="Z44" t="s">
        <v>91</v>
      </c>
      <c r="AA44" t="s">
        <v>91</v>
      </c>
      <c r="AB44" t="s">
        <v>91</v>
      </c>
      <c r="AC44" t="s">
        <v>91</v>
      </c>
      <c r="AD44" t="s">
        <v>91</v>
      </c>
      <c r="AE44" t="s">
        <v>91</v>
      </c>
      <c r="AF44" t="s">
        <v>91</v>
      </c>
      <c r="AG44" t="s">
        <v>91</v>
      </c>
      <c r="AH44" t="s">
        <v>91</v>
      </c>
      <c r="AI44" t="s">
        <v>91</v>
      </c>
    </row>
    <row r="45" spans="1:35" ht="21" x14ac:dyDescent="0.3">
      <c r="A45" t="s">
        <v>553</v>
      </c>
      <c r="B45" s="11">
        <v>27</v>
      </c>
      <c r="D45">
        <v>44</v>
      </c>
      <c r="E45" s="4">
        <v>44578</v>
      </c>
      <c r="F45" t="s">
        <v>62</v>
      </c>
      <c r="H45" t="s">
        <v>118</v>
      </c>
      <c r="I45" t="s">
        <v>233</v>
      </c>
      <c r="J45" t="s">
        <v>91</v>
      </c>
      <c r="K45" t="s">
        <v>91</v>
      </c>
      <c r="L45" t="s">
        <v>91</v>
      </c>
      <c r="M45" t="s">
        <v>91</v>
      </c>
      <c r="N45" t="s">
        <v>91</v>
      </c>
      <c r="O45" t="s">
        <v>91</v>
      </c>
      <c r="P45" t="s">
        <v>91</v>
      </c>
      <c r="Q45" t="s">
        <v>91</v>
      </c>
      <c r="R45" t="s">
        <v>91</v>
      </c>
      <c r="S45" t="s">
        <v>91</v>
      </c>
      <c r="T45" t="s">
        <v>91</v>
      </c>
      <c r="U45" t="s">
        <v>91</v>
      </c>
      <c r="V45" t="s">
        <v>91</v>
      </c>
      <c r="W45" t="s">
        <v>91</v>
      </c>
      <c r="X45" t="s">
        <v>91</v>
      </c>
      <c r="Y45" t="s">
        <v>91</v>
      </c>
      <c r="Z45" t="s">
        <v>91</v>
      </c>
      <c r="AA45" t="s">
        <v>91</v>
      </c>
      <c r="AB45" t="s">
        <v>91</v>
      </c>
      <c r="AC45" t="s">
        <v>91</v>
      </c>
      <c r="AD45" t="s">
        <v>91</v>
      </c>
      <c r="AE45" t="s">
        <v>91</v>
      </c>
      <c r="AF45" t="s">
        <v>91</v>
      </c>
      <c r="AG45" t="s">
        <v>91</v>
      </c>
      <c r="AH45" t="s">
        <v>91</v>
      </c>
      <c r="AI45" t="s">
        <v>91</v>
      </c>
    </row>
    <row r="46" spans="1:35" ht="21" x14ac:dyDescent="0.3">
      <c r="A46" t="s">
        <v>553</v>
      </c>
      <c r="B46" s="11">
        <v>27</v>
      </c>
      <c r="D46">
        <v>45</v>
      </c>
      <c r="E46" s="4">
        <v>44580</v>
      </c>
      <c r="F46" t="s">
        <v>62</v>
      </c>
      <c r="H46" t="s">
        <v>108</v>
      </c>
      <c r="I46" t="s">
        <v>234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  <c r="O46" t="s">
        <v>91</v>
      </c>
      <c r="P46" t="s">
        <v>91</v>
      </c>
      <c r="Q46" t="s">
        <v>91</v>
      </c>
      <c r="R46" t="s">
        <v>91</v>
      </c>
      <c r="S46" t="s">
        <v>91</v>
      </c>
      <c r="T46" t="s">
        <v>91</v>
      </c>
      <c r="U46" t="s">
        <v>91</v>
      </c>
      <c r="V46" t="s">
        <v>91</v>
      </c>
      <c r="W46" t="s">
        <v>91</v>
      </c>
      <c r="X46" t="s">
        <v>91</v>
      </c>
      <c r="Y46" t="s">
        <v>91</v>
      </c>
      <c r="Z46" t="s">
        <v>91</v>
      </c>
      <c r="AA46" t="s">
        <v>91</v>
      </c>
      <c r="AB46" t="s">
        <v>91</v>
      </c>
      <c r="AC46" t="s">
        <v>91</v>
      </c>
      <c r="AD46" t="s">
        <v>91</v>
      </c>
      <c r="AE46" t="s">
        <v>91</v>
      </c>
      <c r="AF46" t="s">
        <v>91</v>
      </c>
      <c r="AG46" t="s">
        <v>91</v>
      </c>
      <c r="AH46" t="s">
        <v>91</v>
      </c>
      <c r="AI46" t="s">
        <v>91</v>
      </c>
    </row>
    <row r="47" spans="1:35" ht="21" x14ac:dyDescent="0.3">
      <c r="A47" t="s">
        <v>553</v>
      </c>
      <c r="B47" s="11">
        <v>27</v>
      </c>
      <c r="D47">
        <v>46</v>
      </c>
      <c r="E47" s="4">
        <v>44582</v>
      </c>
      <c r="F47" t="s">
        <v>62</v>
      </c>
      <c r="G47" t="s">
        <v>37</v>
      </c>
      <c r="H47" t="s">
        <v>104</v>
      </c>
      <c r="I47" t="s">
        <v>235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  <c r="O47" t="s">
        <v>91</v>
      </c>
      <c r="P47" t="s">
        <v>91</v>
      </c>
      <c r="Q47" t="s">
        <v>91</v>
      </c>
      <c r="R47" t="s">
        <v>91</v>
      </c>
      <c r="S47" t="s">
        <v>91</v>
      </c>
      <c r="T47" t="s">
        <v>91</v>
      </c>
      <c r="U47" t="s">
        <v>91</v>
      </c>
      <c r="V47" t="s">
        <v>91</v>
      </c>
      <c r="W47" t="s">
        <v>91</v>
      </c>
      <c r="X47" t="s">
        <v>91</v>
      </c>
      <c r="Y47" t="s">
        <v>91</v>
      </c>
      <c r="Z47" t="s">
        <v>91</v>
      </c>
      <c r="AA47" t="s">
        <v>91</v>
      </c>
      <c r="AB47" t="s">
        <v>91</v>
      </c>
      <c r="AC47" t="s">
        <v>91</v>
      </c>
      <c r="AD47" t="s">
        <v>91</v>
      </c>
      <c r="AE47" t="s">
        <v>91</v>
      </c>
      <c r="AF47" t="s">
        <v>91</v>
      </c>
      <c r="AG47" t="s">
        <v>91</v>
      </c>
      <c r="AH47" t="s">
        <v>91</v>
      </c>
      <c r="AI47" t="s">
        <v>91</v>
      </c>
    </row>
    <row r="48" spans="1:35" ht="21" x14ac:dyDescent="0.3">
      <c r="A48" t="s">
        <v>553</v>
      </c>
      <c r="B48" s="11">
        <v>27</v>
      </c>
      <c r="D48">
        <v>47</v>
      </c>
      <c r="E48" s="4">
        <v>44584</v>
      </c>
      <c r="F48" t="s">
        <v>62</v>
      </c>
      <c r="G48" t="s">
        <v>37</v>
      </c>
      <c r="H48" t="s">
        <v>120</v>
      </c>
      <c r="I48" t="s">
        <v>236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  <c r="O48" t="s">
        <v>91</v>
      </c>
      <c r="P48" t="s">
        <v>91</v>
      </c>
      <c r="Q48" t="s">
        <v>91</v>
      </c>
      <c r="R48" t="s">
        <v>91</v>
      </c>
      <c r="S48" t="s">
        <v>91</v>
      </c>
      <c r="T48" t="s">
        <v>91</v>
      </c>
      <c r="U48" t="s">
        <v>91</v>
      </c>
      <c r="V48" t="s">
        <v>91</v>
      </c>
      <c r="W48" t="s">
        <v>91</v>
      </c>
      <c r="X48" t="s">
        <v>91</v>
      </c>
      <c r="Y48" t="s">
        <v>91</v>
      </c>
      <c r="Z48" t="s">
        <v>91</v>
      </c>
      <c r="AA48" t="s">
        <v>91</v>
      </c>
      <c r="AB48" t="s">
        <v>91</v>
      </c>
      <c r="AC48" t="s">
        <v>91</v>
      </c>
      <c r="AD48" t="s">
        <v>91</v>
      </c>
      <c r="AE48" t="s">
        <v>91</v>
      </c>
      <c r="AF48" t="s">
        <v>91</v>
      </c>
      <c r="AG48" t="s">
        <v>91</v>
      </c>
      <c r="AH48" t="s">
        <v>91</v>
      </c>
      <c r="AI48" t="s">
        <v>91</v>
      </c>
    </row>
    <row r="49" spans="1:35" ht="21" x14ac:dyDescent="0.3">
      <c r="A49" t="s">
        <v>553</v>
      </c>
      <c r="B49" s="11">
        <v>28</v>
      </c>
      <c r="C49">
        <v>592</v>
      </c>
      <c r="D49">
        <v>48</v>
      </c>
      <c r="E49" s="4">
        <v>44586</v>
      </c>
      <c r="F49" t="s">
        <v>62</v>
      </c>
      <c r="G49" t="s">
        <v>37</v>
      </c>
      <c r="H49" t="s">
        <v>85</v>
      </c>
      <c r="I49" t="s">
        <v>237</v>
      </c>
      <c r="J49" t="s">
        <v>41</v>
      </c>
      <c r="K49" s="9">
        <v>1.0326388888888889</v>
      </c>
      <c r="L49">
        <v>3</v>
      </c>
      <c r="M49">
        <v>8</v>
      </c>
      <c r="N49">
        <v>0.375</v>
      </c>
      <c r="O49">
        <v>0</v>
      </c>
      <c r="P49">
        <v>1</v>
      </c>
      <c r="Q49">
        <v>0</v>
      </c>
      <c r="R49">
        <v>3</v>
      </c>
      <c r="S49">
        <v>7</v>
      </c>
      <c r="T49">
        <v>0.42899999999999999</v>
      </c>
      <c r="U49">
        <v>0.375</v>
      </c>
      <c r="V49">
        <v>2</v>
      </c>
      <c r="W49">
        <v>2</v>
      </c>
      <c r="X49">
        <v>1</v>
      </c>
      <c r="Y49">
        <v>1</v>
      </c>
      <c r="Z49">
        <v>1</v>
      </c>
      <c r="AA49">
        <v>2</v>
      </c>
      <c r="AB49">
        <v>2</v>
      </c>
      <c r="AC49">
        <v>1</v>
      </c>
      <c r="AD49">
        <v>4</v>
      </c>
      <c r="AE49">
        <v>1</v>
      </c>
      <c r="AF49">
        <v>4</v>
      </c>
      <c r="AG49">
        <v>8</v>
      </c>
      <c r="AH49">
        <v>7.2</v>
      </c>
      <c r="AI49">
        <v>-1</v>
      </c>
    </row>
    <row r="50" spans="1:35" ht="21" x14ac:dyDescent="0.3">
      <c r="A50" t="s">
        <v>553</v>
      </c>
      <c r="B50" s="11">
        <v>29</v>
      </c>
      <c r="C50">
        <v>593</v>
      </c>
      <c r="D50">
        <v>49</v>
      </c>
      <c r="E50" s="4">
        <v>44588</v>
      </c>
      <c r="F50" t="s">
        <v>62</v>
      </c>
      <c r="G50" t="s">
        <v>37</v>
      </c>
      <c r="H50" t="s">
        <v>94</v>
      </c>
      <c r="I50" t="s">
        <v>238</v>
      </c>
      <c r="J50" t="s">
        <v>41</v>
      </c>
      <c r="K50" s="9">
        <v>1.4020833333333333</v>
      </c>
      <c r="L50">
        <v>14</v>
      </c>
      <c r="M50">
        <v>21</v>
      </c>
      <c r="N50">
        <v>0.66700000000000004</v>
      </c>
      <c r="O50">
        <v>0</v>
      </c>
      <c r="P50">
        <v>1</v>
      </c>
      <c r="Q50">
        <v>0</v>
      </c>
      <c r="R50">
        <v>14</v>
      </c>
      <c r="S50">
        <v>20</v>
      </c>
      <c r="T50">
        <v>0.7</v>
      </c>
      <c r="U50">
        <v>0.66700000000000004</v>
      </c>
      <c r="V50">
        <v>3</v>
      </c>
      <c r="W50">
        <v>3</v>
      </c>
      <c r="X50">
        <v>1</v>
      </c>
      <c r="Y50">
        <v>3</v>
      </c>
      <c r="Z50">
        <v>9</v>
      </c>
      <c r="AA50">
        <v>12</v>
      </c>
      <c r="AB50">
        <v>1</v>
      </c>
      <c r="AC50">
        <v>2</v>
      </c>
      <c r="AD50">
        <v>4</v>
      </c>
      <c r="AE50">
        <v>3</v>
      </c>
      <c r="AF50">
        <v>4</v>
      </c>
      <c r="AG50">
        <v>31</v>
      </c>
      <c r="AH50">
        <v>27.6</v>
      </c>
      <c r="AI50">
        <v>-7</v>
      </c>
    </row>
    <row r="51" spans="1:35" ht="21" x14ac:dyDescent="0.3">
      <c r="A51" t="s">
        <v>553</v>
      </c>
      <c r="B51" s="11">
        <v>29</v>
      </c>
      <c r="D51">
        <v>50</v>
      </c>
      <c r="E51" s="4">
        <v>44589</v>
      </c>
      <c r="F51" t="s">
        <v>62</v>
      </c>
      <c r="G51" t="s">
        <v>37</v>
      </c>
      <c r="H51" t="s">
        <v>72</v>
      </c>
      <c r="I51" t="s">
        <v>239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  <c r="O51" t="s">
        <v>91</v>
      </c>
      <c r="P51" t="s">
        <v>91</v>
      </c>
      <c r="Q51" t="s">
        <v>91</v>
      </c>
      <c r="R51" t="s">
        <v>91</v>
      </c>
      <c r="S51" t="s">
        <v>91</v>
      </c>
      <c r="T51" t="s">
        <v>91</v>
      </c>
      <c r="U51" t="s">
        <v>91</v>
      </c>
      <c r="V51" t="s">
        <v>91</v>
      </c>
      <c r="W51" t="s">
        <v>91</v>
      </c>
      <c r="X51" t="s">
        <v>91</v>
      </c>
      <c r="Y51" t="s">
        <v>91</v>
      </c>
      <c r="Z51" t="s">
        <v>91</v>
      </c>
      <c r="AA51" t="s">
        <v>91</v>
      </c>
      <c r="AB51" t="s">
        <v>91</v>
      </c>
      <c r="AC51" t="s">
        <v>91</v>
      </c>
      <c r="AD51" t="s">
        <v>91</v>
      </c>
      <c r="AE51" t="s">
        <v>91</v>
      </c>
      <c r="AF51" t="s">
        <v>91</v>
      </c>
      <c r="AG51" t="s">
        <v>91</v>
      </c>
      <c r="AH51" t="s">
        <v>91</v>
      </c>
      <c r="AI51" t="s">
        <v>91</v>
      </c>
    </row>
    <row r="52" spans="1:35" ht="21" x14ac:dyDescent="0.3">
      <c r="A52" t="s">
        <v>553</v>
      </c>
      <c r="B52" s="11">
        <v>30</v>
      </c>
      <c r="C52">
        <v>594</v>
      </c>
      <c r="D52">
        <v>51</v>
      </c>
      <c r="E52" s="4">
        <v>44591</v>
      </c>
      <c r="F52" t="s">
        <v>62</v>
      </c>
      <c r="G52" t="s">
        <v>37</v>
      </c>
      <c r="H52" t="s">
        <v>78</v>
      </c>
      <c r="I52" t="s">
        <v>240</v>
      </c>
      <c r="J52" t="s">
        <v>41</v>
      </c>
      <c r="K52" s="9">
        <v>1.5979166666666667</v>
      </c>
      <c r="L52">
        <v>10</v>
      </c>
      <c r="M52">
        <v>20</v>
      </c>
      <c r="N52">
        <v>0.5</v>
      </c>
      <c r="O52">
        <v>1</v>
      </c>
      <c r="P52">
        <v>3</v>
      </c>
      <c r="Q52">
        <v>0.33300000000000002</v>
      </c>
      <c r="R52">
        <v>9</v>
      </c>
      <c r="S52">
        <v>17</v>
      </c>
      <c r="T52">
        <v>0.52900000000000003</v>
      </c>
      <c r="U52">
        <v>0.52500000000000002</v>
      </c>
      <c r="V52">
        <v>6</v>
      </c>
      <c r="W52">
        <v>9</v>
      </c>
      <c r="X52">
        <v>0.66700000000000004</v>
      </c>
      <c r="Y52">
        <v>2</v>
      </c>
      <c r="Z52">
        <v>3</v>
      </c>
      <c r="AA52">
        <v>5</v>
      </c>
      <c r="AB52">
        <v>4</v>
      </c>
      <c r="AC52">
        <v>2</v>
      </c>
      <c r="AD52">
        <v>1</v>
      </c>
      <c r="AE52">
        <v>3</v>
      </c>
      <c r="AF52">
        <v>4</v>
      </c>
      <c r="AG52">
        <v>27</v>
      </c>
      <c r="AH52">
        <v>19</v>
      </c>
      <c r="AI52">
        <v>2</v>
      </c>
    </row>
    <row r="53" spans="1:35" ht="21" x14ac:dyDescent="0.3">
      <c r="A53" t="s">
        <v>553</v>
      </c>
      <c r="B53" s="11">
        <v>31</v>
      </c>
      <c r="C53">
        <v>595</v>
      </c>
      <c r="D53">
        <v>52</v>
      </c>
      <c r="E53" s="4">
        <v>44594</v>
      </c>
      <c r="F53" t="s">
        <v>62</v>
      </c>
      <c r="H53" t="s">
        <v>96</v>
      </c>
      <c r="I53" t="s">
        <v>241</v>
      </c>
      <c r="J53" t="s">
        <v>41</v>
      </c>
      <c r="K53" s="9">
        <v>1.5263888888888888</v>
      </c>
      <c r="L53">
        <v>10</v>
      </c>
      <c r="M53">
        <v>18</v>
      </c>
      <c r="N53">
        <v>0.55600000000000005</v>
      </c>
      <c r="O53">
        <v>0</v>
      </c>
      <c r="P53">
        <v>0</v>
      </c>
      <c r="R53">
        <v>10</v>
      </c>
      <c r="S53">
        <v>18</v>
      </c>
      <c r="T53">
        <v>0.55600000000000005</v>
      </c>
      <c r="U53">
        <v>0.55600000000000005</v>
      </c>
      <c r="V53">
        <v>10</v>
      </c>
      <c r="W53">
        <v>14</v>
      </c>
      <c r="X53">
        <v>0.71399999999999997</v>
      </c>
      <c r="Y53">
        <v>3</v>
      </c>
      <c r="Z53">
        <v>12</v>
      </c>
      <c r="AA53">
        <v>15</v>
      </c>
      <c r="AB53">
        <v>2</v>
      </c>
      <c r="AC53">
        <v>0</v>
      </c>
      <c r="AD53">
        <v>3</v>
      </c>
      <c r="AE53">
        <v>3</v>
      </c>
      <c r="AF53">
        <v>5</v>
      </c>
      <c r="AG53">
        <v>30</v>
      </c>
      <c r="AH53">
        <v>24</v>
      </c>
      <c r="AI53">
        <v>2</v>
      </c>
    </row>
    <row r="54" spans="1:35" ht="21" x14ac:dyDescent="0.3">
      <c r="A54" t="s">
        <v>553</v>
      </c>
      <c r="B54" s="11">
        <v>32</v>
      </c>
      <c r="C54">
        <v>596</v>
      </c>
      <c r="D54">
        <v>53</v>
      </c>
      <c r="E54" s="4">
        <v>44595</v>
      </c>
      <c r="F54" t="s">
        <v>62</v>
      </c>
      <c r="G54" t="s">
        <v>37</v>
      </c>
      <c r="H54" t="s">
        <v>64</v>
      </c>
      <c r="I54" t="s">
        <v>242</v>
      </c>
      <c r="J54" t="s">
        <v>41</v>
      </c>
      <c r="K54" s="9">
        <v>1.5756944444444445</v>
      </c>
      <c r="L54">
        <v>12</v>
      </c>
      <c r="M54">
        <v>24</v>
      </c>
      <c r="N54">
        <v>0.5</v>
      </c>
      <c r="O54">
        <v>0</v>
      </c>
      <c r="P54">
        <v>2</v>
      </c>
      <c r="Q54">
        <v>0</v>
      </c>
      <c r="R54">
        <v>12</v>
      </c>
      <c r="S54">
        <v>22</v>
      </c>
      <c r="T54">
        <v>0.54500000000000004</v>
      </c>
      <c r="U54">
        <v>0.5</v>
      </c>
      <c r="V54">
        <v>6</v>
      </c>
      <c r="W54">
        <v>7</v>
      </c>
      <c r="X54">
        <v>0.85699999999999998</v>
      </c>
      <c r="Y54">
        <v>7</v>
      </c>
      <c r="Z54">
        <v>10</v>
      </c>
      <c r="AA54">
        <v>17</v>
      </c>
      <c r="AB54">
        <v>2</v>
      </c>
      <c r="AC54">
        <v>2</v>
      </c>
      <c r="AD54">
        <v>2</v>
      </c>
      <c r="AE54">
        <v>1</v>
      </c>
      <c r="AF54">
        <v>2</v>
      </c>
      <c r="AG54">
        <v>30</v>
      </c>
      <c r="AH54">
        <v>28.5</v>
      </c>
      <c r="AI54">
        <v>-6</v>
      </c>
    </row>
    <row r="55" spans="1:35" ht="21" x14ac:dyDescent="0.3">
      <c r="A55" t="s">
        <v>553</v>
      </c>
      <c r="B55" s="11">
        <v>33</v>
      </c>
      <c r="C55">
        <v>597</v>
      </c>
      <c r="D55">
        <v>54</v>
      </c>
      <c r="E55" s="4">
        <v>44597</v>
      </c>
      <c r="F55" t="s">
        <v>62</v>
      </c>
      <c r="H55" t="s">
        <v>110</v>
      </c>
      <c r="I55" t="s">
        <v>243</v>
      </c>
      <c r="J55" t="s">
        <v>41</v>
      </c>
      <c r="K55" s="9">
        <v>1.7194444444444446</v>
      </c>
      <c r="L55">
        <v>13</v>
      </c>
      <c r="M55">
        <v>19</v>
      </c>
      <c r="N55">
        <v>0.68400000000000005</v>
      </c>
      <c r="O55">
        <v>0</v>
      </c>
      <c r="P55">
        <v>0</v>
      </c>
      <c r="R55">
        <v>13</v>
      </c>
      <c r="S55">
        <v>19</v>
      </c>
      <c r="T55">
        <v>0.68400000000000005</v>
      </c>
      <c r="U55">
        <v>0.68400000000000005</v>
      </c>
      <c r="V55">
        <v>2</v>
      </c>
      <c r="W55">
        <v>5</v>
      </c>
      <c r="X55">
        <v>0.4</v>
      </c>
      <c r="Y55">
        <v>7</v>
      </c>
      <c r="Z55">
        <v>10</v>
      </c>
      <c r="AA55">
        <v>17</v>
      </c>
      <c r="AB55">
        <v>3</v>
      </c>
      <c r="AC55">
        <v>3</v>
      </c>
      <c r="AD55">
        <v>4</v>
      </c>
      <c r="AE55">
        <v>2</v>
      </c>
      <c r="AF55">
        <v>3</v>
      </c>
      <c r="AG55">
        <v>28</v>
      </c>
      <c r="AH55">
        <v>31.3</v>
      </c>
      <c r="AI55">
        <v>9</v>
      </c>
    </row>
    <row r="56" spans="1:35" ht="21" x14ac:dyDescent="0.3">
      <c r="A56" t="s">
        <v>553</v>
      </c>
      <c r="B56" s="11">
        <v>34</v>
      </c>
      <c r="C56">
        <v>598</v>
      </c>
      <c r="D56">
        <v>55</v>
      </c>
      <c r="E56" s="4">
        <v>44600</v>
      </c>
      <c r="F56" t="s">
        <v>62</v>
      </c>
      <c r="H56" t="s">
        <v>126</v>
      </c>
      <c r="I56" t="s">
        <v>244</v>
      </c>
      <c r="J56" t="s">
        <v>41</v>
      </c>
      <c r="K56" s="9">
        <v>1.5430555555555556</v>
      </c>
      <c r="L56">
        <v>8</v>
      </c>
      <c r="M56">
        <v>10</v>
      </c>
      <c r="N56">
        <v>0.8</v>
      </c>
      <c r="O56">
        <v>0</v>
      </c>
      <c r="P56">
        <v>0</v>
      </c>
      <c r="R56">
        <v>8</v>
      </c>
      <c r="S56">
        <v>10</v>
      </c>
      <c r="T56">
        <v>0.8</v>
      </c>
      <c r="U56">
        <v>0.8</v>
      </c>
      <c r="V56">
        <v>6</v>
      </c>
      <c r="W56">
        <v>10</v>
      </c>
      <c r="X56">
        <v>0.6</v>
      </c>
      <c r="Y56">
        <v>4</v>
      </c>
      <c r="Z56">
        <v>5</v>
      </c>
      <c r="AA56">
        <v>9</v>
      </c>
      <c r="AB56">
        <v>4</v>
      </c>
      <c r="AC56">
        <v>1</v>
      </c>
      <c r="AD56">
        <v>3</v>
      </c>
      <c r="AE56">
        <v>1</v>
      </c>
      <c r="AF56">
        <v>2</v>
      </c>
      <c r="AG56">
        <v>22</v>
      </c>
      <c r="AH56">
        <v>25</v>
      </c>
      <c r="AI56">
        <v>-8</v>
      </c>
    </row>
    <row r="57" spans="1:35" ht="21" x14ac:dyDescent="0.3">
      <c r="A57" t="s">
        <v>553</v>
      </c>
      <c r="B57" s="11">
        <v>35</v>
      </c>
      <c r="C57">
        <v>599</v>
      </c>
      <c r="D57">
        <v>56</v>
      </c>
      <c r="E57" s="4">
        <v>44601</v>
      </c>
      <c r="F57" t="s">
        <v>62</v>
      </c>
      <c r="G57" t="s">
        <v>37</v>
      </c>
      <c r="H57" t="s">
        <v>96</v>
      </c>
      <c r="I57" t="s">
        <v>245</v>
      </c>
      <c r="J57" t="s">
        <v>41</v>
      </c>
      <c r="K57" s="9">
        <v>1.6979166666666667</v>
      </c>
      <c r="L57">
        <v>8</v>
      </c>
      <c r="M57">
        <v>11</v>
      </c>
      <c r="N57">
        <v>0.72699999999999998</v>
      </c>
      <c r="O57">
        <v>0</v>
      </c>
      <c r="P57">
        <v>1</v>
      </c>
      <c r="Q57">
        <v>0</v>
      </c>
      <c r="R57">
        <v>8</v>
      </c>
      <c r="S57">
        <v>10</v>
      </c>
      <c r="T57">
        <v>0.8</v>
      </c>
      <c r="U57">
        <v>0.72699999999999998</v>
      </c>
      <c r="V57">
        <v>1</v>
      </c>
      <c r="W57">
        <v>4</v>
      </c>
      <c r="X57">
        <v>0.25</v>
      </c>
      <c r="Y57">
        <v>0</v>
      </c>
      <c r="Z57">
        <v>7</v>
      </c>
      <c r="AA57">
        <v>7</v>
      </c>
      <c r="AB57">
        <v>6</v>
      </c>
      <c r="AC57">
        <v>1</v>
      </c>
      <c r="AD57">
        <v>5</v>
      </c>
      <c r="AE57">
        <v>2</v>
      </c>
      <c r="AF57">
        <v>2</v>
      </c>
      <c r="AG57">
        <v>17</v>
      </c>
      <c r="AH57">
        <v>19.3</v>
      </c>
      <c r="AI57">
        <v>-1</v>
      </c>
    </row>
    <row r="58" spans="1:35" ht="21" x14ac:dyDescent="0.3">
      <c r="A58" t="s">
        <v>553</v>
      </c>
      <c r="B58" s="11">
        <v>36</v>
      </c>
      <c r="C58">
        <v>600</v>
      </c>
      <c r="D58">
        <v>57</v>
      </c>
      <c r="E58" s="4">
        <v>44604</v>
      </c>
      <c r="F58" t="s">
        <v>62</v>
      </c>
      <c r="G58" t="s">
        <v>37</v>
      </c>
      <c r="H58" t="s">
        <v>33</v>
      </c>
      <c r="I58" t="s">
        <v>246</v>
      </c>
      <c r="J58" t="s">
        <v>41</v>
      </c>
      <c r="K58" s="9">
        <v>1.4743055555555555</v>
      </c>
      <c r="L58">
        <v>5</v>
      </c>
      <c r="M58">
        <v>13</v>
      </c>
      <c r="N58">
        <v>0.38500000000000001</v>
      </c>
      <c r="O58">
        <v>0</v>
      </c>
      <c r="P58">
        <v>1</v>
      </c>
      <c r="Q58">
        <v>0</v>
      </c>
      <c r="R58">
        <v>5</v>
      </c>
      <c r="S58">
        <v>12</v>
      </c>
      <c r="T58">
        <v>0.41699999999999998</v>
      </c>
      <c r="U58">
        <v>0.38500000000000001</v>
      </c>
      <c r="V58">
        <v>6</v>
      </c>
      <c r="W58">
        <v>10</v>
      </c>
      <c r="X58">
        <v>0.6</v>
      </c>
      <c r="Y58">
        <v>2</v>
      </c>
      <c r="Z58">
        <v>5</v>
      </c>
      <c r="AA58">
        <v>7</v>
      </c>
      <c r="AB58">
        <v>4</v>
      </c>
      <c r="AC58">
        <v>0</v>
      </c>
      <c r="AD58">
        <v>3</v>
      </c>
      <c r="AE58">
        <v>0</v>
      </c>
      <c r="AF58">
        <v>3</v>
      </c>
      <c r="AG58">
        <v>16</v>
      </c>
      <c r="AH58">
        <v>13.9</v>
      </c>
      <c r="AI58">
        <v>-6</v>
      </c>
    </row>
    <row r="59" spans="1:35" ht="21" x14ac:dyDescent="0.3">
      <c r="A59" t="s">
        <v>553</v>
      </c>
      <c r="B59" s="11">
        <v>37</v>
      </c>
      <c r="C59">
        <v>601</v>
      </c>
      <c r="D59">
        <v>58</v>
      </c>
      <c r="E59" s="4">
        <v>44608</v>
      </c>
      <c r="F59" t="s">
        <v>62</v>
      </c>
      <c r="H59" t="s">
        <v>118</v>
      </c>
      <c r="I59" t="s">
        <v>247</v>
      </c>
      <c r="J59" t="s">
        <v>41</v>
      </c>
      <c r="K59" s="7">
        <v>0.69305555555555554</v>
      </c>
      <c r="L59">
        <v>7</v>
      </c>
      <c r="M59">
        <v>9</v>
      </c>
      <c r="N59">
        <v>0.77800000000000002</v>
      </c>
      <c r="O59">
        <v>1</v>
      </c>
      <c r="P59">
        <v>1</v>
      </c>
      <c r="Q59">
        <v>1</v>
      </c>
      <c r="R59">
        <v>6</v>
      </c>
      <c r="S59">
        <v>8</v>
      </c>
      <c r="T59">
        <v>0.75</v>
      </c>
      <c r="U59">
        <v>0.83299999999999996</v>
      </c>
      <c r="V59">
        <v>2</v>
      </c>
      <c r="W59">
        <v>2</v>
      </c>
      <c r="X59">
        <v>1</v>
      </c>
      <c r="Y59">
        <v>1</v>
      </c>
      <c r="Z59">
        <v>1</v>
      </c>
      <c r="AA59">
        <v>2</v>
      </c>
      <c r="AB59">
        <v>2</v>
      </c>
      <c r="AC59">
        <v>1</v>
      </c>
      <c r="AD59">
        <v>2</v>
      </c>
      <c r="AE59">
        <v>0</v>
      </c>
      <c r="AF59">
        <v>1</v>
      </c>
      <c r="AG59">
        <v>17</v>
      </c>
      <c r="AH59">
        <v>17.899999999999999</v>
      </c>
      <c r="AI59">
        <v>-3</v>
      </c>
    </row>
    <row r="60" spans="1:35" ht="21" x14ac:dyDescent="0.3">
      <c r="A60" t="s">
        <v>553</v>
      </c>
      <c r="B60" s="11">
        <v>37</v>
      </c>
      <c r="D60">
        <v>59</v>
      </c>
      <c r="E60" s="4">
        <v>44617</v>
      </c>
      <c r="F60" t="s">
        <v>62</v>
      </c>
      <c r="H60" t="s">
        <v>64</v>
      </c>
      <c r="I60" t="s">
        <v>248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  <c r="O60" t="s">
        <v>91</v>
      </c>
      <c r="P60" t="s">
        <v>91</v>
      </c>
      <c r="Q60" t="s">
        <v>91</v>
      </c>
      <c r="R60" t="s">
        <v>91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91</v>
      </c>
      <c r="Y60" t="s">
        <v>91</v>
      </c>
      <c r="Z60" t="s">
        <v>91</v>
      </c>
      <c r="AA60" t="s">
        <v>91</v>
      </c>
      <c r="AB60" t="s">
        <v>91</v>
      </c>
      <c r="AC60" t="s">
        <v>91</v>
      </c>
      <c r="AD60" t="s">
        <v>91</v>
      </c>
      <c r="AE60" t="s">
        <v>91</v>
      </c>
      <c r="AF60" t="s">
        <v>91</v>
      </c>
      <c r="AG60" t="s">
        <v>91</v>
      </c>
      <c r="AH60" t="s">
        <v>91</v>
      </c>
      <c r="AI60" t="s">
        <v>91</v>
      </c>
    </row>
    <row r="61" spans="1:35" ht="21" x14ac:dyDescent="0.3">
      <c r="A61" t="s">
        <v>553</v>
      </c>
      <c r="B61" s="11">
        <v>37</v>
      </c>
      <c r="D61">
        <v>60</v>
      </c>
      <c r="E61" s="4">
        <v>44619</v>
      </c>
      <c r="F61" t="s">
        <v>62</v>
      </c>
      <c r="H61" t="s">
        <v>74</v>
      </c>
      <c r="I61" t="s">
        <v>163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  <c r="O61" t="s">
        <v>91</v>
      </c>
      <c r="P61" t="s">
        <v>91</v>
      </c>
      <c r="Q61" t="s">
        <v>91</v>
      </c>
      <c r="R61" t="s">
        <v>91</v>
      </c>
      <c r="S61" t="s">
        <v>91</v>
      </c>
      <c r="T61" t="s">
        <v>91</v>
      </c>
      <c r="U61" t="s">
        <v>91</v>
      </c>
      <c r="V61" t="s">
        <v>91</v>
      </c>
      <c r="W61" t="s">
        <v>91</v>
      </c>
      <c r="X61" t="s">
        <v>91</v>
      </c>
      <c r="Y61" t="s">
        <v>91</v>
      </c>
      <c r="Z61" t="s">
        <v>91</v>
      </c>
      <c r="AA61" t="s">
        <v>91</v>
      </c>
      <c r="AB61" t="s">
        <v>91</v>
      </c>
      <c r="AC61" t="s">
        <v>91</v>
      </c>
      <c r="AD61" t="s">
        <v>91</v>
      </c>
      <c r="AE61" t="s">
        <v>91</v>
      </c>
      <c r="AF61" t="s">
        <v>91</v>
      </c>
      <c r="AG61" t="s">
        <v>91</v>
      </c>
      <c r="AH61" t="s">
        <v>91</v>
      </c>
      <c r="AI61" t="s">
        <v>91</v>
      </c>
    </row>
    <row r="62" spans="1:35" ht="21" x14ac:dyDescent="0.3">
      <c r="A62" t="s">
        <v>553</v>
      </c>
      <c r="B62" s="11">
        <v>37</v>
      </c>
      <c r="D62">
        <v>61</v>
      </c>
      <c r="E62" s="4">
        <v>44621</v>
      </c>
      <c r="F62" t="s">
        <v>62</v>
      </c>
      <c r="H62" t="s">
        <v>49</v>
      </c>
      <c r="I62" t="s">
        <v>249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  <c r="O62" t="s">
        <v>91</v>
      </c>
      <c r="P62" t="s">
        <v>91</v>
      </c>
      <c r="Q62" t="s">
        <v>91</v>
      </c>
      <c r="R62" t="s">
        <v>91</v>
      </c>
      <c r="S62" t="s">
        <v>91</v>
      </c>
      <c r="T62" t="s">
        <v>91</v>
      </c>
      <c r="U62" t="s">
        <v>91</v>
      </c>
      <c r="V62" t="s">
        <v>91</v>
      </c>
      <c r="W62" t="s">
        <v>91</v>
      </c>
      <c r="X62" t="s">
        <v>91</v>
      </c>
      <c r="Y62" t="s">
        <v>91</v>
      </c>
      <c r="Z62" t="s">
        <v>91</v>
      </c>
      <c r="AA62" t="s">
        <v>91</v>
      </c>
      <c r="AB62" t="s">
        <v>91</v>
      </c>
      <c r="AC62" t="s">
        <v>91</v>
      </c>
      <c r="AD62" t="s">
        <v>91</v>
      </c>
      <c r="AE62" t="s">
        <v>91</v>
      </c>
      <c r="AF62" t="s">
        <v>91</v>
      </c>
      <c r="AG62" t="s">
        <v>91</v>
      </c>
      <c r="AH62" t="s">
        <v>91</v>
      </c>
      <c r="AI62" t="s">
        <v>91</v>
      </c>
    </row>
    <row r="63" spans="1:35" ht="21" x14ac:dyDescent="0.3">
      <c r="A63" t="s">
        <v>553</v>
      </c>
      <c r="B63" s="11">
        <v>37</v>
      </c>
      <c r="D63">
        <v>62</v>
      </c>
      <c r="E63" s="4">
        <v>44623</v>
      </c>
      <c r="F63" t="s">
        <v>62</v>
      </c>
      <c r="G63" t="s">
        <v>37</v>
      </c>
      <c r="H63" t="s">
        <v>64</v>
      </c>
      <c r="I63" t="s">
        <v>250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  <c r="O63" t="s">
        <v>91</v>
      </c>
      <c r="P63" t="s">
        <v>91</v>
      </c>
      <c r="Q63" t="s">
        <v>91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t="s">
        <v>91</v>
      </c>
      <c r="X63" t="s">
        <v>91</v>
      </c>
      <c r="Y63" t="s">
        <v>91</v>
      </c>
      <c r="Z63" t="s">
        <v>91</v>
      </c>
      <c r="AA63" t="s">
        <v>91</v>
      </c>
      <c r="AB63" t="s">
        <v>91</v>
      </c>
      <c r="AC63" t="s">
        <v>91</v>
      </c>
      <c r="AD63" t="s">
        <v>91</v>
      </c>
      <c r="AE63" t="s">
        <v>91</v>
      </c>
      <c r="AF63" t="s">
        <v>91</v>
      </c>
      <c r="AG63" t="s">
        <v>91</v>
      </c>
      <c r="AH63" t="s">
        <v>91</v>
      </c>
      <c r="AI63" t="s">
        <v>91</v>
      </c>
    </row>
    <row r="64" spans="1:35" ht="21" x14ac:dyDescent="0.3">
      <c r="A64" t="s">
        <v>553</v>
      </c>
      <c r="B64" s="11">
        <v>37</v>
      </c>
      <c r="D64">
        <v>63</v>
      </c>
      <c r="E64" s="4">
        <v>44625</v>
      </c>
      <c r="F64" t="s">
        <v>62</v>
      </c>
      <c r="H64" t="s">
        <v>33</v>
      </c>
      <c r="I64" t="s">
        <v>251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  <c r="O64" t="s">
        <v>91</v>
      </c>
      <c r="P64" t="s">
        <v>91</v>
      </c>
      <c r="Q64" t="s">
        <v>91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t="s">
        <v>91</v>
      </c>
      <c r="X64" t="s">
        <v>91</v>
      </c>
      <c r="Y64" t="s">
        <v>91</v>
      </c>
      <c r="Z64" t="s">
        <v>91</v>
      </c>
      <c r="AA64" t="s">
        <v>91</v>
      </c>
      <c r="AB64" t="s">
        <v>91</v>
      </c>
      <c r="AC64" t="s">
        <v>91</v>
      </c>
      <c r="AD64" t="s">
        <v>91</v>
      </c>
      <c r="AE64" t="s">
        <v>91</v>
      </c>
      <c r="AF64" t="s">
        <v>91</v>
      </c>
      <c r="AG64" t="s">
        <v>91</v>
      </c>
      <c r="AH64" t="s">
        <v>91</v>
      </c>
      <c r="AI64" t="s">
        <v>91</v>
      </c>
    </row>
    <row r="65" spans="1:35" ht="21" x14ac:dyDescent="0.3">
      <c r="A65" t="s">
        <v>553</v>
      </c>
      <c r="B65" s="11">
        <v>37</v>
      </c>
      <c r="D65">
        <v>64</v>
      </c>
      <c r="E65" s="4">
        <v>44627</v>
      </c>
      <c r="F65" t="s">
        <v>62</v>
      </c>
      <c r="G65" t="s">
        <v>37</v>
      </c>
      <c r="H65" t="s">
        <v>102</v>
      </c>
      <c r="I65" t="s">
        <v>252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  <c r="O65" t="s">
        <v>91</v>
      </c>
      <c r="P65" t="s">
        <v>91</v>
      </c>
      <c r="Q65" t="s">
        <v>91</v>
      </c>
      <c r="R65" t="s">
        <v>91</v>
      </c>
      <c r="S65" t="s">
        <v>91</v>
      </c>
      <c r="T65" t="s">
        <v>91</v>
      </c>
      <c r="U65" t="s">
        <v>91</v>
      </c>
      <c r="V65" t="s">
        <v>91</v>
      </c>
      <c r="W65" t="s">
        <v>91</v>
      </c>
      <c r="X65" t="s">
        <v>91</v>
      </c>
      <c r="Y65" t="s">
        <v>91</v>
      </c>
      <c r="Z65" t="s">
        <v>91</v>
      </c>
      <c r="AA65" t="s">
        <v>91</v>
      </c>
      <c r="AB65" t="s">
        <v>91</v>
      </c>
      <c r="AC65" t="s">
        <v>91</v>
      </c>
      <c r="AD65" t="s">
        <v>91</v>
      </c>
      <c r="AE65" t="s">
        <v>91</v>
      </c>
      <c r="AF65" t="s">
        <v>91</v>
      </c>
      <c r="AG65" t="s">
        <v>91</v>
      </c>
      <c r="AH65" t="s">
        <v>91</v>
      </c>
      <c r="AI65" t="s">
        <v>91</v>
      </c>
    </row>
    <row r="66" spans="1:35" ht="21" x14ac:dyDescent="0.3">
      <c r="A66" t="s">
        <v>553</v>
      </c>
      <c r="B66" s="11">
        <v>37</v>
      </c>
      <c r="D66">
        <v>65</v>
      </c>
      <c r="E66" s="4">
        <v>44629</v>
      </c>
      <c r="F66" t="s">
        <v>62</v>
      </c>
      <c r="G66" t="s">
        <v>37</v>
      </c>
      <c r="H66" t="s">
        <v>76</v>
      </c>
      <c r="I66" t="s">
        <v>253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  <c r="O66" t="s">
        <v>91</v>
      </c>
      <c r="P66" t="s">
        <v>91</v>
      </c>
      <c r="Q66" t="s">
        <v>91</v>
      </c>
      <c r="R66" t="s">
        <v>91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91</v>
      </c>
      <c r="Y66" t="s">
        <v>91</v>
      </c>
      <c r="Z66" t="s">
        <v>91</v>
      </c>
      <c r="AA66" t="s">
        <v>91</v>
      </c>
      <c r="AB66" t="s">
        <v>91</v>
      </c>
      <c r="AC66" t="s">
        <v>91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 t="s">
        <v>91</v>
      </c>
    </row>
    <row r="67" spans="1:35" ht="21" x14ac:dyDescent="0.3">
      <c r="A67" t="s">
        <v>553</v>
      </c>
      <c r="B67" s="11">
        <v>37</v>
      </c>
      <c r="D67">
        <v>66</v>
      </c>
      <c r="E67" s="4">
        <v>44631</v>
      </c>
      <c r="F67" t="s">
        <v>62</v>
      </c>
      <c r="H67" t="s">
        <v>155</v>
      </c>
      <c r="I67" t="s">
        <v>154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  <c r="O67" t="s">
        <v>91</v>
      </c>
      <c r="P67" t="s">
        <v>91</v>
      </c>
      <c r="Q67" t="s">
        <v>91</v>
      </c>
      <c r="R67" t="s">
        <v>91</v>
      </c>
      <c r="S67" t="s">
        <v>91</v>
      </c>
      <c r="T67" t="s">
        <v>91</v>
      </c>
      <c r="U67" t="s">
        <v>91</v>
      </c>
      <c r="V67" t="s">
        <v>91</v>
      </c>
      <c r="W67" t="s">
        <v>91</v>
      </c>
      <c r="X67" t="s">
        <v>91</v>
      </c>
      <c r="Y67" t="s">
        <v>91</v>
      </c>
      <c r="Z67" t="s">
        <v>91</v>
      </c>
      <c r="AA67" t="s">
        <v>91</v>
      </c>
      <c r="AB67" t="s">
        <v>91</v>
      </c>
      <c r="AC67" t="s">
        <v>91</v>
      </c>
      <c r="AD67" t="s">
        <v>91</v>
      </c>
      <c r="AE67" t="s">
        <v>91</v>
      </c>
      <c r="AF67" t="s">
        <v>91</v>
      </c>
      <c r="AG67" t="s">
        <v>91</v>
      </c>
      <c r="AH67" t="s">
        <v>91</v>
      </c>
      <c r="AI67" t="s">
        <v>91</v>
      </c>
    </row>
    <row r="68" spans="1:35" ht="21" x14ac:dyDescent="0.3">
      <c r="A68" t="s">
        <v>553</v>
      </c>
      <c r="B68" s="11">
        <v>37</v>
      </c>
      <c r="D68">
        <v>67</v>
      </c>
      <c r="E68" s="4">
        <v>44633</v>
      </c>
      <c r="F68" t="s">
        <v>62</v>
      </c>
      <c r="G68" t="s">
        <v>37</v>
      </c>
      <c r="H68" t="s">
        <v>99</v>
      </c>
      <c r="I68" t="s">
        <v>254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  <c r="O68" t="s">
        <v>91</v>
      </c>
      <c r="P68" t="s">
        <v>91</v>
      </c>
      <c r="Q68" t="s">
        <v>91</v>
      </c>
      <c r="R68" t="s">
        <v>91</v>
      </c>
      <c r="S68" t="s">
        <v>91</v>
      </c>
      <c r="T68" t="s">
        <v>91</v>
      </c>
      <c r="U68" t="s">
        <v>91</v>
      </c>
      <c r="V68" t="s">
        <v>91</v>
      </c>
      <c r="W68" t="s">
        <v>91</v>
      </c>
      <c r="X68" t="s">
        <v>91</v>
      </c>
      <c r="Y68" t="s">
        <v>91</v>
      </c>
      <c r="Z68" t="s">
        <v>91</v>
      </c>
      <c r="AA68" t="s">
        <v>91</v>
      </c>
      <c r="AB68" t="s">
        <v>91</v>
      </c>
      <c r="AC68" t="s">
        <v>91</v>
      </c>
      <c r="AD68" t="s">
        <v>91</v>
      </c>
      <c r="AE68" t="s">
        <v>91</v>
      </c>
      <c r="AF68" t="s">
        <v>91</v>
      </c>
      <c r="AG68" t="s">
        <v>91</v>
      </c>
      <c r="AH68" t="s">
        <v>91</v>
      </c>
      <c r="AI68" t="s">
        <v>91</v>
      </c>
    </row>
    <row r="69" spans="1:35" ht="21" x14ac:dyDescent="0.3">
      <c r="A69" t="s">
        <v>553</v>
      </c>
      <c r="B69" s="11">
        <v>37</v>
      </c>
      <c r="D69">
        <v>68</v>
      </c>
      <c r="E69" s="4">
        <v>44634</v>
      </c>
      <c r="F69" t="s">
        <v>62</v>
      </c>
      <c r="H69" t="s">
        <v>92</v>
      </c>
      <c r="I69" t="s">
        <v>255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  <c r="O69" t="s">
        <v>91</v>
      </c>
      <c r="P69" t="s">
        <v>91</v>
      </c>
      <c r="Q69" t="s">
        <v>91</v>
      </c>
      <c r="R69" t="s">
        <v>91</v>
      </c>
      <c r="S69" t="s">
        <v>91</v>
      </c>
      <c r="T69" t="s">
        <v>91</v>
      </c>
      <c r="U69" t="s">
        <v>91</v>
      </c>
      <c r="V69" t="s">
        <v>91</v>
      </c>
      <c r="W69" t="s">
        <v>91</v>
      </c>
      <c r="X69" t="s">
        <v>91</v>
      </c>
      <c r="Y69" t="s">
        <v>91</v>
      </c>
      <c r="Z69" t="s">
        <v>91</v>
      </c>
      <c r="AA69" t="s">
        <v>91</v>
      </c>
      <c r="AB69" t="s">
        <v>91</v>
      </c>
      <c r="AC69" t="s">
        <v>91</v>
      </c>
      <c r="AD69" t="s">
        <v>91</v>
      </c>
      <c r="AE69" t="s">
        <v>91</v>
      </c>
      <c r="AF69" t="s">
        <v>91</v>
      </c>
      <c r="AG69" t="s">
        <v>91</v>
      </c>
      <c r="AH69" t="s">
        <v>91</v>
      </c>
      <c r="AI69" t="s">
        <v>91</v>
      </c>
    </row>
    <row r="70" spans="1:35" ht="21" x14ac:dyDescent="0.3">
      <c r="A70" t="s">
        <v>553</v>
      </c>
      <c r="B70" s="11">
        <v>37</v>
      </c>
      <c r="D70">
        <v>69</v>
      </c>
      <c r="E70" s="4">
        <v>44636</v>
      </c>
      <c r="F70" t="s">
        <v>62</v>
      </c>
      <c r="G70" t="s">
        <v>37</v>
      </c>
      <c r="H70" t="s">
        <v>80</v>
      </c>
      <c r="I70" t="s">
        <v>256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  <c r="O70" t="s">
        <v>91</v>
      </c>
      <c r="P70" t="s">
        <v>91</v>
      </c>
      <c r="Q70" t="s">
        <v>91</v>
      </c>
      <c r="R70" t="s">
        <v>91</v>
      </c>
      <c r="S70" t="s">
        <v>91</v>
      </c>
      <c r="T70" t="s">
        <v>91</v>
      </c>
      <c r="U70" t="s">
        <v>91</v>
      </c>
      <c r="V70" t="s">
        <v>91</v>
      </c>
      <c r="W70" t="s">
        <v>91</v>
      </c>
      <c r="X70" t="s">
        <v>91</v>
      </c>
      <c r="Y70" t="s">
        <v>91</v>
      </c>
      <c r="Z70" t="s">
        <v>91</v>
      </c>
      <c r="AA70" t="s">
        <v>91</v>
      </c>
      <c r="AB70" t="s">
        <v>91</v>
      </c>
      <c r="AC70" t="s">
        <v>91</v>
      </c>
      <c r="AD70" t="s">
        <v>91</v>
      </c>
      <c r="AE70" t="s">
        <v>91</v>
      </c>
      <c r="AF70" t="s">
        <v>91</v>
      </c>
      <c r="AG70" t="s">
        <v>91</v>
      </c>
      <c r="AH70" t="s">
        <v>91</v>
      </c>
      <c r="AI70" t="s">
        <v>91</v>
      </c>
    </row>
    <row r="71" spans="1:35" ht="21" x14ac:dyDescent="0.3">
      <c r="A71" t="s">
        <v>553</v>
      </c>
      <c r="B71" s="11">
        <v>37</v>
      </c>
      <c r="D71">
        <v>70</v>
      </c>
      <c r="E71" s="4">
        <v>44638</v>
      </c>
      <c r="F71" t="s">
        <v>62</v>
      </c>
      <c r="G71" t="s">
        <v>37</v>
      </c>
      <c r="H71" t="s">
        <v>92</v>
      </c>
      <c r="I71" t="s">
        <v>257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  <c r="O71" t="s">
        <v>91</v>
      </c>
      <c r="P71" t="s">
        <v>91</v>
      </c>
      <c r="Q71" t="s">
        <v>91</v>
      </c>
      <c r="R71" t="s">
        <v>91</v>
      </c>
      <c r="S71" t="s">
        <v>91</v>
      </c>
      <c r="T71" t="s">
        <v>91</v>
      </c>
      <c r="U71" t="s">
        <v>91</v>
      </c>
      <c r="V71" t="s">
        <v>91</v>
      </c>
      <c r="W71" t="s">
        <v>91</v>
      </c>
      <c r="X71" t="s">
        <v>91</v>
      </c>
      <c r="Y71" t="s">
        <v>91</v>
      </c>
      <c r="Z71" t="s">
        <v>91</v>
      </c>
      <c r="AA71" t="s">
        <v>91</v>
      </c>
      <c r="AB71" t="s">
        <v>91</v>
      </c>
      <c r="AC71" t="s">
        <v>91</v>
      </c>
      <c r="AD71" t="s">
        <v>91</v>
      </c>
      <c r="AE71" t="s">
        <v>91</v>
      </c>
      <c r="AF71" t="s">
        <v>91</v>
      </c>
      <c r="AG71" t="s">
        <v>91</v>
      </c>
      <c r="AH71" t="s">
        <v>91</v>
      </c>
      <c r="AI71" t="s">
        <v>91</v>
      </c>
    </row>
    <row r="72" spans="1:35" ht="21" x14ac:dyDescent="0.3">
      <c r="A72" t="s">
        <v>553</v>
      </c>
      <c r="B72" s="11">
        <v>37</v>
      </c>
      <c r="D72">
        <v>71</v>
      </c>
      <c r="E72" s="4">
        <v>44639</v>
      </c>
      <c r="F72" t="s">
        <v>62</v>
      </c>
      <c r="G72" t="s">
        <v>37</v>
      </c>
      <c r="H72" t="s">
        <v>155</v>
      </c>
      <c r="I72" t="s">
        <v>230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  <c r="O72" t="s">
        <v>91</v>
      </c>
      <c r="P72" t="s">
        <v>91</v>
      </c>
      <c r="Q72" t="s">
        <v>91</v>
      </c>
      <c r="R72" t="s">
        <v>91</v>
      </c>
      <c r="S72" t="s">
        <v>91</v>
      </c>
      <c r="T72" t="s">
        <v>91</v>
      </c>
      <c r="U72" t="s">
        <v>91</v>
      </c>
      <c r="V72" t="s">
        <v>91</v>
      </c>
      <c r="W72" t="s">
        <v>91</v>
      </c>
      <c r="X72" t="s">
        <v>91</v>
      </c>
      <c r="Y72" t="s">
        <v>91</v>
      </c>
      <c r="Z72" t="s">
        <v>91</v>
      </c>
      <c r="AA72" t="s">
        <v>91</v>
      </c>
      <c r="AB72" t="s">
        <v>91</v>
      </c>
      <c r="AC72" t="s">
        <v>91</v>
      </c>
      <c r="AD72" t="s">
        <v>91</v>
      </c>
      <c r="AE72" t="s">
        <v>91</v>
      </c>
      <c r="AF72" t="s">
        <v>91</v>
      </c>
      <c r="AG72" t="s">
        <v>91</v>
      </c>
      <c r="AH72" t="s">
        <v>91</v>
      </c>
      <c r="AI72" t="s">
        <v>91</v>
      </c>
    </row>
    <row r="73" spans="1:35" ht="21" x14ac:dyDescent="0.3">
      <c r="A73" t="s">
        <v>553</v>
      </c>
      <c r="B73" s="11">
        <v>37</v>
      </c>
      <c r="D73">
        <v>72</v>
      </c>
      <c r="E73" s="4">
        <v>44641</v>
      </c>
      <c r="F73" t="s">
        <v>62</v>
      </c>
      <c r="G73" t="s">
        <v>37</v>
      </c>
      <c r="H73" t="s">
        <v>87</v>
      </c>
      <c r="I73" t="s">
        <v>258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  <c r="O73" t="s">
        <v>91</v>
      </c>
      <c r="P73" t="s">
        <v>91</v>
      </c>
      <c r="Q73" t="s">
        <v>91</v>
      </c>
      <c r="R73" t="s">
        <v>91</v>
      </c>
      <c r="S73" t="s">
        <v>91</v>
      </c>
      <c r="T73" t="s">
        <v>91</v>
      </c>
      <c r="U73" t="s">
        <v>91</v>
      </c>
      <c r="V73" t="s">
        <v>91</v>
      </c>
      <c r="W73" t="s">
        <v>91</v>
      </c>
      <c r="X73" t="s">
        <v>91</v>
      </c>
      <c r="Y73" t="s">
        <v>91</v>
      </c>
      <c r="Z73" t="s">
        <v>91</v>
      </c>
      <c r="AA73" t="s">
        <v>91</v>
      </c>
      <c r="AB73" t="s">
        <v>91</v>
      </c>
      <c r="AC73" t="s">
        <v>91</v>
      </c>
      <c r="AD73" t="s">
        <v>91</v>
      </c>
      <c r="AE73" t="s">
        <v>91</v>
      </c>
      <c r="AF73" t="s">
        <v>91</v>
      </c>
      <c r="AG73" t="s">
        <v>91</v>
      </c>
      <c r="AH73" t="s">
        <v>91</v>
      </c>
      <c r="AI73" t="s">
        <v>91</v>
      </c>
    </row>
    <row r="74" spans="1:35" ht="21" x14ac:dyDescent="0.3">
      <c r="A74" t="s">
        <v>553</v>
      </c>
      <c r="B74" s="11">
        <v>37</v>
      </c>
      <c r="D74">
        <v>73</v>
      </c>
      <c r="E74" s="4">
        <v>44643</v>
      </c>
      <c r="F74" t="s">
        <v>62</v>
      </c>
      <c r="H74" t="s">
        <v>94</v>
      </c>
      <c r="I74" t="s">
        <v>173</v>
      </c>
      <c r="J74" t="s">
        <v>91</v>
      </c>
      <c r="K74" t="s">
        <v>91</v>
      </c>
      <c r="L74" t="s">
        <v>91</v>
      </c>
      <c r="M74" t="s">
        <v>91</v>
      </c>
      <c r="N74" t="s">
        <v>91</v>
      </c>
      <c r="O74" t="s">
        <v>91</v>
      </c>
      <c r="P74" t="s">
        <v>91</v>
      </c>
      <c r="Q74" t="s">
        <v>91</v>
      </c>
      <c r="R74" t="s">
        <v>91</v>
      </c>
      <c r="S74" t="s">
        <v>91</v>
      </c>
      <c r="T74" t="s">
        <v>91</v>
      </c>
      <c r="U74" t="s">
        <v>91</v>
      </c>
      <c r="V74" t="s">
        <v>91</v>
      </c>
      <c r="W74" t="s">
        <v>91</v>
      </c>
      <c r="X74" t="s">
        <v>91</v>
      </c>
      <c r="Y74" t="s">
        <v>91</v>
      </c>
      <c r="Z74" t="s">
        <v>91</v>
      </c>
      <c r="AA74" t="s">
        <v>91</v>
      </c>
      <c r="AB74" t="s">
        <v>91</v>
      </c>
      <c r="AC74" t="s">
        <v>91</v>
      </c>
      <c r="AD74" t="s">
        <v>91</v>
      </c>
      <c r="AE74" t="s">
        <v>91</v>
      </c>
      <c r="AF74" t="s">
        <v>91</v>
      </c>
      <c r="AG74" t="s">
        <v>91</v>
      </c>
      <c r="AH74" t="s">
        <v>91</v>
      </c>
      <c r="AI74" t="s">
        <v>91</v>
      </c>
    </row>
    <row r="75" spans="1:35" ht="21" x14ac:dyDescent="0.3">
      <c r="A75" t="s">
        <v>553</v>
      </c>
      <c r="B75" s="11">
        <v>37</v>
      </c>
      <c r="D75">
        <v>74</v>
      </c>
      <c r="E75" s="4">
        <v>44647</v>
      </c>
      <c r="F75" t="s">
        <v>62</v>
      </c>
      <c r="G75" t="s">
        <v>37</v>
      </c>
      <c r="H75" t="s">
        <v>74</v>
      </c>
      <c r="I75" t="s">
        <v>125</v>
      </c>
      <c r="J75" t="s">
        <v>91</v>
      </c>
      <c r="K75" t="s">
        <v>91</v>
      </c>
      <c r="L75" t="s">
        <v>91</v>
      </c>
      <c r="M75" t="s">
        <v>91</v>
      </c>
      <c r="N75" t="s">
        <v>91</v>
      </c>
      <c r="O75" t="s">
        <v>91</v>
      </c>
      <c r="P75" t="s">
        <v>91</v>
      </c>
      <c r="Q75" t="s">
        <v>91</v>
      </c>
      <c r="R75" t="s">
        <v>91</v>
      </c>
      <c r="S75" t="s">
        <v>91</v>
      </c>
      <c r="T75" t="s">
        <v>91</v>
      </c>
      <c r="U75" t="s">
        <v>91</v>
      </c>
      <c r="V75" t="s">
        <v>91</v>
      </c>
      <c r="W75" t="s">
        <v>91</v>
      </c>
      <c r="X75" t="s">
        <v>91</v>
      </c>
      <c r="Y75" t="s">
        <v>91</v>
      </c>
      <c r="Z75" t="s">
        <v>91</v>
      </c>
      <c r="AA75" t="s">
        <v>91</v>
      </c>
      <c r="AB75" t="s">
        <v>91</v>
      </c>
      <c r="AC75" t="s">
        <v>91</v>
      </c>
      <c r="AD75" t="s">
        <v>91</v>
      </c>
      <c r="AE75" t="s">
        <v>91</v>
      </c>
      <c r="AF75" t="s">
        <v>91</v>
      </c>
      <c r="AG75" t="s">
        <v>91</v>
      </c>
      <c r="AH75" t="s">
        <v>91</v>
      </c>
      <c r="AI75" t="s">
        <v>91</v>
      </c>
    </row>
    <row r="76" spans="1:35" ht="21" x14ac:dyDescent="0.3">
      <c r="A76" t="s">
        <v>553</v>
      </c>
      <c r="B76" s="11">
        <v>37</v>
      </c>
      <c r="D76">
        <v>75</v>
      </c>
      <c r="E76" s="4">
        <v>44649</v>
      </c>
      <c r="F76" t="s">
        <v>62</v>
      </c>
      <c r="G76" t="s">
        <v>37</v>
      </c>
      <c r="H76" t="s">
        <v>49</v>
      </c>
      <c r="I76" t="s">
        <v>259</v>
      </c>
      <c r="J76" t="s">
        <v>91</v>
      </c>
      <c r="K76" t="s">
        <v>91</v>
      </c>
      <c r="L76" t="s">
        <v>91</v>
      </c>
      <c r="M76" t="s">
        <v>91</v>
      </c>
      <c r="N76" t="s">
        <v>91</v>
      </c>
      <c r="O76" t="s">
        <v>91</v>
      </c>
      <c r="P76" t="s">
        <v>91</v>
      </c>
      <c r="Q76" t="s">
        <v>91</v>
      </c>
      <c r="R76" t="s">
        <v>91</v>
      </c>
      <c r="S76" t="s">
        <v>91</v>
      </c>
      <c r="T76" t="s">
        <v>91</v>
      </c>
      <c r="U76" t="s">
        <v>91</v>
      </c>
      <c r="V76" t="s">
        <v>91</v>
      </c>
      <c r="W76" t="s">
        <v>91</v>
      </c>
      <c r="X76" t="s">
        <v>91</v>
      </c>
      <c r="Y76" t="s">
        <v>91</v>
      </c>
      <c r="Z76" t="s">
        <v>91</v>
      </c>
      <c r="AA76" t="s">
        <v>91</v>
      </c>
      <c r="AB76" t="s">
        <v>91</v>
      </c>
      <c r="AC76" t="s">
        <v>91</v>
      </c>
      <c r="AD76" t="s">
        <v>91</v>
      </c>
      <c r="AE76" t="s">
        <v>91</v>
      </c>
      <c r="AF76" t="s">
        <v>91</v>
      </c>
      <c r="AG76" t="s">
        <v>91</v>
      </c>
      <c r="AH76" t="s">
        <v>91</v>
      </c>
      <c r="AI76" t="s">
        <v>91</v>
      </c>
    </row>
    <row r="77" spans="1:35" ht="21" x14ac:dyDescent="0.3">
      <c r="A77" t="s">
        <v>553</v>
      </c>
      <c r="B77" s="11">
        <v>37</v>
      </c>
      <c r="D77">
        <v>76</v>
      </c>
      <c r="E77" s="4">
        <v>44651</v>
      </c>
      <c r="F77" t="s">
        <v>62</v>
      </c>
      <c r="G77" t="s">
        <v>37</v>
      </c>
      <c r="H77" t="s">
        <v>118</v>
      </c>
      <c r="I77" t="s">
        <v>260</v>
      </c>
      <c r="J77" t="s">
        <v>91</v>
      </c>
      <c r="K77" t="s">
        <v>91</v>
      </c>
      <c r="L77" t="s">
        <v>91</v>
      </c>
      <c r="M77" t="s">
        <v>91</v>
      </c>
      <c r="N77" t="s">
        <v>91</v>
      </c>
      <c r="O77" t="s">
        <v>91</v>
      </c>
      <c r="P77" t="s">
        <v>91</v>
      </c>
      <c r="Q77" t="s">
        <v>91</v>
      </c>
      <c r="R77" t="s">
        <v>91</v>
      </c>
      <c r="S77" t="s">
        <v>91</v>
      </c>
      <c r="T77" t="s">
        <v>91</v>
      </c>
      <c r="U77" t="s">
        <v>91</v>
      </c>
      <c r="V77" t="s">
        <v>91</v>
      </c>
      <c r="W77" t="s">
        <v>91</v>
      </c>
      <c r="X77" t="s">
        <v>91</v>
      </c>
      <c r="Y77" t="s">
        <v>91</v>
      </c>
      <c r="Z77" t="s">
        <v>91</v>
      </c>
      <c r="AA77" t="s">
        <v>91</v>
      </c>
      <c r="AB77" t="s">
        <v>91</v>
      </c>
      <c r="AC77" t="s">
        <v>91</v>
      </c>
      <c r="AD77" t="s">
        <v>91</v>
      </c>
      <c r="AE77" t="s">
        <v>91</v>
      </c>
      <c r="AF77" t="s">
        <v>91</v>
      </c>
      <c r="AG77" t="s">
        <v>91</v>
      </c>
      <c r="AH77" t="s">
        <v>91</v>
      </c>
      <c r="AI77" t="s">
        <v>91</v>
      </c>
    </row>
    <row r="78" spans="1:35" ht="21" x14ac:dyDescent="0.3">
      <c r="A78" t="s">
        <v>553</v>
      </c>
      <c r="B78" s="11">
        <v>38</v>
      </c>
      <c r="C78">
        <v>602</v>
      </c>
      <c r="D78">
        <v>77</v>
      </c>
      <c r="E78" s="4">
        <v>44652</v>
      </c>
      <c r="F78" t="s">
        <v>62</v>
      </c>
      <c r="H78" t="s">
        <v>74</v>
      </c>
      <c r="I78" t="s">
        <v>261</v>
      </c>
      <c r="J78" t="s">
        <v>41</v>
      </c>
      <c r="K78" s="9">
        <v>1.5291666666666666</v>
      </c>
      <c r="L78">
        <v>8</v>
      </c>
      <c r="M78">
        <v>17</v>
      </c>
      <c r="N78">
        <v>0.47099999999999997</v>
      </c>
      <c r="O78">
        <v>1</v>
      </c>
      <c r="P78">
        <v>2</v>
      </c>
      <c r="Q78">
        <v>0.5</v>
      </c>
      <c r="R78">
        <v>7</v>
      </c>
      <c r="S78">
        <v>15</v>
      </c>
      <c r="T78">
        <v>0.46700000000000003</v>
      </c>
      <c r="U78">
        <v>0.5</v>
      </c>
      <c r="V78">
        <v>6</v>
      </c>
      <c r="W78">
        <v>9</v>
      </c>
      <c r="X78">
        <v>0.66700000000000004</v>
      </c>
      <c r="Y78">
        <v>0</v>
      </c>
      <c r="Z78">
        <v>12</v>
      </c>
      <c r="AA78">
        <v>12</v>
      </c>
      <c r="AB78">
        <v>6</v>
      </c>
      <c r="AC78">
        <v>1</v>
      </c>
      <c r="AD78">
        <v>0</v>
      </c>
      <c r="AE78">
        <v>2</v>
      </c>
      <c r="AF78">
        <v>4</v>
      </c>
      <c r="AG78">
        <v>23</v>
      </c>
      <c r="AH78">
        <v>18.3</v>
      </c>
      <c r="AI78">
        <v>4</v>
      </c>
    </row>
    <row r="79" spans="1:35" ht="21" x14ac:dyDescent="0.3">
      <c r="A79" t="s">
        <v>553</v>
      </c>
      <c r="B79" s="11">
        <v>39</v>
      </c>
      <c r="C79">
        <v>603</v>
      </c>
      <c r="D79">
        <v>78</v>
      </c>
      <c r="E79" s="4">
        <v>44654</v>
      </c>
      <c r="F79" t="s">
        <v>62</v>
      </c>
      <c r="H79" t="s">
        <v>34</v>
      </c>
      <c r="I79" t="s">
        <v>262</v>
      </c>
      <c r="J79" t="s">
        <v>41</v>
      </c>
      <c r="K79" s="9">
        <v>1.4409722222222223</v>
      </c>
      <c r="L79">
        <v>11</v>
      </c>
      <c r="M79">
        <v>25</v>
      </c>
      <c r="N79">
        <v>0.44</v>
      </c>
      <c r="O79">
        <v>0</v>
      </c>
      <c r="P79">
        <v>0</v>
      </c>
      <c r="R79">
        <v>11</v>
      </c>
      <c r="S79">
        <v>25</v>
      </c>
      <c r="T79">
        <v>0.44</v>
      </c>
      <c r="U79">
        <v>0.44</v>
      </c>
      <c r="V79">
        <v>6</v>
      </c>
      <c r="W79">
        <v>6</v>
      </c>
      <c r="X79">
        <v>1</v>
      </c>
      <c r="Y79">
        <v>1</v>
      </c>
      <c r="Z79">
        <v>8</v>
      </c>
      <c r="AA79">
        <v>9</v>
      </c>
      <c r="AB79">
        <v>8</v>
      </c>
      <c r="AC79">
        <v>2</v>
      </c>
      <c r="AD79">
        <v>3</v>
      </c>
      <c r="AE79">
        <v>2</v>
      </c>
      <c r="AF79">
        <v>0</v>
      </c>
      <c r="AG79">
        <v>28</v>
      </c>
      <c r="AH79">
        <v>25.7</v>
      </c>
      <c r="AI79">
        <v>-10</v>
      </c>
    </row>
    <row r="80" spans="1:35" ht="21" x14ac:dyDescent="0.3">
      <c r="A80" t="s">
        <v>553</v>
      </c>
      <c r="B80" s="11">
        <v>40</v>
      </c>
      <c r="C80">
        <v>604</v>
      </c>
      <c r="D80">
        <v>79</v>
      </c>
      <c r="E80" s="4">
        <v>44656</v>
      </c>
      <c r="F80" t="s">
        <v>62</v>
      </c>
      <c r="G80" t="s">
        <v>37</v>
      </c>
      <c r="H80" t="s">
        <v>99</v>
      </c>
      <c r="I80" t="s">
        <v>161</v>
      </c>
      <c r="J80" t="s">
        <v>41</v>
      </c>
      <c r="K80" s="9">
        <v>1.4798611111111111</v>
      </c>
      <c r="L80">
        <v>10</v>
      </c>
      <c r="M80">
        <v>18</v>
      </c>
      <c r="N80">
        <v>0.55600000000000005</v>
      </c>
      <c r="O80">
        <v>0</v>
      </c>
      <c r="P80">
        <v>2</v>
      </c>
      <c r="Q80">
        <v>0</v>
      </c>
      <c r="R80">
        <v>10</v>
      </c>
      <c r="S80">
        <v>16</v>
      </c>
      <c r="T80">
        <v>0.625</v>
      </c>
      <c r="U80">
        <v>0.55600000000000005</v>
      </c>
      <c r="V80">
        <v>1</v>
      </c>
      <c r="W80">
        <v>2</v>
      </c>
      <c r="X80">
        <v>0.5</v>
      </c>
      <c r="Y80">
        <v>1</v>
      </c>
      <c r="Z80">
        <v>12</v>
      </c>
      <c r="AA80">
        <v>13</v>
      </c>
      <c r="AB80">
        <v>1</v>
      </c>
      <c r="AC80">
        <v>1</v>
      </c>
      <c r="AD80">
        <v>1</v>
      </c>
      <c r="AE80">
        <v>2</v>
      </c>
      <c r="AF80">
        <v>0</v>
      </c>
      <c r="AG80">
        <v>21</v>
      </c>
      <c r="AH80">
        <v>16.7</v>
      </c>
      <c r="AI80">
        <v>-19</v>
      </c>
    </row>
    <row r="81" spans="1:35" ht="21" x14ac:dyDescent="0.3">
      <c r="A81" t="s">
        <v>553</v>
      </c>
      <c r="B81" s="11">
        <v>40</v>
      </c>
      <c r="D81">
        <v>80</v>
      </c>
      <c r="E81" s="4">
        <v>44658</v>
      </c>
      <c r="F81" t="s">
        <v>62</v>
      </c>
      <c r="G81" t="s">
        <v>37</v>
      </c>
      <c r="H81" t="s">
        <v>33</v>
      </c>
      <c r="I81" t="s">
        <v>263</v>
      </c>
      <c r="J81" t="s">
        <v>91</v>
      </c>
      <c r="K81" t="s">
        <v>91</v>
      </c>
      <c r="L81" t="s">
        <v>91</v>
      </c>
      <c r="M81" t="s">
        <v>91</v>
      </c>
      <c r="N81" t="s">
        <v>91</v>
      </c>
      <c r="O81" t="s">
        <v>91</v>
      </c>
      <c r="P81" t="s">
        <v>91</v>
      </c>
      <c r="Q81" t="s">
        <v>91</v>
      </c>
      <c r="R81" t="s">
        <v>91</v>
      </c>
      <c r="S81" t="s">
        <v>91</v>
      </c>
      <c r="T81" t="s">
        <v>91</v>
      </c>
      <c r="U81" t="s">
        <v>91</v>
      </c>
      <c r="V81" t="s">
        <v>91</v>
      </c>
      <c r="W81" t="s">
        <v>91</v>
      </c>
      <c r="X81" t="s">
        <v>91</v>
      </c>
      <c r="Y81" t="s">
        <v>91</v>
      </c>
      <c r="Z81" t="s">
        <v>91</v>
      </c>
      <c r="AA81" t="s">
        <v>91</v>
      </c>
      <c r="AB81" t="s">
        <v>91</v>
      </c>
      <c r="AC81" t="s">
        <v>91</v>
      </c>
      <c r="AD81" t="s">
        <v>91</v>
      </c>
      <c r="AE81" t="s">
        <v>91</v>
      </c>
      <c r="AF81" t="s">
        <v>91</v>
      </c>
      <c r="AG81" t="s">
        <v>91</v>
      </c>
      <c r="AH81" t="s">
        <v>91</v>
      </c>
      <c r="AI81" t="s">
        <v>91</v>
      </c>
    </row>
    <row r="82" spans="1:35" ht="21" x14ac:dyDescent="0.3">
      <c r="A82" t="s">
        <v>553</v>
      </c>
      <c r="B82" s="11">
        <v>40</v>
      </c>
      <c r="D82">
        <v>81</v>
      </c>
      <c r="E82" s="4">
        <v>44659</v>
      </c>
      <c r="F82" t="s">
        <v>62</v>
      </c>
      <c r="H82" t="s">
        <v>68</v>
      </c>
      <c r="I82" t="s">
        <v>264</v>
      </c>
      <c r="J82" t="s">
        <v>91</v>
      </c>
      <c r="K82" t="s">
        <v>91</v>
      </c>
      <c r="L82" t="s">
        <v>91</v>
      </c>
      <c r="M82" t="s">
        <v>91</v>
      </c>
      <c r="N82" t="s">
        <v>91</v>
      </c>
      <c r="O82" t="s">
        <v>91</v>
      </c>
      <c r="P82" t="s">
        <v>91</v>
      </c>
      <c r="Q82" t="s">
        <v>91</v>
      </c>
      <c r="R82" t="s">
        <v>91</v>
      </c>
      <c r="S82" t="s">
        <v>91</v>
      </c>
      <c r="T82" t="s">
        <v>91</v>
      </c>
      <c r="U82" t="s">
        <v>91</v>
      </c>
      <c r="V82" t="s">
        <v>91</v>
      </c>
      <c r="W82" t="s">
        <v>91</v>
      </c>
      <c r="X82" t="s">
        <v>91</v>
      </c>
      <c r="Y82" t="s">
        <v>91</v>
      </c>
      <c r="Z82" t="s">
        <v>91</v>
      </c>
      <c r="AA82" t="s">
        <v>91</v>
      </c>
      <c r="AB82" t="s">
        <v>91</v>
      </c>
      <c r="AC82" t="s">
        <v>91</v>
      </c>
      <c r="AD82" t="s">
        <v>91</v>
      </c>
      <c r="AE82" t="s">
        <v>91</v>
      </c>
      <c r="AF82" t="s">
        <v>91</v>
      </c>
      <c r="AG82" t="s">
        <v>91</v>
      </c>
      <c r="AH82" t="s">
        <v>91</v>
      </c>
      <c r="AI82" t="s">
        <v>91</v>
      </c>
    </row>
    <row r="83" spans="1:35" ht="21" x14ac:dyDescent="0.3">
      <c r="A83" t="s">
        <v>553</v>
      </c>
      <c r="B83" s="11">
        <v>40</v>
      </c>
      <c r="D83">
        <v>82</v>
      </c>
      <c r="E83" s="4">
        <v>44661</v>
      </c>
      <c r="F83" t="s">
        <v>62</v>
      </c>
      <c r="G83" t="s">
        <v>37</v>
      </c>
      <c r="H83" t="s">
        <v>34</v>
      </c>
      <c r="I83" t="s">
        <v>265</v>
      </c>
      <c r="J83" t="s">
        <v>91</v>
      </c>
      <c r="K83" t="s">
        <v>91</v>
      </c>
      <c r="L83" t="s">
        <v>91</v>
      </c>
      <c r="M83" t="s">
        <v>91</v>
      </c>
      <c r="N83" t="s">
        <v>91</v>
      </c>
      <c r="O83" t="s">
        <v>91</v>
      </c>
      <c r="P83" t="s">
        <v>91</v>
      </c>
      <c r="Q83" t="s">
        <v>91</v>
      </c>
      <c r="R83" t="s">
        <v>91</v>
      </c>
      <c r="S83" t="s">
        <v>91</v>
      </c>
      <c r="T83" t="s">
        <v>91</v>
      </c>
      <c r="U83" t="s">
        <v>91</v>
      </c>
      <c r="V83" t="s">
        <v>91</v>
      </c>
      <c r="W83" t="s">
        <v>91</v>
      </c>
      <c r="X83" t="s">
        <v>91</v>
      </c>
      <c r="Y83" t="s">
        <v>91</v>
      </c>
      <c r="Z83" t="s">
        <v>91</v>
      </c>
      <c r="AA83" t="s">
        <v>91</v>
      </c>
      <c r="AB83" t="s">
        <v>91</v>
      </c>
      <c r="AC83" t="s">
        <v>91</v>
      </c>
      <c r="AD83" t="s">
        <v>91</v>
      </c>
      <c r="AE83" t="s">
        <v>91</v>
      </c>
      <c r="AF83" t="s">
        <v>91</v>
      </c>
      <c r="AG83" t="s">
        <v>91</v>
      </c>
      <c r="AH83" t="s">
        <v>91</v>
      </c>
      <c r="AI83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659B-E956-DF41-B3A8-E5094BF74938}">
  <dimension ref="A1:AI96"/>
  <sheetViews>
    <sheetView workbookViewId="0">
      <selection activeCell="H2" sqref="H2:H96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552</v>
      </c>
      <c r="B2" s="11">
        <v>1</v>
      </c>
      <c r="C2">
        <v>1091</v>
      </c>
      <c r="D2">
        <v>1</v>
      </c>
      <c r="E2" s="4">
        <v>44489</v>
      </c>
      <c r="F2" t="s">
        <v>99</v>
      </c>
      <c r="H2" t="s">
        <v>34</v>
      </c>
      <c r="I2" t="s">
        <v>266</v>
      </c>
      <c r="J2" t="s">
        <v>41</v>
      </c>
      <c r="K2" s="9">
        <v>1.4006944444444445</v>
      </c>
      <c r="L2">
        <v>6</v>
      </c>
      <c r="M2">
        <v>11</v>
      </c>
      <c r="N2">
        <v>0.54500000000000004</v>
      </c>
      <c r="O2">
        <v>2</v>
      </c>
      <c r="P2">
        <v>4</v>
      </c>
      <c r="Q2">
        <v>0.5</v>
      </c>
      <c r="R2">
        <v>4</v>
      </c>
      <c r="S2">
        <v>7</v>
      </c>
      <c r="T2">
        <v>0.57099999999999995</v>
      </c>
      <c r="U2">
        <v>0.63600000000000001</v>
      </c>
      <c r="V2">
        <v>1</v>
      </c>
      <c r="W2">
        <v>2</v>
      </c>
      <c r="X2">
        <v>0.5</v>
      </c>
      <c r="Y2">
        <v>2</v>
      </c>
      <c r="Z2">
        <v>2</v>
      </c>
      <c r="AA2">
        <v>4</v>
      </c>
      <c r="AB2">
        <v>10</v>
      </c>
      <c r="AC2">
        <v>2</v>
      </c>
      <c r="AD2">
        <v>1</v>
      </c>
      <c r="AE2">
        <v>3</v>
      </c>
      <c r="AF2">
        <v>3</v>
      </c>
      <c r="AG2">
        <v>15</v>
      </c>
      <c r="AH2">
        <v>16.8</v>
      </c>
      <c r="AI2">
        <v>-23</v>
      </c>
    </row>
    <row r="3" spans="1:35" ht="21" x14ac:dyDescent="0.3">
      <c r="A3" t="s">
        <v>552</v>
      </c>
      <c r="B3" s="11">
        <v>2</v>
      </c>
      <c r="C3">
        <v>1092</v>
      </c>
      <c r="D3">
        <v>2</v>
      </c>
      <c r="E3" s="4">
        <v>44491</v>
      </c>
      <c r="F3" t="s">
        <v>99</v>
      </c>
      <c r="G3" t="s">
        <v>37</v>
      </c>
      <c r="H3" t="s">
        <v>62</v>
      </c>
      <c r="I3" t="s">
        <v>267</v>
      </c>
      <c r="J3" t="s">
        <v>41</v>
      </c>
      <c r="K3" s="9">
        <v>1.2180555555555554</v>
      </c>
      <c r="L3">
        <v>6</v>
      </c>
      <c r="M3">
        <v>12</v>
      </c>
      <c r="N3">
        <v>0.5</v>
      </c>
      <c r="O3">
        <v>1</v>
      </c>
      <c r="P3">
        <v>4</v>
      </c>
      <c r="Q3">
        <v>0.25</v>
      </c>
      <c r="R3">
        <v>5</v>
      </c>
      <c r="S3">
        <v>8</v>
      </c>
      <c r="T3">
        <v>0.625</v>
      </c>
      <c r="U3">
        <v>0.54200000000000004</v>
      </c>
      <c r="V3">
        <v>10</v>
      </c>
      <c r="W3">
        <v>10</v>
      </c>
      <c r="X3">
        <v>1</v>
      </c>
      <c r="Y3">
        <v>0</v>
      </c>
      <c r="Z3">
        <v>5</v>
      </c>
      <c r="AA3">
        <v>5</v>
      </c>
      <c r="AB3">
        <v>14</v>
      </c>
      <c r="AC3">
        <v>2</v>
      </c>
      <c r="AD3">
        <v>0</v>
      </c>
      <c r="AE3">
        <v>5</v>
      </c>
      <c r="AF3">
        <v>3</v>
      </c>
      <c r="AG3">
        <v>23</v>
      </c>
      <c r="AH3">
        <v>24.1</v>
      </c>
      <c r="AI3">
        <v>6</v>
      </c>
    </row>
    <row r="4" spans="1:35" ht="21" x14ac:dyDescent="0.3">
      <c r="A4" t="s">
        <v>552</v>
      </c>
      <c r="B4" s="11">
        <v>3</v>
      </c>
      <c r="C4">
        <v>1093</v>
      </c>
      <c r="D4">
        <v>3</v>
      </c>
      <c r="E4" s="4">
        <v>44492</v>
      </c>
      <c r="F4" t="s">
        <v>99</v>
      </c>
      <c r="G4" t="s">
        <v>37</v>
      </c>
      <c r="H4" t="s">
        <v>96</v>
      </c>
      <c r="I4" t="s">
        <v>268</v>
      </c>
      <c r="J4" t="s">
        <v>41</v>
      </c>
      <c r="K4" s="9">
        <v>1.0625</v>
      </c>
      <c r="L4">
        <v>2</v>
      </c>
      <c r="M4">
        <v>5</v>
      </c>
      <c r="N4">
        <v>0.4</v>
      </c>
      <c r="O4">
        <v>0</v>
      </c>
      <c r="P4">
        <v>2</v>
      </c>
      <c r="Q4">
        <v>0</v>
      </c>
      <c r="R4">
        <v>2</v>
      </c>
      <c r="S4">
        <v>3</v>
      </c>
      <c r="T4">
        <v>0.66700000000000004</v>
      </c>
      <c r="U4">
        <v>0.4</v>
      </c>
      <c r="V4">
        <v>0</v>
      </c>
      <c r="W4">
        <v>0</v>
      </c>
      <c r="Y4">
        <v>0</v>
      </c>
      <c r="Z4">
        <v>2</v>
      </c>
      <c r="AA4">
        <v>2</v>
      </c>
      <c r="AB4">
        <v>11</v>
      </c>
      <c r="AC4">
        <v>1</v>
      </c>
      <c r="AD4">
        <v>0</v>
      </c>
      <c r="AE4">
        <v>1</v>
      </c>
      <c r="AF4">
        <v>0</v>
      </c>
      <c r="AG4">
        <v>4</v>
      </c>
      <c r="AH4">
        <v>9.6</v>
      </c>
      <c r="AI4">
        <v>-29</v>
      </c>
    </row>
    <row r="5" spans="1:35" ht="21" x14ac:dyDescent="0.3">
      <c r="A5" t="s">
        <v>552</v>
      </c>
      <c r="B5" s="11">
        <v>4</v>
      </c>
      <c r="C5">
        <v>1094</v>
      </c>
      <c r="D5">
        <v>4</v>
      </c>
      <c r="E5" s="4">
        <v>44496</v>
      </c>
      <c r="F5" t="s">
        <v>99</v>
      </c>
      <c r="H5" t="s">
        <v>66</v>
      </c>
      <c r="I5" t="s">
        <v>269</v>
      </c>
      <c r="J5" t="s">
        <v>41</v>
      </c>
      <c r="K5" s="9">
        <v>1.2388888888888889</v>
      </c>
      <c r="L5">
        <v>1</v>
      </c>
      <c r="M5">
        <v>10</v>
      </c>
      <c r="N5">
        <v>0.1</v>
      </c>
      <c r="O5">
        <v>0</v>
      </c>
      <c r="P5">
        <v>0</v>
      </c>
      <c r="R5">
        <v>1</v>
      </c>
      <c r="S5">
        <v>10</v>
      </c>
      <c r="T5">
        <v>0.1</v>
      </c>
      <c r="U5">
        <v>0.1</v>
      </c>
      <c r="V5">
        <v>4</v>
      </c>
      <c r="W5">
        <v>4</v>
      </c>
      <c r="X5">
        <v>1</v>
      </c>
      <c r="Y5">
        <v>3</v>
      </c>
      <c r="Z5">
        <v>3</v>
      </c>
      <c r="AA5">
        <v>6</v>
      </c>
      <c r="AB5">
        <v>8</v>
      </c>
      <c r="AC5">
        <v>2</v>
      </c>
      <c r="AD5">
        <v>0</v>
      </c>
      <c r="AE5">
        <v>1</v>
      </c>
      <c r="AF5">
        <v>2</v>
      </c>
      <c r="AG5">
        <v>6</v>
      </c>
      <c r="AH5">
        <v>8.1999999999999993</v>
      </c>
      <c r="AI5">
        <v>-10</v>
      </c>
    </row>
    <row r="6" spans="1:35" ht="21" x14ac:dyDescent="0.3">
      <c r="A6" t="s">
        <v>552</v>
      </c>
      <c r="B6" s="11">
        <v>5</v>
      </c>
      <c r="C6">
        <v>1095</v>
      </c>
      <c r="D6">
        <v>5</v>
      </c>
      <c r="E6" s="4">
        <v>44499</v>
      </c>
      <c r="F6" t="s">
        <v>99</v>
      </c>
      <c r="H6" t="s">
        <v>87</v>
      </c>
      <c r="I6" t="s">
        <v>270</v>
      </c>
      <c r="J6" t="s">
        <v>41</v>
      </c>
      <c r="K6" s="9">
        <v>1.5305555555555554</v>
      </c>
      <c r="L6">
        <v>6</v>
      </c>
      <c r="M6">
        <v>10</v>
      </c>
      <c r="N6">
        <v>0.6</v>
      </c>
      <c r="O6">
        <v>2</v>
      </c>
      <c r="P6">
        <v>2</v>
      </c>
      <c r="Q6">
        <v>1</v>
      </c>
      <c r="R6">
        <v>4</v>
      </c>
      <c r="S6">
        <v>8</v>
      </c>
      <c r="T6">
        <v>0.5</v>
      </c>
      <c r="U6">
        <v>0.7</v>
      </c>
      <c r="V6">
        <v>2</v>
      </c>
      <c r="W6">
        <v>6</v>
      </c>
      <c r="X6">
        <v>0.33300000000000002</v>
      </c>
      <c r="Y6">
        <v>0</v>
      </c>
      <c r="Z6">
        <v>2</v>
      </c>
      <c r="AA6">
        <v>2</v>
      </c>
      <c r="AB6">
        <v>10</v>
      </c>
      <c r="AC6">
        <v>4</v>
      </c>
      <c r="AD6">
        <v>0</v>
      </c>
      <c r="AE6">
        <v>2</v>
      </c>
      <c r="AF6">
        <v>2</v>
      </c>
      <c r="AG6">
        <v>16</v>
      </c>
      <c r="AH6">
        <v>18.600000000000001</v>
      </c>
      <c r="AI6">
        <v>18</v>
      </c>
    </row>
    <row r="7" spans="1:35" ht="21" x14ac:dyDescent="0.3">
      <c r="A7" t="s">
        <v>552</v>
      </c>
      <c r="B7" s="11">
        <v>6</v>
      </c>
      <c r="C7">
        <v>1096</v>
      </c>
      <c r="D7">
        <v>6</v>
      </c>
      <c r="E7" s="4">
        <v>44502</v>
      </c>
      <c r="F7" t="s">
        <v>99</v>
      </c>
      <c r="H7" t="s">
        <v>74</v>
      </c>
      <c r="I7" t="s">
        <v>271</v>
      </c>
      <c r="J7" t="s">
        <v>41</v>
      </c>
      <c r="K7" s="9">
        <v>1.5027777777777778</v>
      </c>
      <c r="L7">
        <v>6</v>
      </c>
      <c r="M7">
        <v>8</v>
      </c>
      <c r="N7">
        <v>0.75</v>
      </c>
      <c r="O7">
        <v>0</v>
      </c>
      <c r="P7">
        <v>0</v>
      </c>
      <c r="R7">
        <v>6</v>
      </c>
      <c r="S7">
        <v>8</v>
      </c>
      <c r="T7">
        <v>0.75</v>
      </c>
      <c r="U7">
        <v>0.75</v>
      </c>
      <c r="V7">
        <v>2</v>
      </c>
      <c r="W7">
        <v>2</v>
      </c>
      <c r="X7">
        <v>1</v>
      </c>
      <c r="Y7">
        <v>0</v>
      </c>
      <c r="Z7">
        <v>7</v>
      </c>
      <c r="AA7">
        <v>7</v>
      </c>
      <c r="AB7">
        <v>18</v>
      </c>
      <c r="AC7">
        <v>1</v>
      </c>
      <c r="AD7">
        <v>1</v>
      </c>
      <c r="AE7">
        <v>4</v>
      </c>
      <c r="AF7">
        <v>3</v>
      </c>
      <c r="AG7">
        <v>14</v>
      </c>
      <c r="AH7">
        <v>22</v>
      </c>
      <c r="AI7">
        <v>16</v>
      </c>
    </row>
    <row r="8" spans="1:35" ht="21" x14ac:dyDescent="0.3">
      <c r="A8" t="s">
        <v>552</v>
      </c>
      <c r="B8" s="11">
        <v>7</v>
      </c>
      <c r="C8">
        <v>1097</v>
      </c>
      <c r="D8">
        <v>7</v>
      </c>
      <c r="E8" s="4">
        <v>44504</v>
      </c>
      <c r="F8" t="s">
        <v>99</v>
      </c>
      <c r="H8" t="s">
        <v>76</v>
      </c>
      <c r="I8" t="s">
        <v>272</v>
      </c>
      <c r="J8" t="s">
        <v>41</v>
      </c>
      <c r="K8" s="9">
        <v>1.4326388888888888</v>
      </c>
      <c r="L8">
        <v>3</v>
      </c>
      <c r="M8">
        <v>10</v>
      </c>
      <c r="N8">
        <v>0.3</v>
      </c>
      <c r="O8">
        <v>1</v>
      </c>
      <c r="P8">
        <v>5</v>
      </c>
      <c r="Q8">
        <v>0.2</v>
      </c>
      <c r="R8">
        <v>2</v>
      </c>
      <c r="S8">
        <v>5</v>
      </c>
      <c r="T8">
        <v>0.4</v>
      </c>
      <c r="U8">
        <v>0.35</v>
      </c>
      <c r="V8">
        <v>2</v>
      </c>
      <c r="W8">
        <v>2</v>
      </c>
      <c r="X8">
        <v>1</v>
      </c>
      <c r="Y8">
        <v>0</v>
      </c>
      <c r="Z8">
        <v>5</v>
      </c>
      <c r="AA8">
        <v>5</v>
      </c>
      <c r="AB8">
        <v>13</v>
      </c>
      <c r="AC8">
        <v>5</v>
      </c>
      <c r="AD8">
        <v>2</v>
      </c>
      <c r="AE8">
        <v>2</v>
      </c>
      <c r="AF8">
        <v>3</v>
      </c>
      <c r="AG8">
        <v>9</v>
      </c>
      <c r="AH8">
        <v>17</v>
      </c>
      <c r="AI8">
        <v>12</v>
      </c>
    </row>
    <row r="9" spans="1:35" ht="21" x14ac:dyDescent="0.3">
      <c r="A9" t="s">
        <v>552</v>
      </c>
      <c r="B9" s="11">
        <v>8</v>
      </c>
      <c r="C9">
        <v>1098</v>
      </c>
      <c r="D9">
        <v>8</v>
      </c>
      <c r="E9" s="4">
        <v>44506</v>
      </c>
      <c r="F9" t="s">
        <v>99</v>
      </c>
      <c r="H9" t="s">
        <v>78</v>
      </c>
      <c r="I9" t="s">
        <v>273</v>
      </c>
      <c r="J9" t="s">
        <v>41</v>
      </c>
      <c r="K9" s="9">
        <v>1.4770833333333333</v>
      </c>
      <c r="L9">
        <v>5</v>
      </c>
      <c r="M9">
        <v>8</v>
      </c>
      <c r="N9">
        <v>0.625</v>
      </c>
      <c r="O9">
        <v>1</v>
      </c>
      <c r="P9">
        <v>2</v>
      </c>
      <c r="Q9">
        <v>0.5</v>
      </c>
      <c r="R9">
        <v>4</v>
      </c>
      <c r="S9">
        <v>6</v>
      </c>
      <c r="T9">
        <v>0.66700000000000004</v>
      </c>
      <c r="U9">
        <v>0.68799999999999994</v>
      </c>
      <c r="V9">
        <v>5</v>
      </c>
      <c r="W9">
        <v>6</v>
      </c>
      <c r="X9">
        <v>0.83299999999999996</v>
      </c>
      <c r="Y9">
        <v>0</v>
      </c>
      <c r="Z9">
        <v>6</v>
      </c>
      <c r="AA9">
        <v>6</v>
      </c>
      <c r="AB9">
        <v>13</v>
      </c>
      <c r="AC9">
        <v>1</v>
      </c>
      <c r="AD9">
        <v>1</v>
      </c>
      <c r="AE9">
        <v>2</v>
      </c>
      <c r="AF9">
        <v>1</v>
      </c>
      <c r="AG9">
        <v>16</v>
      </c>
      <c r="AH9">
        <v>22.2</v>
      </c>
      <c r="AI9">
        <v>26</v>
      </c>
    </row>
    <row r="10" spans="1:35" ht="21" x14ac:dyDescent="0.3">
      <c r="A10" t="s">
        <v>552</v>
      </c>
      <c r="B10" s="11">
        <v>9</v>
      </c>
      <c r="C10">
        <v>1099</v>
      </c>
      <c r="D10">
        <v>9</v>
      </c>
      <c r="E10" s="4">
        <v>44508</v>
      </c>
      <c r="F10" t="s">
        <v>99</v>
      </c>
      <c r="G10" t="s">
        <v>37</v>
      </c>
      <c r="H10" t="s">
        <v>66</v>
      </c>
      <c r="I10" t="s">
        <v>274</v>
      </c>
      <c r="J10" t="s">
        <v>41</v>
      </c>
      <c r="K10" s="9">
        <v>1.0763888888888888</v>
      </c>
      <c r="L10">
        <v>6</v>
      </c>
      <c r="M10">
        <v>12</v>
      </c>
      <c r="N10">
        <v>0.5</v>
      </c>
      <c r="O10">
        <v>2</v>
      </c>
      <c r="P10">
        <v>3</v>
      </c>
      <c r="Q10">
        <v>0.66700000000000004</v>
      </c>
      <c r="R10">
        <v>4</v>
      </c>
      <c r="S10">
        <v>9</v>
      </c>
      <c r="T10">
        <v>0.44400000000000001</v>
      </c>
      <c r="U10">
        <v>0.58299999999999996</v>
      </c>
      <c r="V10">
        <v>2</v>
      </c>
      <c r="W10">
        <v>2</v>
      </c>
      <c r="X10">
        <v>1</v>
      </c>
      <c r="Y10">
        <v>0</v>
      </c>
      <c r="Z10">
        <v>3</v>
      </c>
      <c r="AA10">
        <v>3</v>
      </c>
      <c r="AB10">
        <v>5</v>
      </c>
      <c r="AC10">
        <v>3</v>
      </c>
      <c r="AD10">
        <v>0</v>
      </c>
      <c r="AE10">
        <v>2</v>
      </c>
      <c r="AF10">
        <v>1</v>
      </c>
      <c r="AG10">
        <v>16</v>
      </c>
      <c r="AH10">
        <v>15</v>
      </c>
      <c r="AI10">
        <v>7</v>
      </c>
    </row>
    <row r="11" spans="1:35" ht="21" x14ac:dyDescent="0.3">
      <c r="A11" t="s">
        <v>552</v>
      </c>
      <c r="B11" s="11">
        <v>10</v>
      </c>
      <c r="C11">
        <v>1100</v>
      </c>
      <c r="D11">
        <v>10</v>
      </c>
      <c r="E11" s="4">
        <v>44510</v>
      </c>
      <c r="F11" t="s">
        <v>99</v>
      </c>
      <c r="H11" t="s">
        <v>96</v>
      </c>
      <c r="I11" t="s">
        <v>275</v>
      </c>
      <c r="J11" t="s">
        <v>41</v>
      </c>
      <c r="K11" s="9">
        <v>1.5270833333333333</v>
      </c>
      <c r="L11">
        <v>9</v>
      </c>
      <c r="M11">
        <v>16</v>
      </c>
      <c r="N11">
        <v>0.56299999999999994</v>
      </c>
      <c r="O11">
        <v>1</v>
      </c>
      <c r="P11">
        <v>3</v>
      </c>
      <c r="Q11">
        <v>0.33300000000000002</v>
      </c>
      <c r="R11">
        <v>8</v>
      </c>
      <c r="S11">
        <v>13</v>
      </c>
      <c r="T11">
        <v>0.61499999999999999</v>
      </c>
      <c r="U11">
        <v>0.59399999999999997</v>
      </c>
      <c r="V11">
        <v>2</v>
      </c>
      <c r="W11">
        <v>3</v>
      </c>
      <c r="X11">
        <v>0.66700000000000004</v>
      </c>
      <c r="Y11">
        <v>1</v>
      </c>
      <c r="Z11">
        <v>3</v>
      </c>
      <c r="AA11">
        <v>4</v>
      </c>
      <c r="AB11">
        <v>7</v>
      </c>
      <c r="AC11">
        <v>0</v>
      </c>
      <c r="AD11">
        <v>1</v>
      </c>
      <c r="AE11">
        <v>2</v>
      </c>
      <c r="AF11">
        <v>2</v>
      </c>
      <c r="AG11">
        <v>21</v>
      </c>
      <c r="AH11">
        <v>17.399999999999999</v>
      </c>
      <c r="AI11">
        <v>4</v>
      </c>
    </row>
    <row r="12" spans="1:35" ht="21" x14ac:dyDescent="0.3">
      <c r="A12" t="s">
        <v>552</v>
      </c>
      <c r="B12" s="11">
        <v>11</v>
      </c>
      <c r="C12">
        <v>1101</v>
      </c>
      <c r="D12">
        <v>11</v>
      </c>
      <c r="E12" s="4">
        <v>44512</v>
      </c>
      <c r="F12" t="s">
        <v>99</v>
      </c>
      <c r="G12" t="s">
        <v>37</v>
      </c>
      <c r="H12" t="s">
        <v>42</v>
      </c>
      <c r="I12" t="s">
        <v>276</v>
      </c>
      <c r="J12" t="s">
        <v>41</v>
      </c>
      <c r="K12" s="9">
        <v>1.1520833333333333</v>
      </c>
      <c r="L12">
        <v>6</v>
      </c>
      <c r="M12">
        <v>12</v>
      </c>
      <c r="N12">
        <v>0.5</v>
      </c>
      <c r="O12">
        <v>0</v>
      </c>
      <c r="P12">
        <v>2</v>
      </c>
      <c r="Q12">
        <v>0</v>
      </c>
      <c r="R12">
        <v>6</v>
      </c>
      <c r="S12">
        <v>10</v>
      </c>
      <c r="T12">
        <v>0.6</v>
      </c>
      <c r="U12">
        <v>0.5</v>
      </c>
      <c r="V12">
        <v>3</v>
      </c>
      <c r="W12">
        <v>3</v>
      </c>
      <c r="X12">
        <v>1</v>
      </c>
      <c r="Y12">
        <v>0</v>
      </c>
      <c r="Z12">
        <v>4</v>
      </c>
      <c r="AA12">
        <v>4</v>
      </c>
      <c r="AB12">
        <v>12</v>
      </c>
      <c r="AC12">
        <v>5</v>
      </c>
      <c r="AD12">
        <v>0</v>
      </c>
      <c r="AE12">
        <v>2</v>
      </c>
      <c r="AF12">
        <v>2</v>
      </c>
      <c r="AG12">
        <v>15</v>
      </c>
      <c r="AH12">
        <v>20.8</v>
      </c>
      <c r="AI12">
        <v>20</v>
      </c>
    </row>
    <row r="13" spans="1:35" ht="21" x14ac:dyDescent="0.3">
      <c r="A13" t="s">
        <v>552</v>
      </c>
      <c r="B13" s="11">
        <v>12</v>
      </c>
      <c r="C13">
        <v>1102</v>
      </c>
      <c r="D13">
        <v>12</v>
      </c>
      <c r="E13" s="4">
        <v>44514</v>
      </c>
      <c r="F13" t="s">
        <v>99</v>
      </c>
      <c r="G13" t="s">
        <v>37</v>
      </c>
      <c r="H13" t="s">
        <v>76</v>
      </c>
      <c r="I13" t="s">
        <v>277</v>
      </c>
      <c r="J13" t="s">
        <v>41</v>
      </c>
      <c r="K13" s="9">
        <v>1.2291666666666667</v>
      </c>
      <c r="L13">
        <v>6</v>
      </c>
      <c r="M13">
        <v>11</v>
      </c>
      <c r="N13">
        <v>0.54500000000000004</v>
      </c>
      <c r="O13">
        <v>2</v>
      </c>
      <c r="P13">
        <v>5</v>
      </c>
      <c r="Q13">
        <v>0.4</v>
      </c>
      <c r="R13">
        <v>4</v>
      </c>
      <c r="S13">
        <v>6</v>
      </c>
      <c r="T13">
        <v>0.66700000000000004</v>
      </c>
      <c r="U13">
        <v>0.63600000000000001</v>
      </c>
      <c r="V13">
        <v>1</v>
      </c>
      <c r="W13">
        <v>1</v>
      </c>
      <c r="X13">
        <v>1</v>
      </c>
      <c r="Y13">
        <v>0</v>
      </c>
      <c r="Z13">
        <v>3</v>
      </c>
      <c r="AA13">
        <v>3</v>
      </c>
      <c r="AB13">
        <v>4</v>
      </c>
      <c r="AC13">
        <v>7</v>
      </c>
      <c r="AD13">
        <v>0</v>
      </c>
      <c r="AE13">
        <v>2</v>
      </c>
      <c r="AF13">
        <v>2</v>
      </c>
      <c r="AG13">
        <v>15</v>
      </c>
      <c r="AH13">
        <v>17.600000000000001</v>
      </c>
      <c r="AI13">
        <v>25</v>
      </c>
    </row>
    <row r="14" spans="1:35" ht="21" x14ac:dyDescent="0.3">
      <c r="A14" t="s">
        <v>552</v>
      </c>
      <c r="B14" s="11">
        <v>13</v>
      </c>
      <c r="C14">
        <v>1103</v>
      </c>
      <c r="D14">
        <v>13</v>
      </c>
      <c r="E14" s="4">
        <v>44515</v>
      </c>
      <c r="F14" t="s">
        <v>99</v>
      </c>
      <c r="G14" t="s">
        <v>37</v>
      </c>
      <c r="H14" t="s">
        <v>80</v>
      </c>
      <c r="I14" t="s">
        <v>278</v>
      </c>
      <c r="J14" t="s">
        <v>41</v>
      </c>
      <c r="K14" s="9">
        <v>1.4</v>
      </c>
      <c r="L14">
        <v>6</v>
      </c>
      <c r="M14">
        <v>14</v>
      </c>
      <c r="N14">
        <v>0.42899999999999999</v>
      </c>
      <c r="O14">
        <v>2</v>
      </c>
      <c r="P14">
        <v>5</v>
      </c>
      <c r="Q14">
        <v>0.4</v>
      </c>
      <c r="R14">
        <v>4</v>
      </c>
      <c r="S14">
        <v>9</v>
      </c>
      <c r="T14">
        <v>0.44400000000000001</v>
      </c>
      <c r="U14">
        <v>0.5</v>
      </c>
      <c r="V14">
        <v>7</v>
      </c>
      <c r="W14">
        <v>7</v>
      </c>
      <c r="X14">
        <v>1</v>
      </c>
      <c r="Y14">
        <v>0</v>
      </c>
      <c r="Z14">
        <v>3</v>
      </c>
      <c r="AA14">
        <v>3</v>
      </c>
      <c r="AB14">
        <v>8</v>
      </c>
      <c r="AC14">
        <v>1</v>
      </c>
      <c r="AD14">
        <v>0</v>
      </c>
      <c r="AE14">
        <v>3</v>
      </c>
      <c r="AF14">
        <v>1</v>
      </c>
      <c r="AG14">
        <v>21</v>
      </c>
      <c r="AH14">
        <v>17.7</v>
      </c>
      <c r="AI14">
        <v>-13</v>
      </c>
    </row>
    <row r="15" spans="1:35" ht="21" x14ac:dyDescent="0.3">
      <c r="A15" t="s">
        <v>552</v>
      </c>
      <c r="B15" s="11">
        <v>14</v>
      </c>
      <c r="C15">
        <v>1104</v>
      </c>
      <c r="D15">
        <v>14</v>
      </c>
      <c r="E15" s="4">
        <v>44517</v>
      </c>
      <c r="F15" t="s">
        <v>99</v>
      </c>
      <c r="H15" t="s">
        <v>49</v>
      </c>
      <c r="I15" t="s">
        <v>279</v>
      </c>
      <c r="J15" t="s">
        <v>41</v>
      </c>
      <c r="K15" s="9">
        <v>1.5347222222222223</v>
      </c>
      <c r="L15">
        <v>2</v>
      </c>
      <c r="M15">
        <v>12</v>
      </c>
      <c r="N15">
        <v>0.16700000000000001</v>
      </c>
      <c r="O15">
        <v>0</v>
      </c>
      <c r="P15">
        <v>6</v>
      </c>
      <c r="Q15">
        <v>0</v>
      </c>
      <c r="R15">
        <v>2</v>
      </c>
      <c r="S15">
        <v>6</v>
      </c>
      <c r="T15">
        <v>0.33300000000000002</v>
      </c>
      <c r="U15">
        <v>0.16700000000000001</v>
      </c>
      <c r="V15">
        <v>3</v>
      </c>
      <c r="W15">
        <v>4</v>
      </c>
      <c r="X15">
        <v>0.75</v>
      </c>
      <c r="Y15">
        <v>0</v>
      </c>
      <c r="Z15">
        <v>4</v>
      </c>
      <c r="AA15">
        <v>4</v>
      </c>
      <c r="AB15">
        <v>14</v>
      </c>
      <c r="AC15">
        <v>0</v>
      </c>
      <c r="AD15">
        <v>0</v>
      </c>
      <c r="AE15">
        <v>0</v>
      </c>
      <c r="AF15">
        <v>2</v>
      </c>
      <c r="AG15">
        <v>7</v>
      </c>
      <c r="AH15">
        <v>9.1999999999999993</v>
      </c>
      <c r="AI15">
        <v>1</v>
      </c>
    </row>
    <row r="16" spans="1:35" ht="21" x14ac:dyDescent="0.3">
      <c r="A16" t="s">
        <v>552</v>
      </c>
      <c r="B16" s="11">
        <v>15</v>
      </c>
      <c r="C16">
        <v>1105</v>
      </c>
      <c r="D16">
        <v>15</v>
      </c>
      <c r="E16" s="4">
        <v>44519</v>
      </c>
      <c r="F16" t="s">
        <v>99</v>
      </c>
      <c r="H16" t="s">
        <v>49</v>
      </c>
      <c r="I16" t="s">
        <v>280</v>
      </c>
      <c r="J16" t="s">
        <v>41</v>
      </c>
      <c r="K16" s="9">
        <v>1.3972222222222221</v>
      </c>
      <c r="L16">
        <v>7</v>
      </c>
      <c r="M16">
        <v>14</v>
      </c>
      <c r="N16">
        <v>0.5</v>
      </c>
      <c r="O16">
        <v>2</v>
      </c>
      <c r="P16">
        <v>4</v>
      </c>
      <c r="Q16">
        <v>0.5</v>
      </c>
      <c r="R16">
        <v>5</v>
      </c>
      <c r="S16">
        <v>10</v>
      </c>
      <c r="T16">
        <v>0.5</v>
      </c>
      <c r="U16">
        <v>0.57099999999999995</v>
      </c>
      <c r="V16">
        <v>2</v>
      </c>
      <c r="W16">
        <v>2</v>
      </c>
      <c r="X16">
        <v>1</v>
      </c>
      <c r="Y16">
        <v>0</v>
      </c>
      <c r="Z16">
        <v>5</v>
      </c>
      <c r="AA16">
        <v>5</v>
      </c>
      <c r="AB16">
        <v>14</v>
      </c>
      <c r="AC16">
        <v>3</v>
      </c>
      <c r="AD16">
        <v>0</v>
      </c>
      <c r="AE16">
        <v>5</v>
      </c>
      <c r="AF16">
        <v>2</v>
      </c>
      <c r="AG16">
        <v>18</v>
      </c>
      <c r="AH16">
        <v>19.5</v>
      </c>
      <c r="AI16">
        <v>10</v>
      </c>
    </row>
    <row r="17" spans="1:35" ht="21" x14ac:dyDescent="0.3">
      <c r="A17" t="s">
        <v>552</v>
      </c>
      <c r="B17" s="11">
        <v>16</v>
      </c>
      <c r="C17">
        <v>1106</v>
      </c>
      <c r="D17">
        <v>16</v>
      </c>
      <c r="E17" s="4">
        <v>44521</v>
      </c>
      <c r="F17" t="s">
        <v>99</v>
      </c>
      <c r="H17" t="s">
        <v>34</v>
      </c>
      <c r="I17" t="s">
        <v>281</v>
      </c>
      <c r="J17" t="s">
        <v>41</v>
      </c>
      <c r="K17" s="9">
        <v>1.0152777777777777</v>
      </c>
      <c r="L17">
        <v>2</v>
      </c>
      <c r="M17">
        <v>4</v>
      </c>
      <c r="N17">
        <v>0.5</v>
      </c>
      <c r="O17">
        <v>0</v>
      </c>
      <c r="P17">
        <v>2</v>
      </c>
      <c r="Q17">
        <v>0</v>
      </c>
      <c r="R17">
        <v>2</v>
      </c>
      <c r="S17">
        <v>2</v>
      </c>
      <c r="T17">
        <v>1</v>
      </c>
      <c r="U17">
        <v>0.5</v>
      </c>
      <c r="V17">
        <v>5</v>
      </c>
      <c r="W17">
        <v>5</v>
      </c>
      <c r="X17">
        <v>1</v>
      </c>
      <c r="Y17">
        <v>0</v>
      </c>
      <c r="Z17">
        <v>3</v>
      </c>
      <c r="AA17">
        <v>3</v>
      </c>
      <c r="AB17">
        <v>10</v>
      </c>
      <c r="AC17">
        <v>0</v>
      </c>
      <c r="AD17">
        <v>0</v>
      </c>
      <c r="AE17">
        <v>0</v>
      </c>
      <c r="AF17">
        <v>3</v>
      </c>
      <c r="AG17">
        <v>9</v>
      </c>
      <c r="AH17">
        <v>13.7</v>
      </c>
      <c r="AI17">
        <v>7</v>
      </c>
    </row>
    <row r="18" spans="1:35" ht="21" x14ac:dyDescent="0.3">
      <c r="A18" t="s">
        <v>552</v>
      </c>
      <c r="B18" s="11">
        <v>17</v>
      </c>
      <c r="C18">
        <v>1107</v>
      </c>
      <c r="D18">
        <v>17</v>
      </c>
      <c r="E18" s="4">
        <v>44522</v>
      </c>
      <c r="F18" t="s">
        <v>99</v>
      </c>
      <c r="G18" t="s">
        <v>37</v>
      </c>
      <c r="H18" t="s">
        <v>102</v>
      </c>
      <c r="I18" t="s">
        <v>282</v>
      </c>
      <c r="J18" t="s">
        <v>41</v>
      </c>
      <c r="K18" s="9">
        <v>1.2749999999999999</v>
      </c>
      <c r="L18">
        <v>6</v>
      </c>
      <c r="M18">
        <v>12</v>
      </c>
      <c r="N18">
        <v>0.5</v>
      </c>
      <c r="O18">
        <v>0</v>
      </c>
      <c r="P18">
        <v>2</v>
      </c>
      <c r="Q18">
        <v>0</v>
      </c>
      <c r="R18">
        <v>6</v>
      </c>
      <c r="S18">
        <v>10</v>
      </c>
      <c r="T18">
        <v>0.6</v>
      </c>
      <c r="U18">
        <v>0.5</v>
      </c>
      <c r="V18">
        <v>0</v>
      </c>
      <c r="W18">
        <v>0</v>
      </c>
      <c r="Y18">
        <v>0</v>
      </c>
      <c r="Z18">
        <v>2</v>
      </c>
      <c r="AA18">
        <v>2</v>
      </c>
      <c r="AB18">
        <v>4</v>
      </c>
      <c r="AC18">
        <v>1</v>
      </c>
      <c r="AD18">
        <v>0</v>
      </c>
      <c r="AE18">
        <v>3</v>
      </c>
      <c r="AF18">
        <v>1</v>
      </c>
      <c r="AG18">
        <v>12</v>
      </c>
      <c r="AH18">
        <v>7</v>
      </c>
      <c r="AI18">
        <v>-14</v>
      </c>
    </row>
    <row r="19" spans="1:35" ht="21" x14ac:dyDescent="0.3">
      <c r="A19" t="s">
        <v>552</v>
      </c>
      <c r="B19" s="11">
        <v>18</v>
      </c>
      <c r="C19">
        <v>1108</v>
      </c>
      <c r="D19">
        <v>18</v>
      </c>
      <c r="E19" s="4">
        <v>44524</v>
      </c>
      <c r="F19" t="s">
        <v>99</v>
      </c>
      <c r="G19" t="s">
        <v>37</v>
      </c>
      <c r="H19" t="s">
        <v>87</v>
      </c>
      <c r="I19" t="s">
        <v>283</v>
      </c>
      <c r="J19" t="s">
        <v>41</v>
      </c>
      <c r="K19" s="9">
        <v>1.3451388888888889</v>
      </c>
      <c r="L19">
        <v>4</v>
      </c>
      <c r="M19">
        <v>8</v>
      </c>
      <c r="N19">
        <v>0.5</v>
      </c>
      <c r="O19">
        <v>2</v>
      </c>
      <c r="P19">
        <v>3</v>
      </c>
      <c r="Q19">
        <v>0.66700000000000004</v>
      </c>
      <c r="R19">
        <v>2</v>
      </c>
      <c r="S19">
        <v>5</v>
      </c>
      <c r="T19">
        <v>0.4</v>
      </c>
      <c r="U19">
        <v>0.625</v>
      </c>
      <c r="V19">
        <v>7</v>
      </c>
      <c r="W19">
        <v>8</v>
      </c>
      <c r="X19">
        <v>0.875</v>
      </c>
      <c r="Y19">
        <v>0</v>
      </c>
      <c r="Z19">
        <v>2</v>
      </c>
      <c r="AA19">
        <v>2</v>
      </c>
      <c r="AB19">
        <v>12</v>
      </c>
      <c r="AC19">
        <v>0</v>
      </c>
      <c r="AD19">
        <v>0</v>
      </c>
      <c r="AE19">
        <v>3</v>
      </c>
      <c r="AF19">
        <v>3</v>
      </c>
      <c r="AG19">
        <v>17</v>
      </c>
      <c r="AH19">
        <v>17.399999999999999</v>
      </c>
      <c r="AI19">
        <v>23</v>
      </c>
    </row>
    <row r="20" spans="1:35" ht="21" x14ac:dyDescent="0.3">
      <c r="A20" t="s">
        <v>552</v>
      </c>
      <c r="B20" s="11">
        <v>19</v>
      </c>
      <c r="C20">
        <v>1109</v>
      </c>
      <c r="D20">
        <v>19</v>
      </c>
      <c r="E20" s="4">
        <v>44526</v>
      </c>
      <c r="F20" t="s">
        <v>99</v>
      </c>
      <c r="G20" t="s">
        <v>37</v>
      </c>
      <c r="H20" t="s">
        <v>110</v>
      </c>
      <c r="I20" t="s">
        <v>284</v>
      </c>
      <c r="J20" t="s">
        <v>41</v>
      </c>
      <c r="K20" s="9">
        <v>1.2597222222222222</v>
      </c>
      <c r="L20">
        <v>3</v>
      </c>
      <c r="M20">
        <v>6</v>
      </c>
      <c r="N20">
        <v>0.5</v>
      </c>
      <c r="O20">
        <v>1</v>
      </c>
      <c r="P20">
        <v>1</v>
      </c>
      <c r="Q20">
        <v>1</v>
      </c>
      <c r="R20">
        <v>2</v>
      </c>
      <c r="S20">
        <v>5</v>
      </c>
      <c r="T20">
        <v>0.4</v>
      </c>
      <c r="U20">
        <v>0.58299999999999996</v>
      </c>
      <c r="V20">
        <v>7</v>
      </c>
      <c r="W20">
        <v>9</v>
      </c>
      <c r="X20">
        <v>0.77800000000000002</v>
      </c>
      <c r="Y20">
        <v>0</v>
      </c>
      <c r="Z20">
        <v>4</v>
      </c>
      <c r="AA20">
        <v>4</v>
      </c>
      <c r="AB20">
        <v>10</v>
      </c>
      <c r="AC20">
        <v>1</v>
      </c>
      <c r="AD20">
        <v>0</v>
      </c>
      <c r="AE20">
        <v>2</v>
      </c>
      <c r="AF20">
        <v>1</v>
      </c>
      <c r="AG20">
        <v>14</v>
      </c>
      <c r="AH20">
        <v>17</v>
      </c>
      <c r="AI20">
        <v>7</v>
      </c>
    </row>
    <row r="21" spans="1:35" ht="21" x14ac:dyDescent="0.3">
      <c r="A21" t="s">
        <v>552</v>
      </c>
      <c r="B21" s="11">
        <v>20</v>
      </c>
      <c r="C21">
        <v>1110</v>
      </c>
      <c r="D21">
        <v>20</v>
      </c>
      <c r="E21" s="4">
        <v>44527</v>
      </c>
      <c r="F21" t="s">
        <v>99</v>
      </c>
      <c r="G21" t="s">
        <v>37</v>
      </c>
      <c r="H21" t="s">
        <v>85</v>
      </c>
      <c r="I21" t="s">
        <v>285</v>
      </c>
      <c r="J21" t="s">
        <v>41</v>
      </c>
      <c r="K21" s="9">
        <v>1.4979166666666666</v>
      </c>
      <c r="L21">
        <v>9</v>
      </c>
      <c r="M21">
        <v>19</v>
      </c>
      <c r="N21">
        <v>0.47399999999999998</v>
      </c>
      <c r="O21">
        <v>3</v>
      </c>
      <c r="P21">
        <v>8</v>
      </c>
      <c r="Q21">
        <v>0.375</v>
      </c>
      <c r="R21">
        <v>6</v>
      </c>
      <c r="S21">
        <v>11</v>
      </c>
      <c r="T21">
        <v>0.54500000000000004</v>
      </c>
      <c r="U21">
        <v>0.55300000000000005</v>
      </c>
      <c r="V21">
        <v>1</v>
      </c>
      <c r="W21">
        <v>2</v>
      </c>
      <c r="X21">
        <v>0.5</v>
      </c>
      <c r="Y21">
        <v>0</v>
      </c>
      <c r="Z21">
        <v>8</v>
      </c>
      <c r="AA21">
        <v>8</v>
      </c>
      <c r="AB21">
        <v>5</v>
      </c>
      <c r="AC21">
        <v>0</v>
      </c>
      <c r="AD21">
        <v>0</v>
      </c>
      <c r="AE21">
        <v>2</v>
      </c>
      <c r="AF21">
        <v>1</v>
      </c>
      <c r="AG21">
        <v>22</v>
      </c>
      <c r="AH21">
        <v>15.4</v>
      </c>
      <c r="AI21">
        <v>-1</v>
      </c>
    </row>
    <row r="22" spans="1:35" ht="21" x14ac:dyDescent="0.3">
      <c r="A22" t="s">
        <v>552</v>
      </c>
      <c r="B22" s="11">
        <v>21</v>
      </c>
      <c r="C22">
        <v>1111</v>
      </c>
      <c r="D22">
        <v>21</v>
      </c>
      <c r="E22" s="4">
        <v>44530</v>
      </c>
      <c r="F22" t="s">
        <v>99</v>
      </c>
      <c r="H22" t="s">
        <v>33</v>
      </c>
      <c r="I22" t="s">
        <v>286</v>
      </c>
      <c r="J22" t="s">
        <v>41</v>
      </c>
      <c r="K22" s="9">
        <v>1.6423611111111112</v>
      </c>
      <c r="L22">
        <v>7</v>
      </c>
      <c r="M22">
        <v>13</v>
      </c>
      <c r="N22">
        <v>0.53800000000000003</v>
      </c>
      <c r="O22">
        <v>1</v>
      </c>
      <c r="P22">
        <v>3</v>
      </c>
      <c r="Q22">
        <v>0.33300000000000002</v>
      </c>
      <c r="R22">
        <v>6</v>
      </c>
      <c r="S22">
        <v>10</v>
      </c>
      <c r="T22">
        <v>0.6</v>
      </c>
      <c r="U22">
        <v>0.57699999999999996</v>
      </c>
      <c r="V22">
        <v>0</v>
      </c>
      <c r="W22">
        <v>0</v>
      </c>
      <c r="Y22">
        <v>0</v>
      </c>
      <c r="Z22">
        <v>6</v>
      </c>
      <c r="AA22">
        <v>6</v>
      </c>
      <c r="AB22">
        <v>11</v>
      </c>
      <c r="AC22">
        <v>5</v>
      </c>
      <c r="AD22">
        <v>0</v>
      </c>
      <c r="AE22">
        <v>2</v>
      </c>
      <c r="AF22">
        <v>3</v>
      </c>
      <c r="AG22">
        <v>15</v>
      </c>
      <c r="AH22">
        <v>20</v>
      </c>
      <c r="AI22">
        <v>21</v>
      </c>
    </row>
    <row r="23" spans="1:35" ht="21" x14ac:dyDescent="0.3">
      <c r="A23" t="s">
        <v>552</v>
      </c>
      <c r="B23" s="11">
        <v>22</v>
      </c>
      <c r="C23">
        <v>1112</v>
      </c>
      <c r="D23">
        <v>22</v>
      </c>
      <c r="E23" s="4">
        <v>44532</v>
      </c>
      <c r="F23" t="s">
        <v>99</v>
      </c>
      <c r="H23" t="s">
        <v>89</v>
      </c>
      <c r="I23" t="s">
        <v>287</v>
      </c>
      <c r="J23" t="s">
        <v>41</v>
      </c>
      <c r="K23" s="9">
        <v>1.3881944444444445</v>
      </c>
      <c r="L23">
        <v>4</v>
      </c>
      <c r="M23">
        <v>7</v>
      </c>
      <c r="N23">
        <v>0.57099999999999995</v>
      </c>
      <c r="O23">
        <v>0</v>
      </c>
      <c r="P23">
        <v>0</v>
      </c>
      <c r="R23">
        <v>4</v>
      </c>
      <c r="S23">
        <v>7</v>
      </c>
      <c r="T23">
        <v>0.57099999999999995</v>
      </c>
      <c r="U23">
        <v>0.57099999999999995</v>
      </c>
      <c r="V23">
        <v>4</v>
      </c>
      <c r="W23">
        <v>4</v>
      </c>
      <c r="X23">
        <v>1</v>
      </c>
      <c r="Y23">
        <v>0</v>
      </c>
      <c r="Z23">
        <v>1</v>
      </c>
      <c r="AA23">
        <v>1</v>
      </c>
      <c r="AB23">
        <v>12</v>
      </c>
      <c r="AC23">
        <v>2</v>
      </c>
      <c r="AD23">
        <v>0</v>
      </c>
      <c r="AE23">
        <v>3</v>
      </c>
      <c r="AF23">
        <v>4</v>
      </c>
      <c r="AG23">
        <v>12</v>
      </c>
      <c r="AH23">
        <v>14.8</v>
      </c>
      <c r="AI23">
        <v>2</v>
      </c>
    </row>
    <row r="24" spans="1:35" ht="21" x14ac:dyDescent="0.3">
      <c r="A24" t="s">
        <v>552</v>
      </c>
      <c r="B24" s="11">
        <v>23</v>
      </c>
      <c r="C24">
        <v>1113</v>
      </c>
      <c r="D24">
        <v>23</v>
      </c>
      <c r="E24" s="4">
        <v>44533</v>
      </c>
      <c r="F24" t="s">
        <v>99</v>
      </c>
      <c r="G24" t="s">
        <v>37</v>
      </c>
      <c r="H24" t="s">
        <v>33</v>
      </c>
      <c r="I24" t="s">
        <v>288</v>
      </c>
      <c r="J24" t="s">
        <v>41</v>
      </c>
      <c r="K24" s="9">
        <v>1.3486111111111112</v>
      </c>
      <c r="L24">
        <v>4</v>
      </c>
      <c r="M24">
        <v>8</v>
      </c>
      <c r="N24">
        <v>0.5</v>
      </c>
      <c r="O24">
        <v>0</v>
      </c>
      <c r="P24">
        <v>2</v>
      </c>
      <c r="Q24">
        <v>0</v>
      </c>
      <c r="R24">
        <v>4</v>
      </c>
      <c r="S24">
        <v>6</v>
      </c>
      <c r="T24">
        <v>0.66700000000000004</v>
      </c>
      <c r="U24">
        <v>0.5</v>
      </c>
      <c r="V24">
        <v>4</v>
      </c>
      <c r="W24">
        <v>6</v>
      </c>
      <c r="X24">
        <v>0.66700000000000004</v>
      </c>
      <c r="Y24">
        <v>0</v>
      </c>
      <c r="Z24">
        <v>3</v>
      </c>
      <c r="AA24">
        <v>3</v>
      </c>
      <c r="AB24">
        <v>8</v>
      </c>
      <c r="AC24">
        <v>1</v>
      </c>
      <c r="AD24">
        <v>0</v>
      </c>
      <c r="AE24">
        <v>4</v>
      </c>
      <c r="AF24">
        <v>0</v>
      </c>
      <c r="AG24">
        <v>12</v>
      </c>
      <c r="AH24">
        <v>10.7</v>
      </c>
      <c r="AI24">
        <v>-14</v>
      </c>
    </row>
    <row r="25" spans="1:35" ht="21" x14ac:dyDescent="0.3">
      <c r="A25" t="s">
        <v>552</v>
      </c>
      <c r="B25" s="11">
        <v>24</v>
      </c>
      <c r="C25">
        <v>1114</v>
      </c>
      <c r="D25">
        <v>24</v>
      </c>
      <c r="E25" s="4">
        <v>44536</v>
      </c>
      <c r="F25" t="s">
        <v>99</v>
      </c>
      <c r="H25" t="s">
        <v>102</v>
      </c>
      <c r="I25" t="s">
        <v>289</v>
      </c>
      <c r="J25" t="s">
        <v>41</v>
      </c>
      <c r="K25" s="9">
        <v>1.4770833333333333</v>
      </c>
      <c r="L25">
        <v>9</v>
      </c>
      <c r="M25">
        <v>18</v>
      </c>
      <c r="N25">
        <v>0.5</v>
      </c>
      <c r="O25">
        <v>2</v>
      </c>
      <c r="P25">
        <v>5</v>
      </c>
      <c r="Q25">
        <v>0.4</v>
      </c>
      <c r="R25">
        <v>7</v>
      </c>
      <c r="S25">
        <v>13</v>
      </c>
      <c r="T25">
        <v>0.53800000000000003</v>
      </c>
      <c r="U25">
        <v>0.55600000000000005</v>
      </c>
      <c r="V25">
        <v>1</v>
      </c>
      <c r="W25">
        <v>3</v>
      </c>
      <c r="X25">
        <v>0.33300000000000002</v>
      </c>
      <c r="Y25">
        <v>0</v>
      </c>
      <c r="Z25">
        <v>3</v>
      </c>
      <c r="AA25">
        <v>3</v>
      </c>
      <c r="AB25">
        <v>10</v>
      </c>
      <c r="AC25">
        <v>1</v>
      </c>
      <c r="AD25">
        <v>1</v>
      </c>
      <c r="AE25">
        <v>3</v>
      </c>
      <c r="AF25">
        <v>3</v>
      </c>
      <c r="AG25">
        <v>21</v>
      </c>
      <c r="AH25">
        <v>16.600000000000001</v>
      </c>
      <c r="AI25">
        <v>4</v>
      </c>
    </row>
    <row r="26" spans="1:35" ht="21" x14ac:dyDescent="0.3">
      <c r="A26" t="s">
        <v>552</v>
      </c>
      <c r="B26" s="11">
        <v>25</v>
      </c>
      <c r="C26">
        <v>1115</v>
      </c>
      <c r="D26">
        <v>25</v>
      </c>
      <c r="E26" s="4">
        <v>44540</v>
      </c>
      <c r="F26" t="s">
        <v>99</v>
      </c>
      <c r="H26" t="s">
        <v>55</v>
      </c>
      <c r="I26" t="s">
        <v>290</v>
      </c>
      <c r="J26" t="s">
        <v>41</v>
      </c>
      <c r="K26" s="9">
        <v>1.2381944444444444</v>
      </c>
      <c r="L26">
        <v>4</v>
      </c>
      <c r="M26">
        <v>9</v>
      </c>
      <c r="N26">
        <v>0.44400000000000001</v>
      </c>
      <c r="O26">
        <v>0</v>
      </c>
      <c r="P26">
        <v>2</v>
      </c>
      <c r="Q26">
        <v>0</v>
      </c>
      <c r="R26">
        <v>4</v>
      </c>
      <c r="S26">
        <v>7</v>
      </c>
      <c r="T26">
        <v>0.57099999999999995</v>
      </c>
      <c r="U26">
        <v>0.44400000000000001</v>
      </c>
      <c r="V26">
        <v>2</v>
      </c>
      <c r="W26">
        <v>2</v>
      </c>
      <c r="X26">
        <v>1</v>
      </c>
      <c r="Y26">
        <v>1</v>
      </c>
      <c r="Z26">
        <v>2</v>
      </c>
      <c r="AA26">
        <v>3</v>
      </c>
      <c r="AB26">
        <v>12</v>
      </c>
      <c r="AC26">
        <v>1</v>
      </c>
      <c r="AD26">
        <v>2</v>
      </c>
      <c r="AE26">
        <v>1</v>
      </c>
      <c r="AF26">
        <v>4</v>
      </c>
      <c r="AG26">
        <v>10</v>
      </c>
      <c r="AH26">
        <v>14.8</v>
      </c>
      <c r="AI26">
        <v>20</v>
      </c>
    </row>
    <row r="27" spans="1:35" ht="21" x14ac:dyDescent="0.3">
      <c r="A27" t="s">
        <v>552</v>
      </c>
      <c r="B27" s="11">
        <v>26</v>
      </c>
      <c r="C27">
        <v>1116</v>
      </c>
      <c r="D27">
        <v>26</v>
      </c>
      <c r="E27" s="4">
        <v>44543</v>
      </c>
      <c r="F27" t="s">
        <v>99</v>
      </c>
      <c r="G27" t="s">
        <v>37</v>
      </c>
      <c r="H27" t="s">
        <v>64</v>
      </c>
      <c r="I27" t="s">
        <v>291</v>
      </c>
      <c r="J27" t="s">
        <v>41</v>
      </c>
      <c r="K27" s="9">
        <v>1.3875</v>
      </c>
      <c r="L27">
        <v>4</v>
      </c>
      <c r="M27">
        <v>14</v>
      </c>
      <c r="N27">
        <v>0.28599999999999998</v>
      </c>
      <c r="O27">
        <v>0</v>
      </c>
      <c r="P27">
        <v>2</v>
      </c>
      <c r="Q27">
        <v>0</v>
      </c>
      <c r="R27">
        <v>4</v>
      </c>
      <c r="S27">
        <v>12</v>
      </c>
      <c r="T27">
        <v>0.33300000000000002</v>
      </c>
      <c r="U27">
        <v>0.28599999999999998</v>
      </c>
      <c r="V27">
        <v>1</v>
      </c>
      <c r="W27">
        <v>2</v>
      </c>
      <c r="X27">
        <v>0.5</v>
      </c>
      <c r="Y27">
        <v>0</v>
      </c>
      <c r="Z27">
        <v>2</v>
      </c>
      <c r="AA27">
        <v>2</v>
      </c>
      <c r="AB27">
        <v>8</v>
      </c>
      <c r="AC27">
        <v>3</v>
      </c>
      <c r="AD27">
        <v>0</v>
      </c>
      <c r="AE27">
        <v>2</v>
      </c>
      <c r="AF27">
        <v>3</v>
      </c>
      <c r="AG27">
        <v>9</v>
      </c>
      <c r="AH27">
        <v>6.4</v>
      </c>
      <c r="AI27">
        <v>-15</v>
      </c>
    </row>
    <row r="28" spans="1:35" ht="21" x14ac:dyDescent="0.3">
      <c r="A28" t="s">
        <v>552</v>
      </c>
      <c r="B28" s="11">
        <v>27</v>
      </c>
      <c r="C28">
        <v>1117</v>
      </c>
      <c r="D28">
        <v>27</v>
      </c>
      <c r="E28" s="4">
        <v>44544</v>
      </c>
      <c r="F28" t="s">
        <v>99</v>
      </c>
      <c r="G28" t="s">
        <v>37</v>
      </c>
      <c r="H28" t="s">
        <v>96</v>
      </c>
      <c r="I28" t="s">
        <v>292</v>
      </c>
      <c r="J28" t="s">
        <v>41</v>
      </c>
      <c r="K28" s="9">
        <v>1.7124999999999999</v>
      </c>
      <c r="L28">
        <v>10</v>
      </c>
      <c r="M28">
        <v>19</v>
      </c>
      <c r="N28">
        <v>0.52600000000000002</v>
      </c>
      <c r="O28">
        <v>1</v>
      </c>
      <c r="P28">
        <v>1</v>
      </c>
      <c r="Q28">
        <v>1</v>
      </c>
      <c r="R28">
        <v>9</v>
      </c>
      <c r="S28">
        <v>18</v>
      </c>
      <c r="T28">
        <v>0.5</v>
      </c>
      <c r="U28">
        <v>0.55300000000000005</v>
      </c>
      <c r="V28">
        <v>3</v>
      </c>
      <c r="W28">
        <v>4</v>
      </c>
      <c r="X28">
        <v>0.75</v>
      </c>
      <c r="Y28">
        <v>0</v>
      </c>
      <c r="Z28">
        <v>8</v>
      </c>
      <c r="AA28">
        <v>8</v>
      </c>
      <c r="AB28">
        <v>14</v>
      </c>
      <c r="AC28">
        <v>3</v>
      </c>
      <c r="AD28">
        <v>0</v>
      </c>
      <c r="AE28">
        <v>3</v>
      </c>
      <c r="AF28">
        <v>4</v>
      </c>
      <c r="AG28">
        <v>24</v>
      </c>
      <c r="AH28">
        <v>24.9</v>
      </c>
      <c r="AI28">
        <v>6</v>
      </c>
    </row>
    <row r="29" spans="1:35" ht="21" x14ac:dyDescent="0.3">
      <c r="A29" t="s">
        <v>552</v>
      </c>
      <c r="B29" s="11">
        <v>28</v>
      </c>
      <c r="C29">
        <v>1118</v>
      </c>
      <c r="D29">
        <v>28</v>
      </c>
      <c r="E29" s="4">
        <v>44546</v>
      </c>
      <c r="F29" t="s">
        <v>99</v>
      </c>
      <c r="H29" t="s">
        <v>155</v>
      </c>
      <c r="I29" t="s">
        <v>293</v>
      </c>
      <c r="J29" t="s">
        <v>41</v>
      </c>
      <c r="K29" s="7">
        <v>0.97916666666666663</v>
      </c>
      <c r="L29">
        <v>6</v>
      </c>
      <c r="M29">
        <v>8</v>
      </c>
      <c r="N29">
        <v>0.75</v>
      </c>
      <c r="O29">
        <v>0</v>
      </c>
      <c r="P29">
        <v>1</v>
      </c>
      <c r="Q29">
        <v>0</v>
      </c>
      <c r="R29">
        <v>6</v>
      </c>
      <c r="S29">
        <v>7</v>
      </c>
      <c r="T29">
        <v>0.85699999999999998</v>
      </c>
      <c r="U29">
        <v>0.75</v>
      </c>
      <c r="V29">
        <v>0</v>
      </c>
      <c r="W29">
        <v>0</v>
      </c>
      <c r="Y29">
        <v>0</v>
      </c>
      <c r="Z29">
        <v>5</v>
      </c>
      <c r="AA29">
        <v>5</v>
      </c>
      <c r="AB29">
        <v>6</v>
      </c>
      <c r="AC29">
        <v>2</v>
      </c>
      <c r="AD29">
        <v>0</v>
      </c>
      <c r="AE29">
        <v>3</v>
      </c>
      <c r="AF29">
        <v>1</v>
      </c>
      <c r="AG29">
        <v>12</v>
      </c>
      <c r="AH29">
        <v>13.1</v>
      </c>
      <c r="AI29">
        <v>14</v>
      </c>
    </row>
    <row r="30" spans="1:35" ht="21" x14ac:dyDescent="0.3">
      <c r="A30" t="s">
        <v>552</v>
      </c>
      <c r="B30" s="11">
        <v>29</v>
      </c>
      <c r="C30">
        <v>1119</v>
      </c>
      <c r="D30">
        <v>29</v>
      </c>
      <c r="E30" s="4">
        <v>44549</v>
      </c>
      <c r="F30" t="s">
        <v>99</v>
      </c>
      <c r="H30" t="s">
        <v>72</v>
      </c>
      <c r="I30" t="s">
        <v>294</v>
      </c>
      <c r="J30" t="s">
        <v>41</v>
      </c>
      <c r="K30" s="9">
        <v>1.0034722222222223</v>
      </c>
      <c r="L30">
        <v>6</v>
      </c>
      <c r="M30">
        <v>9</v>
      </c>
      <c r="N30">
        <v>0.66700000000000004</v>
      </c>
      <c r="O30">
        <v>2</v>
      </c>
      <c r="P30">
        <v>4</v>
      </c>
      <c r="Q30">
        <v>0.5</v>
      </c>
      <c r="R30">
        <v>4</v>
      </c>
      <c r="S30">
        <v>5</v>
      </c>
      <c r="T30">
        <v>0.8</v>
      </c>
      <c r="U30">
        <v>0.77800000000000002</v>
      </c>
      <c r="V30">
        <v>0</v>
      </c>
      <c r="W30">
        <v>0</v>
      </c>
      <c r="Y30">
        <v>0</v>
      </c>
      <c r="Z30">
        <v>2</v>
      </c>
      <c r="AA30">
        <v>2</v>
      </c>
      <c r="AB30">
        <v>9</v>
      </c>
      <c r="AC30">
        <v>1</v>
      </c>
      <c r="AD30">
        <v>0</v>
      </c>
      <c r="AE30">
        <v>1</v>
      </c>
      <c r="AF30">
        <v>2</v>
      </c>
      <c r="AG30">
        <v>14</v>
      </c>
      <c r="AH30">
        <v>16.2</v>
      </c>
      <c r="AI30">
        <v>24</v>
      </c>
    </row>
    <row r="31" spans="1:35" ht="21" x14ac:dyDescent="0.3">
      <c r="A31" t="s">
        <v>552</v>
      </c>
      <c r="B31" s="11">
        <v>30</v>
      </c>
      <c r="C31">
        <v>1120</v>
      </c>
      <c r="D31">
        <v>30</v>
      </c>
      <c r="E31" s="4">
        <v>44551</v>
      </c>
      <c r="F31" t="s">
        <v>99</v>
      </c>
      <c r="G31" t="s">
        <v>37</v>
      </c>
      <c r="H31" t="s">
        <v>62</v>
      </c>
      <c r="I31" t="s">
        <v>295</v>
      </c>
      <c r="J31" t="s">
        <v>41</v>
      </c>
      <c r="K31" s="9">
        <v>1.1972222222222222</v>
      </c>
      <c r="L31">
        <v>5</v>
      </c>
      <c r="M31">
        <v>8</v>
      </c>
      <c r="N31">
        <v>0.625</v>
      </c>
      <c r="O31">
        <v>0</v>
      </c>
      <c r="P31">
        <v>2</v>
      </c>
      <c r="Q31">
        <v>0</v>
      </c>
      <c r="R31">
        <v>5</v>
      </c>
      <c r="S31">
        <v>6</v>
      </c>
      <c r="T31">
        <v>0.83299999999999996</v>
      </c>
      <c r="U31">
        <v>0.625</v>
      </c>
      <c r="V31">
        <v>1</v>
      </c>
      <c r="W31">
        <v>1</v>
      </c>
      <c r="X31">
        <v>1</v>
      </c>
      <c r="Y31">
        <v>0</v>
      </c>
      <c r="Z31">
        <v>3</v>
      </c>
      <c r="AA31">
        <v>3</v>
      </c>
      <c r="AB31">
        <v>9</v>
      </c>
      <c r="AC31">
        <v>1</v>
      </c>
      <c r="AD31">
        <v>0</v>
      </c>
      <c r="AE31">
        <v>2</v>
      </c>
      <c r="AF31">
        <v>2</v>
      </c>
      <c r="AG31">
        <v>11</v>
      </c>
      <c r="AH31">
        <v>12.8</v>
      </c>
      <c r="AI31">
        <v>14</v>
      </c>
    </row>
    <row r="32" spans="1:35" ht="21" x14ac:dyDescent="0.3">
      <c r="A32" t="s">
        <v>552</v>
      </c>
      <c r="B32" s="11">
        <v>31</v>
      </c>
      <c r="C32">
        <v>1121</v>
      </c>
      <c r="D32">
        <v>31</v>
      </c>
      <c r="E32" s="4">
        <v>44553</v>
      </c>
      <c r="F32" t="s">
        <v>99</v>
      </c>
      <c r="H32" t="s">
        <v>68</v>
      </c>
      <c r="I32" t="s">
        <v>195</v>
      </c>
      <c r="J32" t="s">
        <v>41</v>
      </c>
      <c r="K32" s="9">
        <v>1.320138888888889</v>
      </c>
      <c r="L32">
        <v>7</v>
      </c>
      <c r="M32">
        <v>14</v>
      </c>
      <c r="N32">
        <v>0.5</v>
      </c>
      <c r="O32">
        <v>1</v>
      </c>
      <c r="P32">
        <v>6</v>
      </c>
      <c r="Q32">
        <v>0.16700000000000001</v>
      </c>
      <c r="R32">
        <v>6</v>
      </c>
      <c r="S32">
        <v>8</v>
      </c>
      <c r="T32">
        <v>0.75</v>
      </c>
      <c r="U32">
        <v>0.53600000000000003</v>
      </c>
      <c r="V32">
        <v>1</v>
      </c>
      <c r="W32">
        <v>2</v>
      </c>
      <c r="X32">
        <v>0.5</v>
      </c>
      <c r="Y32">
        <v>0</v>
      </c>
      <c r="Z32">
        <v>5</v>
      </c>
      <c r="AA32">
        <v>5</v>
      </c>
      <c r="AB32">
        <v>7</v>
      </c>
      <c r="AC32">
        <v>3</v>
      </c>
      <c r="AD32">
        <v>0</v>
      </c>
      <c r="AE32">
        <v>2</v>
      </c>
      <c r="AF32">
        <v>3</v>
      </c>
      <c r="AG32">
        <v>16</v>
      </c>
      <c r="AH32">
        <v>14.8</v>
      </c>
      <c r="AI32">
        <v>-2</v>
      </c>
    </row>
    <row r="33" spans="1:35" ht="21" x14ac:dyDescent="0.3">
      <c r="A33" t="s">
        <v>552</v>
      </c>
      <c r="B33" s="11">
        <v>32</v>
      </c>
      <c r="C33">
        <v>1122</v>
      </c>
      <c r="D33">
        <v>32</v>
      </c>
      <c r="E33" s="4">
        <v>44555</v>
      </c>
      <c r="F33" t="s">
        <v>99</v>
      </c>
      <c r="H33" t="s">
        <v>33</v>
      </c>
      <c r="I33" t="s">
        <v>296</v>
      </c>
      <c r="J33" t="s">
        <v>41</v>
      </c>
      <c r="K33" s="9">
        <v>1.5645833333333334</v>
      </c>
      <c r="L33">
        <v>7</v>
      </c>
      <c r="M33">
        <v>14</v>
      </c>
      <c r="N33">
        <v>0.5</v>
      </c>
      <c r="O33">
        <v>2</v>
      </c>
      <c r="P33">
        <v>4</v>
      </c>
      <c r="Q33">
        <v>0.5</v>
      </c>
      <c r="R33">
        <v>5</v>
      </c>
      <c r="S33">
        <v>10</v>
      </c>
      <c r="T33">
        <v>0.5</v>
      </c>
      <c r="U33">
        <v>0.57099999999999995</v>
      </c>
      <c r="V33">
        <v>5</v>
      </c>
      <c r="W33">
        <v>5</v>
      </c>
      <c r="X33">
        <v>1</v>
      </c>
      <c r="Y33">
        <v>1</v>
      </c>
      <c r="Z33">
        <v>5</v>
      </c>
      <c r="AA33">
        <v>6</v>
      </c>
      <c r="AB33">
        <v>8</v>
      </c>
      <c r="AC33">
        <v>0</v>
      </c>
      <c r="AD33">
        <v>0</v>
      </c>
      <c r="AE33">
        <v>2</v>
      </c>
      <c r="AF33">
        <v>2</v>
      </c>
      <c r="AG33">
        <v>21</v>
      </c>
      <c r="AH33">
        <v>19</v>
      </c>
      <c r="AI33">
        <v>-5</v>
      </c>
    </row>
    <row r="34" spans="1:35" ht="21" x14ac:dyDescent="0.3">
      <c r="A34" t="s">
        <v>552</v>
      </c>
      <c r="B34" s="11">
        <v>33</v>
      </c>
      <c r="C34">
        <v>1123</v>
      </c>
      <c r="D34">
        <v>33</v>
      </c>
      <c r="E34" s="4">
        <v>44557</v>
      </c>
      <c r="F34" t="s">
        <v>99</v>
      </c>
      <c r="H34" t="s">
        <v>42</v>
      </c>
      <c r="I34" t="s">
        <v>297</v>
      </c>
      <c r="J34" t="s">
        <v>41</v>
      </c>
      <c r="K34" s="9">
        <v>1.4750000000000001</v>
      </c>
      <c r="L34">
        <v>4</v>
      </c>
      <c r="M34">
        <v>13</v>
      </c>
      <c r="N34">
        <v>0.308</v>
      </c>
      <c r="O34">
        <v>0</v>
      </c>
      <c r="P34">
        <v>3</v>
      </c>
      <c r="Q34">
        <v>0</v>
      </c>
      <c r="R34">
        <v>4</v>
      </c>
      <c r="S34">
        <v>10</v>
      </c>
      <c r="T34">
        <v>0.4</v>
      </c>
      <c r="U34">
        <v>0.308</v>
      </c>
      <c r="V34">
        <v>5</v>
      </c>
      <c r="W34">
        <v>5</v>
      </c>
      <c r="X34">
        <v>1</v>
      </c>
      <c r="Y34">
        <v>0</v>
      </c>
      <c r="Z34">
        <v>6</v>
      </c>
      <c r="AA34">
        <v>6</v>
      </c>
      <c r="AB34">
        <v>13</v>
      </c>
      <c r="AC34">
        <v>3</v>
      </c>
      <c r="AD34">
        <v>0</v>
      </c>
      <c r="AE34">
        <v>3</v>
      </c>
      <c r="AF34">
        <v>2</v>
      </c>
      <c r="AG34">
        <v>13</v>
      </c>
      <c r="AH34">
        <v>15.6</v>
      </c>
      <c r="AI34">
        <v>-5</v>
      </c>
    </row>
    <row r="35" spans="1:35" ht="21" x14ac:dyDescent="0.3">
      <c r="A35" t="s">
        <v>552</v>
      </c>
      <c r="B35" s="11">
        <v>34</v>
      </c>
      <c r="C35">
        <v>1124</v>
      </c>
      <c r="D35">
        <v>34</v>
      </c>
      <c r="E35" s="4">
        <v>44559</v>
      </c>
      <c r="F35" t="s">
        <v>99</v>
      </c>
      <c r="H35" t="s">
        <v>68</v>
      </c>
      <c r="I35" t="s">
        <v>298</v>
      </c>
      <c r="J35" t="s">
        <v>41</v>
      </c>
      <c r="K35" s="9">
        <v>1.3215277777777779</v>
      </c>
      <c r="L35">
        <v>4</v>
      </c>
      <c r="M35">
        <v>9</v>
      </c>
      <c r="N35">
        <v>0.44400000000000001</v>
      </c>
      <c r="O35">
        <v>0</v>
      </c>
      <c r="P35">
        <v>1</v>
      </c>
      <c r="Q35">
        <v>0</v>
      </c>
      <c r="R35">
        <v>4</v>
      </c>
      <c r="S35">
        <v>8</v>
      </c>
      <c r="T35">
        <v>0.5</v>
      </c>
      <c r="U35">
        <v>0.44400000000000001</v>
      </c>
      <c r="V35">
        <v>2</v>
      </c>
      <c r="W35">
        <v>2</v>
      </c>
      <c r="X35">
        <v>1</v>
      </c>
      <c r="Y35">
        <v>2</v>
      </c>
      <c r="Z35">
        <v>3</v>
      </c>
      <c r="AA35">
        <v>5</v>
      </c>
      <c r="AB35">
        <v>5</v>
      </c>
      <c r="AC35">
        <v>2</v>
      </c>
      <c r="AD35">
        <v>0</v>
      </c>
      <c r="AE35">
        <v>2</v>
      </c>
      <c r="AF35">
        <v>1</v>
      </c>
      <c r="AG35">
        <v>10</v>
      </c>
      <c r="AH35">
        <v>10.7</v>
      </c>
      <c r="AI35">
        <v>0</v>
      </c>
    </row>
    <row r="36" spans="1:35" ht="21" x14ac:dyDescent="0.3">
      <c r="A36" t="s">
        <v>552</v>
      </c>
      <c r="B36" s="11">
        <v>35</v>
      </c>
      <c r="C36">
        <v>1125</v>
      </c>
      <c r="D36">
        <v>35</v>
      </c>
      <c r="E36" s="4">
        <v>44561</v>
      </c>
      <c r="F36" t="s">
        <v>99</v>
      </c>
      <c r="G36" t="s">
        <v>37</v>
      </c>
      <c r="H36" t="s">
        <v>55</v>
      </c>
      <c r="I36" t="s">
        <v>299</v>
      </c>
      <c r="J36" t="s">
        <v>41</v>
      </c>
      <c r="K36" s="9">
        <v>1.4076388888888889</v>
      </c>
      <c r="L36">
        <v>6</v>
      </c>
      <c r="M36">
        <v>15</v>
      </c>
      <c r="N36">
        <v>0.4</v>
      </c>
      <c r="O36">
        <v>2</v>
      </c>
      <c r="P36">
        <v>6</v>
      </c>
      <c r="Q36">
        <v>0.33300000000000002</v>
      </c>
      <c r="R36">
        <v>4</v>
      </c>
      <c r="S36">
        <v>9</v>
      </c>
      <c r="T36">
        <v>0.44400000000000001</v>
      </c>
      <c r="U36">
        <v>0.46700000000000003</v>
      </c>
      <c r="V36">
        <v>0</v>
      </c>
      <c r="W36">
        <v>0</v>
      </c>
      <c r="Y36">
        <v>1</v>
      </c>
      <c r="Z36">
        <v>4</v>
      </c>
      <c r="AA36">
        <v>5</v>
      </c>
      <c r="AB36">
        <v>8</v>
      </c>
      <c r="AC36">
        <v>2</v>
      </c>
      <c r="AD36">
        <v>0</v>
      </c>
      <c r="AE36">
        <v>2</v>
      </c>
      <c r="AF36">
        <v>2</v>
      </c>
      <c r="AG36">
        <v>14</v>
      </c>
      <c r="AH36">
        <v>12.6</v>
      </c>
      <c r="AI36">
        <v>4</v>
      </c>
    </row>
    <row r="37" spans="1:35" ht="21" x14ac:dyDescent="0.3">
      <c r="A37" t="s">
        <v>552</v>
      </c>
      <c r="B37" s="11">
        <v>36</v>
      </c>
      <c r="C37">
        <v>1126</v>
      </c>
      <c r="D37">
        <v>36</v>
      </c>
      <c r="E37" s="4">
        <v>44563</v>
      </c>
      <c r="F37" t="s">
        <v>99</v>
      </c>
      <c r="G37" t="s">
        <v>37</v>
      </c>
      <c r="H37" t="s">
        <v>72</v>
      </c>
      <c r="I37" t="s">
        <v>300</v>
      </c>
      <c r="J37" t="s">
        <v>41</v>
      </c>
      <c r="K37" s="9">
        <v>1.0965277777777778</v>
      </c>
      <c r="L37">
        <v>3</v>
      </c>
      <c r="M37">
        <v>6</v>
      </c>
      <c r="N37">
        <v>0.5</v>
      </c>
      <c r="O37">
        <v>1</v>
      </c>
      <c r="P37">
        <v>3</v>
      </c>
      <c r="Q37">
        <v>0.33300000000000002</v>
      </c>
      <c r="R37">
        <v>2</v>
      </c>
      <c r="S37">
        <v>3</v>
      </c>
      <c r="T37">
        <v>0.66700000000000004</v>
      </c>
      <c r="U37">
        <v>0.58299999999999996</v>
      </c>
      <c r="V37">
        <v>0</v>
      </c>
      <c r="W37">
        <v>0</v>
      </c>
      <c r="Y37">
        <v>0</v>
      </c>
      <c r="Z37">
        <v>6</v>
      </c>
      <c r="AA37">
        <v>6</v>
      </c>
      <c r="AB37">
        <v>16</v>
      </c>
      <c r="AC37">
        <v>1</v>
      </c>
      <c r="AD37">
        <v>0</v>
      </c>
      <c r="AE37">
        <v>1</v>
      </c>
      <c r="AF37">
        <v>2</v>
      </c>
      <c r="AG37">
        <v>7</v>
      </c>
      <c r="AH37">
        <v>16.2</v>
      </c>
      <c r="AI37">
        <v>34</v>
      </c>
    </row>
    <row r="38" spans="1:35" ht="21" x14ac:dyDescent="0.3">
      <c r="A38" t="s">
        <v>552</v>
      </c>
      <c r="B38" s="11">
        <v>37</v>
      </c>
      <c r="C38">
        <v>1127</v>
      </c>
      <c r="D38">
        <v>37</v>
      </c>
      <c r="E38" s="4">
        <v>44565</v>
      </c>
      <c r="F38" t="s">
        <v>99</v>
      </c>
      <c r="G38" t="s">
        <v>37</v>
      </c>
      <c r="H38" t="s">
        <v>74</v>
      </c>
      <c r="I38" t="s">
        <v>81</v>
      </c>
      <c r="J38" t="s">
        <v>41</v>
      </c>
      <c r="K38" s="9">
        <v>1.4673611111111111</v>
      </c>
      <c r="L38">
        <v>5</v>
      </c>
      <c r="M38">
        <v>11</v>
      </c>
      <c r="N38">
        <v>0.45500000000000002</v>
      </c>
      <c r="O38">
        <v>1</v>
      </c>
      <c r="P38">
        <v>2</v>
      </c>
      <c r="Q38">
        <v>0.5</v>
      </c>
      <c r="R38">
        <v>4</v>
      </c>
      <c r="S38">
        <v>9</v>
      </c>
      <c r="T38">
        <v>0.44400000000000001</v>
      </c>
      <c r="U38">
        <v>0.5</v>
      </c>
      <c r="V38">
        <v>0</v>
      </c>
      <c r="W38">
        <v>0</v>
      </c>
      <c r="Y38">
        <v>0</v>
      </c>
      <c r="Z38">
        <v>5</v>
      </c>
      <c r="AA38">
        <v>5</v>
      </c>
      <c r="AB38">
        <v>15</v>
      </c>
      <c r="AC38">
        <v>0</v>
      </c>
      <c r="AD38">
        <v>0</v>
      </c>
      <c r="AE38">
        <v>3</v>
      </c>
      <c r="AF38">
        <v>1</v>
      </c>
      <c r="AG38">
        <v>11</v>
      </c>
      <c r="AH38">
        <v>13.9</v>
      </c>
      <c r="AI38">
        <v>23</v>
      </c>
    </row>
    <row r="39" spans="1:35" ht="21" x14ac:dyDescent="0.3">
      <c r="A39" t="s">
        <v>552</v>
      </c>
      <c r="B39" s="11">
        <v>38</v>
      </c>
      <c r="C39">
        <v>1128</v>
      </c>
      <c r="D39">
        <v>38</v>
      </c>
      <c r="E39" s="4">
        <v>44567</v>
      </c>
      <c r="F39" t="s">
        <v>99</v>
      </c>
      <c r="H39" t="s">
        <v>64</v>
      </c>
      <c r="I39" t="s">
        <v>301</v>
      </c>
      <c r="J39" t="s">
        <v>41</v>
      </c>
      <c r="K39" s="9">
        <v>1.4312499999999999</v>
      </c>
      <c r="L39">
        <v>5</v>
      </c>
      <c r="M39">
        <v>14</v>
      </c>
      <c r="N39">
        <v>0.35699999999999998</v>
      </c>
      <c r="O39">
        <v>2</v>
      </c>
      <c r="P39">
        <v>5</v>
      </c>
      <c r="Q39">
        <v>0.4</v>
      </c>
      <c r="R39">
        <v>3</v>
      </c>
      <c r="S39">
        <v>9</v>
      </c>
      <c r="T39">
        <v>0.33300000000000002</v>
      </c>
      <c r="U39">
        <v>0.42899999999999999</v>
      </c>
      <c r="V39">
        <v>2</v>
      </c>
      <c r="W39">
        <v>2</v>
      </c>
      <c r="X39">
        <v>1</v>
      </c>
      <c r="Y39">
        <v>3</v>
      </c>
      <c r="Z39">
        <v>10</v>
      </c>
      <c r="AA39">
        <v>13</v>
      </c>
      <c r="AB39">
        <v>10</v>
      </c>
      <c r="AC39">
        <v>2</v>
      </c>
      <c r="AD39">
        <v>1</v>
      </c>
      <c r="AE39">
        <v>1</v>
      </c>
      <c r="AF39">
        <v>3</v>
      </c>
      <c r="AG39">
        <v>14</v>
      </c>
      <c r="AH39">
        <v>18.8</v>
      </c>
      <c r="AI39">
        <v>4</v>
      </c>
    </row>
    <row r="40" spans="1:35" ht="21" x14ac:dyDescent="0.3">
      <c r="A40" t="s">
        <v>552</v>
      </c>
      <c r="B40" s="11">
        <v>39</v>
      </c>
      <c r="C40">
        <v>1129</v>
      </c>
      <c r="D40">
        <v>39</v>
      </c>
      <c r="E40" s="4">
        <v>44569</v>
      </c>
      <c r="F40" t="s">
        <v>99</v>
      </c>
      <c r="H40" t="s">
        <v>120</v>
      </c>
      <c r="I40" t="s">
        <v>302</v>
      </c>
      <c r="J40" t="s">
        <v>41</v>
      </c>
      <c r="K40" s="9">
        <v>1.3423611111111111</v>
      </c>
      <c r="L40">
        <v>3</v>
      </c>
      <c r="M40">
        <v>9</v>
      </c>
      <c r="N40">
        <v>0.33300000000000002</v>
      </c>
      <c r="O40">
        <v>1</v>
      </c>
      <c r="P40">
        <v>1</v>
      </c>
      <c r="Q40">
        <v>1</v>
      </c>
      <c r="R40">
        <v>2</v>
      </c>
      <c r="S40">
        <v>8</v>
      </c>
      <c r="T40">
        <v>0.25</v>
      </c>
      <c r="U40">
        <v>0.38900000000000001</v>
      </c>
      <c r="V40">
        <v>2</v>
      </c>
      <c r="W40">
        <v>3</v>
      </c>
      <c r="X40">
        <v>0.66700000000000004</v>
      </c>
      <c r="Y40">
        <v>0</v>
      </c>
      <c r="Z40">
        <v>2</v>
      </c>
      <c r="AA40">
        <v>2</v>
      </c>
      <c r="AB40">
        <v>7</v>
      </c>
      <c r="AC40">
        <v>1</v>
      </c>
      <c r="AD40">
        <v>0</v>
      </c>
      <c r="AE40">
        <v>4</v>
      </c>
      <c r="AF40">
        <v>3</v>
      </c>
      <c r="AG40">
        <v>9</v>
      </c>
      <c r="AH40">
        <v>4.8</v>
      </c>
      <c r="AI40">
        <v>-10</v>
      </c>
    </row>
    <row r="41" spans="1:35" ht="21" x14ac:dyDescent="0.3">
      <c r="A41" t="s">
        <v>552</v>
      </c>
      <c r="B41" s="11">
        <v>40</v>
      </c>
      <c r="C41">
        <v>1130</v>
      </c>
      <c r="D41">
        <v>40</v>
      </c>
      <c r="E41" s="4">
        <v>44572</v>
      </c>
      <c r="F41" t="s">
        <v>99</v>
      </c>
      <c r="G41" t="s">
        <v>37</v>
      </c>
      <c r="H41" t="s">
        <v>92</v>
      </c>
      <c r="I41" t="s">
        <v>303</v>
      </c>
      <c r="J41" t="s">
        <v>41</v>
      </c>
      <c r="K41" s="9">
        <v>1.3854166666666667</v>
      </c>
      <c r="L41">
        <v>6</v>
      </c>
      <c r="M41">
        <v>11</v>
      </c>
      <c r="N41">
        <v>0.54500000000000004</v>
      </c>
      <c r="O41">
        <v>1</v>
      </c>
      <c r="P41">
        <v>3</v>
      </c>
      <c r="Q41">
        <v>0.33300000000000002</v>
      </c>
      <c r="R41">
        <v>5</v>
      </c>
      <c r="S41">
        <v>8</v>
      </c>
      <c r="T41">
        <v>0.625</v>
      </c>
      <c r="U41">
        <v>0.59099999999999997</v>
      </c>
      <c r="V41">
        <v>2</v>
      </c>
      <c r="W41">
        <v>2</v>
      </c>
      <c r="X41">
        <v>1</v>
      </c>
      <c r="Y41">
        <v>0</v>
      </c>
      <c r="Z41">
        <v>2</v>
      </c>
      <c r="AA41">
        <v>2</v>
      </c>
      <c r="AB41">
        <v>12</v>
      </c>
      <c r="AC41">
        <v>5</v>
      </c>
      <c r="AD41">
        <v>0</v>
      </c>
      <c r="AE41">
        <v>2</v>
      </c>
      <c r="AF41">
        <v>3</v>
      </c>
      <c r="AG41">
        <v>15</v>
      </c>
      <c r="AH41">
        <v>20.5</v>
      </c>
      <c r="AI41">
        <v>16</v>
      </c>
    </row>
    <row r="42" spans="1:35" ht="21" x14ac:dyDescent="0.3">
      <c r="A42" t="s">
        <v>552</v>
      </c>
      <c r="B42" s="11">
        <v>41</v>
      </c>
      <c r="C42">
        <v>1131</v>
      </c>
      <c r="D42">
        <v>41</v>
      </c>
      <c r="E42" s="4">
        <v>44575</v>
      </c>
      <c r="F42" t="s">
        <v>99</v>
      </c>
      <c r="G42" t="s">
        <v>37</v>
      </c>
      <c r="H42" t="s">
        <v>108</v>
      </c>
      <c r="I42" t="s">
        <v>304</v>
      </c>
      <c r="J42" t="s">
        <v>41</v>
      </c>
      <c r="K42" s="9">
        <v>1.3722222222222222</v>
      </c>
      <c r="L42">
        <v>5</v>
      </c>
      <c r="M42">
        <v>10</v>
      </c>
      <c r="N42">
        <v>0.5</v>
      </c>
      <c r="O42">
        <v>0</v>
      </c>
      <c r="P42">
        <v>2</v>
      </c>
      <c r="Q42">
        <v>0</v>
      </c>
      <c r="R42">
        <v>5</v>
      </c>
      <c r="S42">
        <v>8</v>
      </c>
      <c r="T42">
        <v>0.625</v>
      </c>
      <c r="U42">
        <v>0.5</v>
      </c>
      <c r="V42">
        <v>2</v>
      </c>
      <c r="W42">
        <v>2</v>
      </c>
      <c r="X42">
        <v>1</v>
      </c>
      <c r="Y42">
        <v>0</v>
      </c>
      <c r="Z42">
        <v>3</v>
      </c>
      <c r="AA42">
        <v>3</v>
      </c>
      <c r="AB42">
        <v>9</v>
      </c>
      <c r="AC42">
        <v>2</v>
      </c>
      <c r="AD42">
        <v>1</v>
      </c>
      <c r="AE42">
        <v>4</v>
      </c>
      <c r="AF42">
        <v>2</v>
      </c>
      <c r="AG42">
        <v>12</v>
      </c>
      <c r="AH42">
        <v>12.1</v>
      </c>
      <c r="AI42">
        <v>15</v>
      </c>
    </row>
    <row r="43" spans="1:35" ht="21" x14ac:dyDescent="0.3">
      <c r="A43" t="s">
        <v>552</v>
      </c>
      <c r="B43" s="11">
        <v>42</v>
      </c>
      <c r="C43">
        <v>1132</v>
      </c>
      <c r="D43">
        <v>42</v>
      </c>
      <c r="E43" s="4">
        <v>44577</v>
      </c>
      <c r="F43" t="s">
        <v>99</v>
      </c>
      <c r="G43" t="s">
        <v>37</v>
      </c>
      <c r="H43" t="s">
        <v>89</v>
      </c>
      <c r="I43" t="s">
        <v>305</v>
      </c>
      <c r="J43" t="s">
        <v>41</v>
      </c>
      <c r="K43" s="9">
        <v>1.125</v>
      </c>
      <c r="L43">
        <v>4</v>
      </c>
      <c r="M43">
        <v>10</v>
      </c>
      <c r="N43">
        <v>0.4</v>
      </c>
      <c r="O43">
        <v>0</v>
      </c>
      <c r="P43">
        <v>0</v>
      </c>
      <c r="R43">
        <v>4</v>
      </c>
      <c r="S43">
        <v>10</v>
      </c>
      <c r="T43">
        <v>0.4</v>
      </c>
      <c r="U43">
        <v>0.4</v>
      </c>
      <c r="V43">
        <v>2</v>
      </c>
      <c r="W43">
        <v>2</v>
      </c>
      <c r="X43">
        <v>1</v>
      </c>
      <c r="Y43">
        <v>0</v>
      </c>
      <c r="Z43">
        <v>6</v>
      </c>
      <c r="AA43">
        <v>6</v>
      </c>
      <c r="AB43">
        <v>6</v>
      </c>
      <c r="AC43">
        <v>1</v>
      </c>
      <c r="AD43">
        <v>1</v>
      </c>
      <c r="AE43">
        <v>2</v>
      </c>
      <c r="AF43">
        <v>4</v>
      </c>
      <c r="AG43">
        <v>10</v>
      </c>
      <c r="AH43">
        <v>8.6999999999999993</v>
      </c>
      <c r="AI43">
        <v>23</v>
      </c>
    </row>
    <row r="44" spans="1:35" ht="21" x14ac:dyDescent="0.3">
      <c r="A44" t="s">
        <v>552</v>
      </c>
      <c r="B44" s="11">
        <v>43</v>
      </c>
      <c r="C44">
        <v>1133</v>
      </c>
      <c r="D44">
        <v>43</v>
      </c>
      <c r="E44" s="4">
        <v>44578</v>
      </c>
      <c r="F44" t="s">
        <v>99</v>
      </c>
      <c r="G44" t="s">
        <v>37</v>
      </c>
      <c r="H44" t="s">
        <v>102</v>
      </c>
      <c r="I44" t="s">
        <v>306</v>
      </c>
      <c r="J44" t="s">
        <v>41</v>
      </c>
      <c r="K44" s="9">
        <v>1.3486111111111112</v>
      </c>
      <c r="L44">
        <v>7</v>
      </c>
      <c r="M44">
        <v>12</v>
      </c>
      <c r="N44">
        <v>0.58299999999999996</v>
      </c>
      <c r="O44">
        <v>1</v>
      </c>
      <c r="P44">
        <v>4</v>
      </c>
      <c r="Q44">
        <v>0.25</v>
      </c>
      <c r="R44">
        <v>6</v>
      </c>
      <c r="S44">
        <v>8</v>
      </c>
      <c r="T44">
        <v>0.75</v>
      </c>
      <c r="U44">
        <v>0.625</v>
      </c>
      <c r="V44">
        <v>0</v>
      </c>
      <c r="W44">
        <v>0</v>
      </c>
      <c r="Y44">
        <v>0</v>
      </c>
      <c r="Z44">
        <v>2</v>
      </c>
      <c r="AA44">
        <v>2</v>
      </c>
      <c r="AB44">
        <v>12</v>
      </c>
      <c r="AC44">
        <v>2</v>
      </c>
      <c r="AD44">
        <v>2</v>
      </c>
      <c r="AE44">
        <v>0</v>
      </c>
      <c r="AF44">
        <v>1</v>
      </c>
      <c r="AG44">
        <v>15</v>
      </c>
      <c r="AH44">
        <v>21.4</v>
      </c>
      <c r="AI44">
        <v>-3</v>
      </c>
    </row>
    <row r="45" spans="1:35" ht="21" x14ac:dyDescent="0.3">
      <c r="A45" t="s">
        <v>552</v>
      </c>
      <c r="B45" s="11">
        <v>44</v>
      </c>
      <c r="C45">
        <v>1134</v>
      </c>
      <c r="D45">
        <v>44</v>
      </c>
      <c r="E45" s="4">
        <v>44581</v>
      </c>
      <c r="F45" t="s">
        <v>99</v>
      </c>
      <c r="G45" t="s">
        <v>37</v>
      </c>
      <c r="H45" t="s">
        <v>49</v>
      </c>
      <c r="I45" t="s">
        <v>307</v>
      </c>
      <c r="J45" t="s">
        <v>41</v>
      </c>
      <c r="K45" s="9">
        <v>1.5284722222222222</v>
      </c>
      <c r="L45">
        <v>8</v>
      </c>
      <c r="M45">
        <v>14</v>
      </c>
      <c r="N45">
        <v>0.57099999999999995</v>
      </c>
      <c r="O45">
        <v>2</v>
      </c>
      <c r="P45">
        <v>6</v>
      </c>
      <c r="Q45">
        <v>0.33300000000000002</v>
      </c>
      <c r="R45">
        <v>6</v>
      </c>
      <c r="S45">
        <v>8</v>
      </c>
      <c r="T45">
        <v>0.75</v>
      </c>
      <c r="U45">
        <v>0.64300000000000002</v>
      </c>
      <c r="V45">
        <v>2</v>
      </c>
      <c r="W45">
        <v>2</v>
      </c>
      <c r="X45">
        <v>1</v>
      </c>
      <c r="Y45">
        <v>0</v>
      </c>
      <c r="Z45">
        <v>5</v>
      </c>
      <c r="AA45">
        <v>5</v>
      </c>
      <c r="AB45">
        <v>11</v>
      </c>
      <c r="AC45">
        <v>2</v>
      </c>
      <c r="AD45">
        <v>1</v>
      </c>
      <c r="AE45">
        <v>0</v>
      </c>
      <c r="AF45">
        <v>3</v>
      </c>
      <c r="AG45">
        <v>20</v>
      </c>
      <c r="AH45">
        <v>24.1</v>
      </c>
      <c r="AI45">
        <v>24</v>
      </c>
    </row>
    <row r="46" spans="1:35" ht="21" x14ac:dyDescent="0.3">
      <c r="A46" t="s">
        <v>552</v>
      </c>
      <c r="B46" s="11">
        <v>45</v>
      </c>
      <c r="C46">
        <v>1135</v>
      </c>
      <c r="D46">
        <v>45</v>
      </c>
      <c r="E46" s="4">
        <v>44583</v>
      </c>
      <c r="F46" t="s">
        <v>99</v>
      </c>
      <c r="H46" t="s">
        <v>108</v>
      </c>
      <c r="I46" t="s">
        <v>308</v>
      </c>
      <c r="J46" t="s">
        <v>41</v>
      </c>
      <c r="K46" s="9">
        <v>1.7006944444444445</v>
      </c>
      <c r="L46">
        <v>8</v>
      </c>
      <c r="M46">
        <v>11</v>
      </c>
      <c r="N46">
        <v>0.72699999999999998</v>
      </c>
      <c r="O46">
        <v>0</v>
      </c>
      <c r="P46">
        <v>2</v>
      </c>
      <c r="Q46">
        <v>0</v>
      </c>
      <c r="R46">
        <v>8</v>
      </c>
      <c r="S46">
        <v>9</v>
      </c>
      <c r="T46">
        <v>0.88900000000000001</v>
      </c>
      <c r="U46">
        <v>0.72699999999999998</v>
      </c>
      <c r="V46">
        <v>2</v>
      </c>
      <c r="W46">
        <v>2</v>
      </c>
      <c r="X46">
        <v>1</v>
      </c>
      <c r="Y46">
        <v>0</v>
      </c>
      <c r="Z46">
        <v>4</v>
      </c>
      <c r="AA46">
        <v>4</v>
      </c>
      <c r="AB46">
        <v>16</v>
      </c>
      <c r="AC46">
        <v>4</v>
      </c>
      <c r="AD46">
        <v>0</v>
      </c>
      <c r="AE46">
        <v>4</v>
      </c>
      <c r="AF46">
        <v>0</v>
      </c>
      <c r="AG46">
        <v>18</v>
      </c>
      <c r="AH46">
        <v>25.9</v>
      </c>
      <c r="AI46">
        <v>12</v>
      </c>
    </row>
    <row r="47" spans="1:35" ht="21" x14ac:dyDescent="0.3">
      <c r="A47" t="s">
        <v>552</v>
      </c>
      <c r="B47" s="11">
        <v>46</v>
      </c>
      <c r="C47">
        <v>1136</v>
      </c>
      <c r="D47">
        <v>46</v>
      </c>
      <c r="E47" s="4">
        <v>44585</v>
      </c>
      <c r="F47" t="s">
        <v>99</v>
      </c>
      <c r="H47" t="s">
        <v>118</v>
      </c>
      <c r="I47" t="s">
        <v>309</v>
      </c>
      <c r="J47" t="s">
        <v>41</v>
      </c>
      <c r="K47" s="9">
        <v>1.6819444444444445</v>
      </c>
      <c r="L47">
        <v>10</v>
      </c>
      <c r="M47">
        <v>17</v>
      </c>
      <c r="N47">
        <v>0.58799999999999997</v>
      </c>
      <c r="O47">
        <v>4</v>
      </c>
      <c r="P47">
        <v>7</v>
      </c>
      <c r="Q47">
        <v>0.57099999999999995</v>
      </c>
      <c r="R47">
        <v>6</v>
      </c>
      <c r="S47">
        <v>10</v>
      </c>
      <c r="T47">
        <v>0.6</v>
      </c>
      <c r="U47">
        <v>0.70599999999999996</v>
      </c>
      <c r="V47">
        <v>3</v>
      </c>
      <c r="W47">
        <v>4</v>
      </c>
      <c r="X47">
        <v>0.75</v>
      </c>
      <c r="Y47">
        <v>1</v>
      </c>
      <c r="Z47">
        <v>8</v>
      </c>
      <c r="AA47">
        <v>9</v>
      </c>
      <c r="AB47">
        <v>13</v>
      </c>
      <c r="AC47">
        <v>1</v>
      </c>
      <c r="AD47">
        <v>0</v>
      </c>
      <c r="AE47">
        <v>7</v>
      </c>
      <c r="AF47">
        <v>2</v>
      </c>
      <c r="AG47">
        <v>27</v>
      </c>
      <c r="AH47">
        <v>24.1</v>
      </c>
      <c r="AI47">
        <v>7</v>
      </c>
    </row>
    <row r="48" spans="1:35" ht="21" x14ac:dyDescent="0.3">
      <c r="A48" t="s">
        <v>552</v>
      </c>
      <c r="B48" s="11">
        <v>47</v>
      </c>
      <c r="C48">
        <v>1137</v>
      </c>
      <c r="D48">
        <v>47</v>
      </c>
      <c r="E48" s="4">
        <v>44587</v>
      </c>
      <c r="F48" t="s">
        <v>99</v>
      </c>
      <c r="G48" t="s">
        <v>37</v>
      </c>
      <c r="H48" t="s">
        <v>118</v>
      </c>
      <c r="I48" t="s">
        <v>310</v>
      </c>
      <c r="J48" t="s">
        <v>41</v>
      </c>
      <c r="K48" s="9">
        <v>1.5347222222222223</v>
      </c>
      <c r="L48">
        <v>8</v>
      </c>
      <c r="M48">
        <v>17</v>
      </c>
      <c r="N48">
        <v>0.47099999999999997</v>
      </c>
      <c r="O48">
        <v>1</v>
      </c>
      <c r="P48">
        <v>2</v>
      </c>
      <c r="Q48">
        <v>0.5</v>
      </c>
      <c r="R48">
        <v>7</v>
      </c>
      <c r="S48">
        <v>15</v>
      </c>
      <c r="T48">
        <v>0.46700000000000003</v>
      </c>
      <c r="U48">
        <v>0.5</v>
      </c>
      <c r="V48">
        <v>4</v>
      </c>
      <c r="W48">
        <v>6</v>
      </c>
      <c r="X48">
        <v>0.66700000000000004</v>
      </c>
      <c r="Y48">
        <v>0</v>
      </c>
      <c r="Z48">
        <v>3</v>
      </c>
      <c r="AA48">
        <v>3</v>
      </c>
      <c r="AB48">
        <v>5</v>
      </c>
      <c r="AC48">
        <v>0</v>
      </c>
      <c r="AD48">
        <v>0</v>
      </c>
      <c r="AE48">
        <v>1</v>
      </c>
      <c r="AF48">
        <v>3</v>
      </c>
      <c r="AG48">
        <v>21</v>
      </c>
      <c r="AH48">
        <v>13.7</v>
      </c>
      <c r="AI48">
        <v>-2</v>
      </c>
    </row>
    <row r="49" spans="1:35" ht="21" x14ac:dyDescent="0.3">
      <c r="A49" t="s">
        <v>552</v>
      </c>
      <c r="B49" s="11">
        <v>48</v>
      </c>
      <c r="C49">
        <v>1138</v>
      </c>
      <c r="D49">
        <v>48</v>
      </c>
      <c r="E49" s="4">
        <v>44589</v>
      </c>
      <c r="F49" t="s">
        <v>99</v>
      </c>
      <c r="H49" t="s">
        <v>80</v>
      </c>
      <c r="I49" t="s">
        <v>311</v>
      </c>
      <c r="J49" t="s">
        <v>41</v>
      </c>
      <c r="K49" s="9">
        <v>1.5486111111111112</v>
      </c>
      <c r="L49">
        <v>5</v>
      </c>
      <c r="M49">
        <v>9</v>
      </c>
      <c r="N49">
        <v>0.55600000000000005</v>
      </c>
      <c r="O49">
        <v>4</v>
      </c>
      <c r="P49">
        <v>5</v>
      </c>
      <c r="Q49">
        <v>0.8</v>
      </c>
      <c r="R49">
        <v>1</v>
      </c>
      <c r="S49">
        <v>4</v>
      </c>
      <c r="T49">
        <v>0.25</v>
      </c>
      <c r="U49">
        <v>0.77800000000000002</v>
      </c>
      <c r="V49">
        <v>7</v>
      </c>
      <c r="W49">
        <v>9</v>
      </c>
      <c r="X49">
        <v>0.77800000000000002</v>
      </c>
      <c r="Y49">
        <v>1</v>
      </c>
      <c r="Z49">
        <v>9</v>
      </c>
      <c r="AA49">
        <v>10</v>
      </c>
      <c r="AB49">
        <v>14</v>
      </c>
      <c r="AC49">
        <v>1</v>
      </c>
      <c r="AD49">
        <v>1</v>
      </c>
      <c r="AE49">
        <v>2</v>
      </c>
      <c r="AF49">
        <v>2</v>
      </c>
      <c r="AG49">
        <v>21</v>
      </c>
      <c r="AH49">
        <v>28</v>
      </c>
      <c r="AI49">
        <v>4</v>
      </c>
    </row>
    <row r="50" spans="1:35" ht="21" x14ac:dyDescent="0.3">
      <c r="A50" t="s">
        <v>552</v>
      </c>
      <c r="B50" s="11">
        <v>49</v>
      </c>
      <c r="C50">
        <v>1139</v>
      </c>
      <c r="D50">
        <v>49</v>
      </c>
      <c r="E50" s="4">
        <v>44591</v>
      </c>
      <c r="F50" t="s">
        <v>99</v>
      </c>
      <c r="H50" t="s">
        <v>102</v>
      </c>
      <c r="I50" t="s">
        <v>312</v>
      </c>
      <c r="J50" t="s">
        <v>41</v>
      </c>
      <c r="K50" s="9">
        <v>1.6548611111111111</v>
      </c>
      <c r="L50">
        <v>9</v>
      </c>
      <c r="M50">
        <v>16</v>
      </c>
      <c r="N50">
        <v>0.56299999999999994</v>
      </c>
      <c r="O50">
        <v>1</v>
      </c>
      <c r="P50">
        <v>3</v>
      </c>
      <c r="Q50">
        <v>0.33300000000000002</v>
      </c>
      <c r="R50">
        <v>8</v>
      </c>
      <c r="S50">
        <v>13</v>
      </c>
      <c r="T50">
        <v>0.61499999999999999</v>
      </c>
      <c r="U50">
        <v>0.59399999999999997</v>
      </c>
      <c r="V50">
        <v>1</v>
      </c>
      <c r="W50">
        <v>2</v>
      </c>
      <c r="X50">
        <v>0.5</v>
      </c>
      <c r="Y50">
        <v>0</v>
      </c>
      <c r="Z50">
        <v>8</v>
      </c>
      <c r="AA50">
        <v>8</v>
      </c>
      <c r="AB50">
        <v>19</v>
      </c>
      <c r="AC50">
        <v>1</v>
      </c>
      <c r="AD50">
        <v>1</v>
      </c>
      <c r="AE50">
        <v>2</v>
      </c>
      <c r="AF50">
        <v>2</v>
      </c>
      <c r="AG50">
        <v>20</v>
      </c>
      <c r="AH50">
        <v>26.6</v>
      </c>
      <c r="AI50">
        <v>14</v>
      </c>
    </row>
    <row r="51" spans="1:35" ht="21" x14ac:dyDescent="0.3">
      <c r="A51" t="s">
        <v>552</v>
      </c>
      <c r="B51" s="11">
        <v>50</v>
      </c>
      <c r="C51">
        <v>1140</v>
      </c>
      <c r="D51">
        <v>50</v>
      </c>
      <c r="E51" s="4">
        <v>44593</v>
      </c>
      <c r="F51" t="s">
        <v>99</v>
      </c>
      <c r="H51" t="s">
        <v>85</v>
      </c>
      <c r="I51" t="s">
        <v>313</v>
      </c>
      <c r="J51" t="s">
        <v>41</v>
      </c>
      <c r="K51" s="9">
        <v>1.6208333333333333</v>
      </c>
      <c r="L51">
        <v>5</v>
      </c>
      <c r="M51">
        <v>12</v>
      </c>
      <c r="N51">
        <v>0.41699999999999998</v>
      </c>
      <c r="O51">
        <v>1</v>
      </c>
      <c r="P51">
        <v>4</v>
      </c>
      <c r="Q51">
        <v>0.25</v>
      </c>
      <c r="R51">
        <v>4</v>
      </c>
      <c r="S51">
        <v>8</v>
      </c>
      <c r="T51">
        <v>0.5</v>
      </c>
      <c r="U51">
        <v>0.45800000000000002</v>
      </c>
      <c r="V51">
        <v>9</v>
      </c>
      <c r="W51">
        <v>9</v>
      </c>
      <c r="X51">
        <v>1</v>
      </c>
      <c r="Y51">
        <v>0</v>
      </c>
      <c r="Z51">
        <v>4</v>
      </c>
      <c r="AA51">
        <v>4</v>
      </c>
      <c r="AB51">
        <v>14</v>
      </c>
      <c r="AC51">
        <v>2</v>
      </c>
      <c r="AD51">
        <v>0</v>
      </c>
      <c r="AE51">
        <v>2</v>
      </c>
      <c r="AF51">
        <v>2</v>
      </c>
      <c r="AG51">
        <v>20</v>
      </c>
      <c r="AH51">
        <v>23.8</v>
      </c>
      <c r="AI51">
        <v>20</v>
      </c>
    </row>
    <row r="52" spans="1:35" ht="21" x14ac:dyDescent="0.3">
      <c r="A52" t="s">
        <v>552</v>
      </c>
      <c r="B52" s="11">
        <v>51</v>
      </c>
      <c r="C52">
        <v>1141</v>
      </c>
      <c r="D52">
        <v>51</v>
      </c>
      <c r="E52" s="4">
        <v>44595</v>
      </c>
      <c r="F52" t="s">
        <v>99</v>
      </c>
      <c r="G52" t="s">
        <v>37</v>
      </c>
      <c r="H52" t="s">
        <v>78</v>
      </c>
      <c r="I52" t="s">
        <v>314</v>
      </c>
      <c r="J52" t="s">
        <v>41</v>
      </c>
      <c r="K52" s="9">
        <v>1.6222222222222222</v>
      </c>
      <c r="L52">
        <v>7</v>
      </c>
      <c r="M52">
        <v>14</v>
      </c>
      <c r="N52">
        <v>0.5</v>
      </c>
      <c r="O52">
        <v>1</v>
      </c>
      <c r="P52">
        <v>5</v>
      </c>
      <c r="Q52">
        <v>0.2</v>
      </c>
      <c r="R52">
        <v>6</v>
      </c>
      <c r="S52">
        <v>9</v>
      </c>
      <c r="T52">
        <v>0.66700000000000004</v>
      </c>
      <c r="U52">
        <v>0.53600000000000003</v>
      </c>
      <c r="V52">
        <v>3</v>
      </c>
      <c r="W52">
        <v>4</v>
      </c>
      <c r="X52">
        <v>0.75</v>
      </c>
      <c r="Y52">
        <v>0</v>
      </c>
      <c r="Z52">
        <v>4</v>
      </c>
      <c r="AA52">
        <v>4</v>
      </c>
      <c r="AB52">
        <v>12</v>
      </c>
      <c r="AC52">
        <v>3</v>
      </c>
      <c r="AD52">
        <v>0</v>
      </c>
      <c r="AE52">
        <v>0</v>
      </c>
      <c r="AF52">
        <v>5</v>
      </c>
      <c r="AG52">
        <v>18</v>
      </c>
      <c r="AH52">
        <v>21.2</v>
      </c>
      <c r="AI52">
        <v>-4</v>
      </c>
    </row>
    <row r="53" spans="1:35" ht="21" x14ac:dyDescent="0.3">
      <c r="A53" t="s">
        <v>552</v>
      </c>
      <c r="B53" s="11">
        <v>52</v>
      </c>
      <c r="C53">
        <v>1142</v>
      </c>
      <c r="D53">
        <v>52</v>
      </c>
      <c r="E53" s="4">
        <v>44597</v>
      </c>
      <c r="F53" t="s">
        <v>99</v>
      </c>
      <c r="G53" t="s">
        <v>37</v>
      </c>
      <c r="H53" t="s">
        <v>155</v>
      </c>
      <c r="I53" t="s">
        <v>315</v>
      </c>
      <c r="J53" t="s">
        <v>41</v>
      </c>
      <c r="K53" s="9">
        <v>1.2729166666666667</v>
      </c>
      <c r="L53">
        <v>6</v>
      </c>
      <c r="M53">
        <v>12</v>
      </c>
      <c r="N53">
        <v>0.5</v>
      </c>
      <c r="O53">
        <v>1</v>
      </c>
      <c r="P53">
        <v>5</v>
      </c>
      <c r="Q53">
        <v>0.2</v>
      </c>
      <c r="R53">
        <v>5</v>
      </c>
      <c r="S53">
        <v>7</v>
      </c>
      <c r="T53">
        <v>0.71399999999999997</v>
      </c>
      <c r="U53">
        <v>0.54200000000000004</v>
      </c>
      <c r="V53">
        <v>1</v>
      </c>
      <c r="W53">
        <v>2</v>
      </c>
      <c r="X53">
        <v>0.5</v>
      </c>
      <c r="Y53">
        <v>0</v>
      </c>
      <c r="Z53">
        <v>4</v>
      </c>
      <c r="AA53">
        <v>4</v>
      </c>
      <c r="AB53">
        <v>9</v>
      </c>
      <c r="AC53">
        <v>1</v>
      </c>
      <c r="AD53">
        <v>1</v>
      </c>
      <c r="AE53">
        <v>2</v>
      </c>
      <c r="AF53">
        <v>0</v>
      </c>
      <c r="AG53">
        <v>14</v>
      </c>
      <c r="AH53">
        <v>14.8</v>
      </c>
      <c r="AI53">
        <v>30</v>
      </c>
    </row>
    <row r="54" spans="1:35" ht="21" x14ac:dyDescent="0.3">
      <c r="A54" t="s">
        <v>552</v>
      </c>
      <c r="B54" s="11">
        <v>53</v>
      </c>
      <c r="C54">
        <v>1143</v>
      </c>
      <c r="D54">
        <v>53</v>
      </c>
      <c r="E54" s="4">
        <v>44599</v>
      </c>
      <c r="F54" t="s">
        <v>99</v>
      </c>
      <c r="G54" t="s">
        <v>37</v>
      </c>
      <c r="H54" t="s">
        <v>82</v>
      </c>
      <c r="I54" t="s">
        <v>316</v>
      </c>
      <c r="J54" t="s">
        <v>41</v>
      </c>
      <c r="K54" s="9">
        <v>1.4104166666666667</v>
      </c>
      <c r="L54">
        <v>7</v>
      </c>
      <c r="M54">
        <v>11</v>
      </c>
      <c r="N54">
        <v>0.63600000000000001</v>
      </c>
      <c r="O54">
        <v>1</v>
      </c>
      <c r="P54">
        <v>2</v>
      </c>
      <c r="Q54">
        <v>0.5</v>
      </c>
      <c r="R54">
        <v>6</v>
      </c>
      <c r="S54">
        <v>9</v>
      </c>
      <c r="T54">
        <v>0.66700000000000004</v>
      </c>
      <c r="U54">
        <v>0.68200000000000005</v>
      </c>
      <c r="V54">
        <v>4</v>
      </c>
      <c r="W54">
        <v>4</v>
      </c>
      <c r="X54">
        <v>1</v>
      </c>
      <c r="Y54">
        <v>0</v>
      </c>
      <c r="Z54">
        <v>3</v>
      </c>
      <c r="AA54">
        <v>3</v>
      </c>
      <c r="AB54">
        <v>11</v>
      </c>
      <c r="AC54">
        <v>1</v>
      </c>
      <c r="AD54">
        <v>0</v>
      </c>
      <c r="AE54">
        <v>4</v>
      </c>
      <c r="AF54">
        <v>0</v>
      </c>
      <c r="AG54">
        <v>19</v>
      </c>
      <c r="AH54">
        <v>19.7</v>
      </c>
      <c r="AI54">
        <v>-5</v>
      </c>
    </row>
    <row r="55" spans="1:35" ht="21" x14ac:dyDescent="0.3">
      <c r="A55" t="s">
        <v>552</v>
      </c>
      <c r="B55" s="11">
        <v>54</v>
      </c>
      <c r="C55">
        <v>1144</v>
      </c>
      <c r="D55">
        <v>54</v>
      </c>
      <c r="E55" s="4">
        <v>44600</v>
      </c>
      <c r="F55" t="s">
        <v>99</v>
      </c>
      <c r="G55" t="s">
        <v>37</v>
      </c>
      <c r="H55" t="s">
        <v>94</v>
      </c>
      <c r="I55" t="s">
        <v>317</v>
      </c>
      <c r="J55" t="s">
        <v>41</v>
      </c>
      <c r="K55" s="9">
        <v>1.7395833333333333</v>
      </c>
      <c r="L55">
        <v>7</v>
      </c>
      <c r="M55">
        <v>18</v>
      </c>
      <c r="N55">
        <v>0.38900000000000001</v>
      </c>
      <c r="O55">
        <v>1</v>
      </c>
      <c r="P55">
        <v>2</v>
      </c>
      <c r="Q55">
        <v>0.5</v>
      </c>
      <c r="R55">
        <v>6</v>
      </c>
      <c r="S55">
        <v>16</v>
      </c>
      <c r="T55">
        <v>0.375</v>
      </c>
      <c r="U55">
        <v>0.41699999999999998</v>
      </c>
      <c r="V55">
        <v>1</v>
      </c>
      <c r="W55">
        <v>2</v>
      </c>
      <c r="X55">
        <v>0.5</v>
      </c>
      <c r="Y55">
        <v>0</v>
      </c>
      <c r="Z55">
        <v>4</v>
      </c>
      <c r="AA55">
        <v>4</v>
      </c>
      <c r="AB55">
        <v>12</v>
      </c>
      <c r="AC55">
        <v>2</v>
      </c>
      <c r="AD55">
        <v>0</v>
      </c>
      <c r="AE55">
        <v>6</v>
      </c>
      <c r="AF55">
        <v>2</v>
      </c>
      <c r="AG55">
        <v>16</v>
      </c>
      <c r="AH55">
        <v>10.6</v>
      </c>
      <c r="AI55">
        <v>3</v>
      </c>
    </row>
    <row r="56" spans="1:35" ht="21" x14ac:dyDescent="0.3">
      <c r="A56" t="s">
        <v>552</v>
      </c>
      <c r="B56" s="11">
        <v>55</v>
      </c>
      <c r="C56">
        <v>1145</v>
      </c>
      <c r="D56">
        <v>55</v>
      </c>
      <c r="E56" s="4">
        <v>44602</v>
      </c>
      <c r="F56" t="s">
        <v>99</v>
      </c>
      <c r="H56" t="s">
        <v>126</v>
      </c>
      <c r="I56" t="s">
        <v>318</v>
      </c>
      <c r="J56" t="s">
        <v>41</v>
      </c>
      <c r="K56" s="9">
        <v>1.5354166666666667</v>
      </c>
      <c r="L56">
        <v>5</v>
      </c>
      <c r="M56">
        <v>11</v>
      </c>
      <c r="N56">
        <v>0.45500000000000002</v>
      </c>
      <c r="O56">
        <v>0</v>
      </c>
      <c r="P56">
        <v>3</v>
      </c>
      <c r="Q56">
        <v>0</v>
      </c>
      <c r="R56">
        <v>5</v>
      </c>
      <c r="S56">
        <v>8</v>
      </c>
      <c r="T56">
        <v>0.625</v>
      </c>
      <c r="U56">
        <v>0.45500000000000002</v>
      </c>
      <c r="V56">
        <v>7</v>
      </c>
      <c r="W56">
        <v>7</v>
      </c>
      <c r="X56">
        <v>1</v>
      </c>
      <c r="Y56">
        <v>0</v>
      </c>
      <c r="Z56">
        <v>7</v>
      </c>
      <c r="AA56">
        <v>7</v>
      </c>
      <c r="AB56">
        <v>19</v>
      </c>
      <c r="AC56">
        <v>2</v>
      </c>
      <c r="AD56">
        <v>0</v>
      </c>
      <c r="AE56">
        <v>2</v>
      </c>
      <c r="AF56">
        <v>1</v>
      </c>
      <c r="AG56">
        <v>17</v>
      </c>
      <c r="AH56">
        <v>26.3</v>
      </c>
      <c r="AI56">
        <v>20</v>
      </c>
    </row>
    <row r="57" spans="1:35" ht="21" x14ac:dyDescent="0.3">
      <c r="A57" t="s">
        <v>552</v>
      </c>
      <c r="B57" s="11">
        <v>56</v>
      </c>
      <c r="C57">
        <v>1146</v>
      </c>
      <c r="D57">
        <v>56</v>
      </c>
      <c r="E57" s="4">
        <v>44604</v>
      </c>
      <c r="F57" t="s">
        <v>99</v>
      </c>
      <c r="H57" t="s">
        <v>104</v>
      </c>
      <c r="I57" t="s">
        <v>319</v>
      </c>
      <c r="J57" t="s">
        <v>41</v>
      </c>
      <c r="K57" s="9">
        <v>1.0979166666666667</v>
      </c>
      <c r="L57">
        <v>4</v>
      </c>
      <c r="M57">
        <v>11</v>
      </c>
      <c r="N57">
        <v>0.36399999999999999</v>
      </c>
      <c r="O57">
        <v>2</v>
      </c>
      <c r="P57">
        <v>5</v>
      </c>
      <c r="Q57">
        <v>0.4</v>
      </c>
      <c r="R57">
        <v>2</v>
      </c>
      <c r="S57">
        <v>6</v>
      </c>
      <c r="T57">
        <v>0.33300000000000002</v>
      </c>
      <c r="U57">
        <v>0.45500000000000002</v>
      </c>
      <c r="V57">
        <v>0</v>
      </c>
      <c r="W57">
        <v>0</v>
      </c>
      <c r="Y57">
        <v>0</v>
      </c>
      <c r="Z57">
        <v>5</v>
      </c>
      <c r="AA57">
        <v>5</v>
      </c>
      <c r="AB57">
        <v>15</v>
      </c>
      <c r="AC57">
        <v>2</v>
      </c>
      <c r="AD57">
        <v>0</v>
      </c>
      <c r="AE57">
        <v>2</v>
      </c>
      <c r="AF57">
        <v>2</v>
      </c>
      <c r="AG57">
        <v>10</v>
      </c>
      <c r="AH57">
        <v>15.1</v>
      </c>
      <c r="AI57">
        <v>21</v>
      </c>
    </row>
    <row r="58" spans="1:35" ht="21" x14ac:dyDescent="0.3">
      <c r="A58" t="s">
        <v>552</v>
      </c>
      <c r="B58" s="11">
        <v>57</v>
      </c>
      <c r="C58">
        <v>1147</v>
      </c>
      <c r="D58">
        <v>57</v>
      </c>
      <c r="E58" s="4">
        <v>44607</v>
      </c>
      <c r="F58" t="s">
        <v>99</v>
      </c>
      <c r="H58" t="s">
        <v>64</v>
      </c>
      <c r="I58" t="s">
        <v>320</v>
      </c>
      <c r="J58" t="s">
        <v>41</v>
      </c>
      <c r="K58" s="9">
        <v>1.4715277777777778</v>
      </c>
      <c r="L58">
        <v>7</v>
      </c>
      <c r="M58">
        <v>14</v>
      </c>
      <c r="N58">
        <v>0.5</v>
      </c>
      <c r="O58">
        <v>1</v>
      </c>
      <c r="P58">
        <v>4</v>
      </c>
      <c r="Q58">
        <v>0.25</v>
      </c>
      <c r="R58">
        <v>6</v>
      </c>
      <c r="S58">
        <v>10</v>
      </c>
      <c r="T58">
        <v>0.6</v>
      </c>
      <c r="U58">
        <v>0.53600000000000003</v>
      </c>
      <c r="V58">
        <v>2</v>
      </c>
      <c r="W58">
        <v>2</v>
      </c>
      <c r="X58">
        <v>1</v>
      </c>
      <c r="Y58">
        <v>0</v>
      </c>
      <c r="Z58">
        <v>5</v>
      </c>
      <c r="AA58">
        <v>5</v>
      </c>
      <c r="AB58">
        <v>14</v>
      </c>
      <c r="AC58">
        <v>1</v>
      </c>
      <c r="AD58">
        <v>0</v>
      </c>
      <c r="AE58">
        <v>3</v>
      </c>
      <c r="AF58">
        <v>0</v>
      </c>
      <c r="AG58">
        <v>17</v>
      </c>
      <c r="AH58">
        <v>19.3</v>
      </c>
      <c r="AI58">
        <v>12</v>
      </c>
    </row>
    <row r="59" spans="1:35" ht="21" x14ac:dyDescent="0.3">
      <c r="A59" t="s">
        <v>552</v>
      </c>
      <c r="B59" s="11">
        <v>58</v>
      </c>
      <c r="C59">
        <v>1148</v>
      </c>
      <c r="D59">
        <v>58</v>
      </c>
      <c r="E59" s="4">
        <v>44608</v>
      </c>
      <c r="F59" t="s">
        <v>99</v>
      </c>
      <c r="H59" t="s">
        <v>76</v>
      </c>
      <c r="I59" t="s">
        <v>321</v>
      </c>
      <c r="J59" t="s">
        <v>41</v>
      </c>
      <c r="K59" s="7">
        <v>0.81180555555555556</v>
      </c>
      <c r="L59">
        <v>3</v>
      </c>
      <c r="M59">
        <v>5</v>
      </c>
      <c r="N59">
        <v>0.6</v>
      </c>
      <c r="O59">
        <v>0</v>
      </c>
      <c r="P59">
        <v>2</v>
      </c>
      <c r="Q59">
        <v>0</v>
      </c>
      <c r="R59">
        <v>3</v>
      </c>
      <c r="S59">
        <v>3</v>
      </c>
      <c r="T59">
        <v>1</v>
      </c>
      <c r="U59">
        <v>0.6</v>
      </c>
      <c r="V59">
        <v>5</v>
      </c>
      <c r="W59">
        <v>5</v>
      </c>
      <c r="X59">
        <v>1</v>
      </c>
      <c r="Y59">
        <v>0</v>
      </c>
      <c r="Z59">
        <v>0</v>
      </c>
      <c r="AA59">
        <v>0</v>
      </c>
      <c r="AB59">
        <v>6</v>
      </c>
      <c r="AC59">
        <v>2</v>
      </c>
      <c r="AD59">
        <v>0</v>
      </c>
      <c r="AE59">
        <v>3</v>
      </c>
      <c r="AF59">
        <v>1</v>
      </c>
      <c r="AG59">
        <v>11</v>
      </c>
      <c r="AH59">
        <v>11.5</v>
      </c>
      <c r="AI59">
        <v>1</v>
      </c>
    </row>
    <row r="60" spans="1:35" ht="21" x14ac:dyDescent="0.3">
      <c r="A60" t="s">
        <v>552</v>
      </c>
      <c r="B60" s="11">
        <v>58</v>
      </c>
      <c r="D60">
        <v>59</v>
      </c>
      <c r="E60" s="4">
        <v>44616</v>
      </c>
      <c r="F60" t="s">
        <v>99</v>
      </c>
      <c r="G60" t="s">
        <v>37</v>
      </c>
      <c r="H60" t="s">
        <v>68</v>
      </c>
      <c r="I60" t="s">
        <v>322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  <c r="O60" t="s">
        <v>91</v>
      </c>
      <c r="P60" t="s">
        <v>91</v>
      </c>
      <c r="Q60" t="s">
        <v>91</v>
      </c>
      <c r="R60" t="s">
        <v>91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91</v>
      </c>
      <c r="Y60" t="s">
        <v>91</v>
      </c>
      <c r="Z60" t="s">
        <v>91</v>
      </c>
      <c r="AA60" t="s">
        <v>91</v>
      </c>
      <c r="AB60" t="s">
        <v>91</v>
      </c>
      <c r="AC60" t="s">
        <v>91</v>
      </c>
      <c r="AD60" t="s">
        <v>91</v>
      </c>
      <c r="AE60" t="s">
        <v>91</v>
      </c>
      <c r="AF60" t="s">
        <v>91</v>
      </c>
      <c r="AG60" t="s">
        <v>91</v>
      </c>
      <c r="AH60" t="s">
        <v>91</v>
      </c>
      <c r="AI60" t="s">
        <v>91</v>
      </c>
    </row>
    <row r="61" spans="1:35" ht="21" x14ac:dyDescent="0.3">
      <c r="A61" t="s">
        <v>552</v>
      </c>
      <c r="B61" s="11">
        <v>58</v>
      </c>
      <c r="D61">
        <v>60</v>
      </c>
      <c r="E61" s="4">
        <v>44617</v>
      </c>
      <c r="F61" t="s">
        <v>99</v>
      </c>
      <c r="H61" t="s">
        <v>74</v>
      </c>
      <c r="I61" t="s">
        <v>323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  <c r="O61" t="s">
        <v>91</v>
      </c>
      <c r="P61" t="s">
        <v>91</v>
      </c>
      <c r="Q61" t="s">
        <v>91</v>
      </c>
      <c r="R61" t="s">
        <v>91</v>
      </c>
      <c r="S61" t="s">
        <v>91</v>
      </c>
      <c r="T61" t="s">
        <v>91</v>
      </c>
      <c r="U61" t="s">
        <v>91</v>
      </c>
      <c r="V61" t="s">
        <v>91</v>
      </c>
      <c r="W61" t="s">
        <v>91</v>
      </c>
      <c r="X61" t="s">
        <v>91</v>
      </c>
      <c r="Y61" t="s">
        <v>91</v>
      </c>
      <c r="Z61" t="s">
        <v>91</v>
      </c>
      <c r="AA61" t="s">
        <v>91</v>
      </c>
      <c r="AB61" t="s">
        <v>91</v>
      </c>
      <c r="AC61" t="s">
        <v>91</v>
      </c>
      <c r="AD61" t="s">
        <v>91</v>
      </c>
      <c r="AE61" t="s">
        <v>91</v>
      </c>
      <c r="AF61" t="s">
        <v>91</v>
      </c>
      <c r="AG61" t="s">
        <v>91</v>
      </c>
      <c r="AH61" t="s">
        <v>91</v>
      </c>
      <c r="AI61" t="s">
        <v>91</v>
      </c>
    </row>
    <row r="62" spans="1:35" ht="21" x14ac:dyDescent="0.3">
      <c r="A62" t="s">
        <v>552</v>
      </c>
      <c r="B62" s="11">
        <v>58</v>
      </c>
      <c r="D62">
        <v>61</v>
      </c>
      <c r="E62" s="4">
        <v>44619</v>
      </c>
      <c r="F62" t="s">
        <v>99</v>
      </c>
      <c r="H62" t="s">
        <v>118</v>
      </c>
      <c r="I62" t="s">
        <v>324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  <c r="O62" t="s">
        <v>91</v>
      </c>
      <c r="P62" t="s">
        <v>91</v>
      </c>
      <c r="Q62" t="s">
        <v>91</v>
      </c>
      <c r="R62" t="s">
        <v>91</v>
      </c>
      <c r="S62" t="s">
        <v>91</v>
      </c>
      <c r="T62" t="s">
        <v>91</v>
      </c>
      <c r="U62" t="s">
        <v>91</v>
      </c>
      <c r="V62" t="s">
        <v>91</v>
      </c>
      <c r="W62" t="s">
        <v>91</v>
      </c>
      <c r="X62" t="s">
        <v>91</v>
      </c>
      <c r="Y62" t="s">
        <v>91</v>
      </c>
      <c r="Z62" t="s">
        <v>91</v>
      </c>
      <c r="AA62" t="s">
        <v>91</v>
      </c>
      <c r="AB62" t="s">
        <v>91</v>
      </c>
      <c r="AC62" t="s">
        <v>91</v>
      </c>
      <c r="AD62" t="s">
        <v>91</v>
      </c>
      <c r="AE62" t="s">
        <v>91</v>
      </c>
      <c r="AF62" t="s">
        <v>91</v>
      </c>
      <c r="AG62" t="s">
        <v>91</v>
      </c>
      <c r="AH62" t="s">
        <v>91</v>
      </c>
      <c r="AI62" t="s">
        <v>91</v>
      </c>
    </row>
    <row r="63" spans="1:35" ht="21" x14ac:dyDescent="0.3">
      <c r="A63" t="s">
        <v>552</v>
      </c>
      <c r="B63" s="11">
        <v>58</v>
      </c>
      <c r="D63">
        <v>62</v>
      </c>
      <c r="E63" s="4">
        <v>44622</v>
      </c>
      <c r="F63" t="s">
        <v>99</v>
      </c>
      <c r="H63" t="s">
        <v>96</v>
      </c>
      <c r="I63" t="s">
        <v>325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  <c r="O63" t="s">
        <v>91</v>
      </c>
      <c r="P63" t="s">
        <v>91</v>
      </c>
      <c r="Q63" t="s">
        <v>91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t="s">
        <v>91</v>
      </c>
      <c r="X63" t="s">
        <v>91</v>
      </c>
      <c r="Y63" t="s">
        <v>91</v>
      </c>
      <c r="Z63" t="s">
        <v>91</v>
      </c>
      <c r="AA63" t="s">
        <v>91</v>
      </c>
      <c r="AB63" t="s">
        <v>91</v>
      </c>
      <c r="AC63" t="s">
        <v>91</v>
      </c>
      <c r="AD63" t="s">
        <v>91</v>
      </c>
      <c r="AE63" t="s">
        <v>91</v>
      </c>
      <c r="AF63" t="s">
        <v>91</v>
      </c>
      <c r="AG63" t="s">
        <v>91</v>
      </c>
      <c r="AH63" t="s">
        <v>91</v>
      </c>
      <c r="AI63" t="s">
        <v>91</v>
      </c>
    </row>
    <row r="64" spans="1:35" ht="21" x14ac:dyDescent="0.3">
      <c r="A64" t="s">
        <v>552</v>
      </c>
      <c r="B64" s="11">
        <v>58</v>
      </c>
      <c r="D64">
        <v>63</v>
      </c>
      <c r="E64" s="4">
        <v>44624</v>
      </c>
      <c r="F64" t="s">
        <v>99</v>
      </c>
      <c r="H64" t="s">
        <v>110</v>
      </c>
      <c r="I64" t="s">
        <v>326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  <c r="O64" t="s">
        <v>91</v>
      </c>
      <c r="P64" t="s">
        <v>91</v>
      </c>
      <c r="Q64" t="s">
        <v>91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t="s">
        <v>91</v>
      </c>
      <c r="X64" t="s">
        <v>91</v>
      </c>
      <c r="Y64" t="s">
        <v>91</v>
      </c>
      <c r="Z64" t="s">
        <v>91</v>
      </c>
      <c r="AA64" t="s">
        <v>91</v>
      </c>
      <c r="AB64" t="s">
        <v>91</v>
      </c>
      <c r="AC64" t="s">
        <v>91</v>
      </c>
      <c r="AD64" t="s">
        <v>91</v>
      </c>
      <c r="AE64" t="s">
        <v>91</v>
      </c>
      <c r="AF64" t="s">
        <v>91</v>
      </c>
      <c r="AG64" t="s">
        <v>91</v>
      </c>
      <c r="AH64" t="s">
        <v>91</v>
      </c>
      <c r="AI64" t="s">
        <v>91</v>
      </c>
    </row>
    <row r="65" spans="1:35" ht="21" x14ac:dyDescent="0.3">
      <c r="A65" t="s">
        <v>552</v>
      </c>
      <c r="B65" s="11">
        <v>58</v>
      </c>
      <c r="D65">
        <v>64</v>
      </c>
      <c r="E65" s="4">
        <v>44626</v>
      </c>
      <c r="F65" t="s">
        <v>99</v>
      </c>
      <c r="G65" t="s">
        <v>37</v>
      </c>
      <c r="H65" t="s">
        <v>126</v>
      </c>
      <c r="I65" t="s">
        <v>327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  <c r="O65" t="s">
        <v>91</v>
      </c>
      <c r="P65" t="s">
        <v>91</v>
      </c>
      <c r="Q65" t="s">
        <v>91</v>
      </c>
      <c r="R65" t="s">
        <v>91</v>
      </c>
      <c r="S65" t="s">
        <v>91</v>
      </c>
      <c r="T65" t="s">
        <v>91</v>
      </c>
      <c r="U65" t="s">
        <v>91</v>
      </c>
      <c r="V65" t="s">
        <v>91</v>
      </c>
      <c r="W65" t="s">
        <v>91</v>
      </c>
      <c r="X65" t="s">
        <v>91</v>
      </c>
      <c r="Y65" t="s">
        <v>91</v>
      </c>
      <c r="Z65" t="s">
        <v>91</v>
      </c>
      <c r="AA65" t="s">
        <v>91</v>
      </c>
      <c r="AB65" t="s">
        <v>91</v>
      </c>
      <c r="AC65" t="s">
        <v>91</v>
      </c>
      <c r="AD65" t="s">
        <v>91</v>
      </c>
      <c r="AE65" t="s">
        <v>91</v>
      </c>
      <c r="AF65" t="s">
        <v>91</v>
      </c>
      <c r="AG65" t="s">
        <v>91</v>
      </c>
      <c r="AH65" t="s">
        <v>91</v>
      </c>
      <c r="AI65" t="s">
        <v>91</v>
      </c>
    </row>
    <row r="66" spans="1:35" ht="21" x14ac:dyDescent="0.3">
      <c r="A66" t="s">
        <v>552</v>
      </c>
      <c r="B66" s="11">
        <v>58</v>
      </c>
      <c r="D66">
        <v>65</v>
      </c>
      <c r="E66" s="4">
        <v>44628</v>
      </c>
      <c r="F66" t="s">
        <v>99</v>
      </c>
      <c r="G66" t="s">
        <v>37</v>
      </c>
      <c r="H66" t="s">
        <v>104</v>
      </c>
      <c r="I66" t="s">
        <v>328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  <c r="O66" t="s">
        <v>91</v>
      </c>
      <c r="P66" t="s">
        <v>91</v>
      </c>
      <c r="Q66" t="s">
        <v>91</v>
      </c>
      <c r="R66" t="s">
        <v>91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91</v>
      </c>
      <c r="Y66" t="s">
        <v>91</v>
      </c>
      <c r="Z66" t="s">
        <v>91</v>
      </c>
      <c r="AA66" t="s">
        <v>91</v>
      </c>
      <c r="AB66" t="s">
        <v>91</v>
      </c>
      <c r="AC66" t="s">
        <v>91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 t="s">
        <v>91</v>
      </c>
    </row>
    <row r="67" spans="1:35" ht="21" x14ac:dyDescent="0.3">
      <c r="A67" t="s">
        <v>552</v>
      </c>
      <c r="B67" s="11">
        <v>58</v>
      </c>
      <c r="D67">
        <v>66</v>
      </c>
      <c r="E67" s="4">
        <v>44629</v>
      </c>
      <c r="F67" t="s">
        <v>99</v>
      </c>
      <c r="G67" t="s">
        <v>37</v>
      </c>
      <c r="H67" t="s">
        <v>120</v>
      </c>
      <c r="I67" t="s">
        <v>290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  <c r="O67" t="s">
        <v>91</v>
      </c>
      <c r="P67" t="s">
        <v>91</v>
      </c>
      <c r="Q67" t="s">
        <v>91</v>
      </c>
      <c r="R67" t="s">
        <v>91</v>
      </c>
      <c r="S67" t="s">
        <v>91</v>
      </c>
      <c r="T67" t="s">
        <v>91</v>
      </c>
      <c r="U67" t="s">
        <v>91</v>
      </c>
      <c r="V67" t="s">
        <v>91</v>
      </c>
      <c r="W67" t="s">
        <v>91</v>
      </c>
      <c r="X67" t="s">
        <v>91</v>
      </c>
      <c r="Y67" t="s">
        <v>91</v>
      </c>
      <c r="Z67" t="s">
        <v>91</v>
      </c>
      <c r="AA67" t="s">
        <v>91</v>
      </c>
      <c r="AB67" t="s">
        <v>91</v>
      </c>
      <c r="AC67" t="s">
        <v>91</v>
      </c>
      <c r="AD67" t="s">
        <v>91</v>
      </c>
      <c r="AE67" t="s">
        <v>91</v>
      </c>
      <c r="AF67" t="s">
        <v>91</v>
      </c>
      <c r="AG67" t="s">
        <v>91</v>
      </c>
      <c r="AH67" t="s">
        <v>91</v>
      </c>
      <c r="AI67" t="s">
        <v>91</v>
      </c>
    </row>
    <row r="68" spans="1:35" ht="21" x14ac:dyDescent="0.3">
      <c r="A68" t="s">
        <v>552</v>
      </c>
      <c r="B68" s="11">
        <v>58</v>
      </c>
      <c r="D68">
        <v>67</v>
      </c>
      <c r="E68" s="4">
        <v>44631</v>
      </c>
      <c r="F68" t="s">
        <v>99</v>
      </c>
      <c r="H68" t="s">
        <v>92</v>
      </c>
      <c r="I68" t="s">
        <v>329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  <c r="O68" t="s">
        <v>91</v>
      </c>
      <c r="P68" t="s">
        <v>91</v>
      </c>
      <c r="Q68" t="s">
        <v>91</v>
      </c>
      <c r="R68" t="s">
        <v>91</v>
      </c>
      <c r="S68" t="s">
        <v>91</v>
      </c>
      <c r="T68" t="s">
        <v>91</v>
      </c>
      <c r="U68" t="s">
        <v>91</v>
      </c>
      <c r="V68" t="s">
        <v>91</v>
      </c>
      <c r="W68" t="s">
        <v>91</v>
      </c>
      <c r="X68" t="s">
        <v>91</v>
      </c>
      <c r="Y68" t="s">
        <v>91</v>
      </c>
      <c r="Z68" t="s">
        <v>91</v>
      </c>
      <c r="AA68" t="s">
        <v>91</v>
      </c>
      <c r="AB68" t="s">
        <v>91</v>
      </c>
      <c r="AC68" t="s">
        <v>91</v>
      </c>
      <c r="AD68" t="s">
        <v>91</v>
      </c>
      <c r="AE68" t="s">
        <v>91</v>
      </c>
      <c r="AF68" t="s">
        <v>91</v>
      </c>
      <c r="AG68" t="s">
        <v>91</v>
      </c>
      <c r="AH68" t="s">
        <v>91</v>
      </c>
      <c r="AI68" t="s">
        <v>91</v>
      </c>
    </row>
    <row r="69" spans="1:35" ht="21" x14ac:dyDescent="0.3">
      <c r="A69" t="s">
        <v>552</v>
      </c>
      <c r="B69" s="11">
        <v>58</v>
      </c>
      <c r="D69">
        <v>68</v>
      </c>
      <c r="E69" s="4">
        <v>44633</v>
      </c>
      <c r="F69" t="s">
        <v>99</v>
      </c>
      <c r="H69" t="s">
        <v>62</v>
      </c>
      <c r="I69" t="s">
        <v>330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  <c r="O69" t="s">
        <v>91</v>
      </c>
      <c r="P69" t="s">
        <v>91</v>
      </c>
      <c r="Q69" t="s">
        <v>91</v>
      </c>
      <c r="R69" t="s">
        <v>91</v>
      </c>
      <c r="S69" t="s">
        <v>91</v>
      </c>
      <c r="T69" t="s">
        <v>91</v>
      </c>
      <c r="U69" t="s">
        <v>91</v>
      </c>
      <c r="V69" t="s">
        <v>91</v>
      </c>
      <c r="W69" t="s">
        <v>91</v>
      </c>
      <c r="X69" t="s">
        <v>91</v>
      </c>
      <c r="Y69" t="s">
        <v>91</v>
      </c>
      <c r="Z69" t="s">
        <v>91</v>
      </c>
      <c r="AA69" t="s">
        <v>91</v>
      </c>
      <c r="AB69" t="s">
        <v>91</v>
      </c>
      <c r="AC69" t="s">
        <v>91</v>
      </c>
      <c r="AD69" t="s">
        <v>91</v>
      </c>
      <c r="AE69" t="s">
        <v>91</v>
      </c>
      <c r="AF69" t="s">
        <v>91</v>
      </c>
      <c r="AG69" t="s">
        <v>91</v>
      </c>
      <c r="AH69" t="s">
        <v>91</v>
      </c>
      <c r="AI69" t="s">
        <v>91</v>
      </c>
    </row>
    <row r="70" spans="1:35" ht="21" x14ac:dyDescent="0.3">
      <c r="A70" t="s">
        <v>552</v>
      </c>
      <c r="B70" s="11">
        <v>58</v>
      </c>
      <c r="D70">
        <v>69</v>
      </c>
      <c r="E70" s="4">
        <v>44635</v>
      </c>
      <c r="F70" t="s">
        <v>99</v>
      </c>
      <c r="G70" t="s">
        <v>37</v>
      </c>
      <c r="H70" t="s">
        <v>74</v>
      </c>
      <c r="I70" t="s">
        <v>331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  <c r="O70" t="s">
        <v>91</v>
      </c>
      <c r="P70" t="s">
        <v>91</v>
      </c>
      <c r="Q70" t="s">
        <v>91</v>
      </c>
      <c r="R70" t="s">
        <v>91</v>
      </c>
      <c r="S70" t="s">
        <v>91</v>
      </c>
      <c r="T70" t="s">
        <v>91</v>
      </c>
      <c r="U70" t="s">
        <v>91</v>
      </c>
      <c r="V70" t="s">
        <v>91</v>
      </c>
      <c r="W70" t="s">
        <v>91</v>
      </c>
      <c r="X70" t="s">
        <v>91</v>
      </c>
      <c r="Y70" t="s">
        <v>91</v>
      </c>
      <c r="Z70" t="s">
        <v>91</v>
      </c>
      <c r="AA70" t="s">
        <v>91</v>
      </c>
      <c r="AB70" t="s">
        <v>91</v>
      </c>
      <c r="AC70" t="s">
        <v>91</v>
      </c>
      <c r="AD70" t="s">
        <v>91</v>
      </c>
      <c r="AE70" t="s">
        <v>91</v>
      </c>
      <c r="AF70" t="s">
        <v>91</v>
      </c>
      <c r="AG70" t="s">
        <v>91</v>
      </c>
      <c r="AH70" t="s">
        <v>91</v>
      </c>
      <c r="AI70" t="s">
        <v>91</v>
      </c>
    </row>
    <row r="71" spans="1:35" ht="21" x14ac:dyDescent="0.3">
      <c r="A71" t="s">
        <v>552</v>
      </c>
      <c r="B71" s="11">
        <v>58</v>
      </c>
      <c r="D71">
        <v>70</v>
      </c>
      <c r="E71" s="4">
        <v>44636</v>
      </c>
      <c r="F71" t="s">
        <v>99</v>
      </c>
      <c r="G71" t="s">
        <v>37</v>
      </c>
      <c r="H71" t="s">
        <v>76</v>
      </c>
      <c r="I71" t="s">
        <v>332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  <c r="O71" t="s">
        <v>91</v>
      </c>
      <c r="P71" t="s">
        <v>91</v>
      </c>
      <c r="Q71" t="s">
        <v>91</v>
      </c>
      <c r="R71" t="s">
        <v>91</v>
      </c>
      <c r="S71" t="s">
        <v>91</v>
      </c>
      <c r="T71" t="s">
        <v>91</v>
      </c>
      <c r="U71" t="s">
        <v>91</v>
      </c>
      <c r="V71" t="s">
        <v>91</v>
      </c>
      <c r="W71" t="s">
        <v>91</v>
      </c>
      <c r="X71" t="s">
        <v>91</v>
      </c>
      <c r="Y71" t="s">
        <v>91</v>
      </c>
      <c r="Z71" t="s">
        <v>91</v>
      </c>
      <c r="AA71" t="s">
        <v>91</v>
      </c>
      <c r="AB71" t="s">
        <v>91</v>
      </c>
      <c r="AC71" t="s">
        <v>91</v>
      </c>
      <c r="AD71" t="s">
        <v>91</v>
      </c>
      <c r="AE71" t="s">
        <v>91</v>
      </c>
      <c r="AF71" t="s">
        <v>91</v>
      </c>
      <c r="AG71" t="s">
        <v>91</v>
      </c>
      <c r="AH71" t="s">
        <v>91</v>
      </c>
      <c r="AI71" t="s">
        <v>91</v>
      </c>
    </row>
    <row r="72" spans="1:35" ht="21" x14ac:dyDescent="0.3">
      <c r="A72" t="s">
        <v>552</v>
      </c>
      <c r="B72" s="11">
        <v>58</v>
      </c>
      <c r="D72">
        <v>71</v>
      </c>
      <c r="E72" s="4">
        <v>44638</v>
      </c>
      <c r="F72" t="s">
        <v>99</v>
      </c>
      <c r="H72" t="s">
        <v>82</v>
      </c>
      <c r="I72" t="s">
        <v>333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  <c r="O72" t="s">
        <v>91</v>
      </c>
      <c r="P72" t="s">
        <v>91</v>
      </c>
      <c r="Q72" t="s">
        <v>91</v>
      </c>
      <c r="R72" t="s">
        <v>91</v>
      </c>
      <c r="S72" t="s">
        <v>91</v>
      </c>
      <c r="T72" t="s">
        <v>91</v>
      </c>
      <c r="U72" t="s">
        <v>91</v>
      </c>
      <c r="V72" t="s">
        <v>91</v>
      </c>
      <c r="W72" t="s">
        <v>91</v>
      </c>
      <c r="X72" t="s">
        <v>91</v>
      </c>
      <c r="Y72" t="s">
        <v>91</v>
      </c>
      <c r="Z72" t="s">
        <v>91</v>
      </c>
      <c r="AA72" t="s">
        <v>91</v>
      </c>
      <c r="AB72" t="s">
        <v>91</v>
      </c>
      <c r="AC72" t="s">
        <v>91</v>
      </c>
      <c r="AD72" t="s">
        <v>91</v>
      </c>
      <c r="AE72" t="s">
        <v>91</v>
      </c>
      <c r="AF72" t="s">
        <v>91</v>
      </c>
      <c r="AG72" t="s">
        <v>91</v>
      </c>
      <c r="AH72" t="s">
        <v>91</v>
      </c>
      <c r="AI72" t="s">
        <v>91</v>
      </c>
    </row>
    <row r="73" spans="1:35" ht="21" x14ac:dyDescent="0.3">
      <c r="A73" t="s">
        <v>552</v>
      </c>
      <c r="B73" s="11">
        <v>58</v>
      </c>
      <c r="D73">
        <v>72</v>
      </c>
      <c r="E73" s="4">
        <v>44640</v>
      </c>
      <c r="F73" t="s">
        <v>99</v>
      </c>
      <c r="G73" t="s">
        <v>37</v>
      </c>
      <c r="H73" t="s">
        <v>66</v>
      </c>
      <c r="I73" t="s">
        <v>334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  <c r="O73" t="s">
        <v>91</v>
      </c>
      <c r="P73" t="s">
        <v>91</v>
      </c>
      <c r="Q73" t="s">
        <v>91</v>
      </c>
      <c r="R73" t="s">
        <v>91</v>
      </c>
      <c r="S73" t="s">
        <v>91</v>
      </c>
      <c r="T73" t="s">
        <v>91</v>
      </c>
      <c r="U73" t="s">
        <v>91</v>
      </c>
      <c r="V73" t="s">
        <v>91</v>
      </c>
      <c r="W73" t="s">
        <v>91</v>
      </c>
      <c r="X73" t="s">
        <v>91</v>
      </c>
      <c r="Y73" t="s">
        <v>91</v>
      </c>
      <c r="Z73" t="s">
        <v>91</v>
      </c>
      <c r="AA73" t="s">
        <v>91</v>
      </c>
      <c r="AB73" t="s">
        <v>91</v>
      </c>
      <c r="AC73" t="s">
        <v>91</v>
      </c>
      <c r="AD73" t="s">
        <v>91</v>
      </c>
      <c r="AE73" t="s">
        <v>91</v>
      </c>
      <c r="AF73" t="s">
        <v>91</v>
      </c>
      <c r="AG73" t="s">
        <v>91</v>
      </c>
      <c r="AH73" t="s">
        <v>91</v>
      </c>
      <c r="AI73" t="s">
        <v>91</v>
      </c>
    </row>
    <row r="74" spans="1:35" ht="21" x14ac:dyDescent="0.3">
      <c r="A74" t="s">
        <v>552</v>
      </c>
      <c r="B74" s="11">
        <v>58</v>
      </c>
      <c r="D74">
        <v>73</v>
      </c>
      <c r="E74" s="4">
        <v>44643</v>
      </c>
      <c r="F74" t="s">
        <v>99</v>
      </c>
      <c r="G74" t="s">
        <v>37</v>
      </c>
      <c r="H74" t="s">
        <v>80</v>
      </c>
      <c r="I74" t="s">
        <v>335</v>
      </c>
      <c r="J74" t="s">
        <v>91</v>
      </c>
      <c r="K74" t="s">
        <v>91</v>
      </c>
      <c r="L74" t="s">
        <v>91</v>
      </c>
      <c r="M74" t="s">
        <v>91</v>
      </c>
      <c r="N74" t="s">
        <v>91</v>
      </c>
      <c r="O74" t="s">
        <v>91</v>
      </c>
      <c r="P74" t="s">
        <v>91</v>
      </c>
      <c r="Q74" t="s">
        <v>91</v>
      </c>
      <c r="R74" t="s">
        <v>91</v>
      </c>
      <c r="S74" t="s">
        <v>91</v>
      </c>
      <c r="T74" t="s">
        <v>91</v>
      </c>
      <c r="U74" t="s">
        <v>91</v>
      </c>
      <c r="V74" t="s">
        <v>91</v>
      </c>
      <c r="W74" t="s">
        <v>91</v>
      </c>
      <c r="X74" t="s">
        <v>91</v>
      </c>
      <c r="Y74" t="s">
        <v>91</v>
      </c>
      <c r="Z74" t="s">
        <v>91</v>
      </c>
      <c r="AA74" t="s">
        <v>91</v>
      </c>
      <c r="AB74" t="s">
        <v>91</v>
      </c>
      <c r="AC74" t="s">
        <v>91</v>
      </c>
      <c r="AD74" t="s">
        <v>91</v>
      </c>
      <c r="AE74" t="s">
        <v>91</v>
      </c>
      <c r="AF74" t="s">
        <v>91</v>
      </c>
      <c r="AG74" t="s">
        <v>91</v>
      </c>
      <c r="AH74" t="s">
        <v>91</v>
      </c>
      <c r="AI74" t="s">
        <v>91</v>
      </c>
    </row>
    <row r="75" spans="1:35" ht="21" x14ac:dyDescent="0.3">
      <c r="A75" t="s">
        <v>552</v>
      </c>
      <c r="B75" s="11">
        <v>59</v>
      </c>
      <c r="C75">
        <v>1149</v>
      </c>
      <c r="D75">
        <v>74</v>
      </c>
      <c r="E75" s="4">
        <v>44644</v>
      </c>
      <c r="F75" t="s">
        <v>99</v>
      </c>
      <c r="G75" t="s">
        <v>37</v>
      </c>
      <c r="H75" t="s">
        <v>34</v>
      </c>
      <c r="I75" t="s">
        <v>336</v>
      </c>
      <c r="J75" t="s">
        <v>41</v>
      </c>
      <c r="K75" s="9">
        <v>1.2527777777777778</v>
      </c>
      <c r="L75">
        <v>6</v>
      </c>
      <c r="M75">
        <v>10</v>
      </c>
      <c r="N75">
        <v>0.6</v>
      </c>
      <c r="O75">
        <v>1</v>
      </c>
      <c r="P75">
        <v>3</v>
      </c>
      <c r="Q75">
        <v>0.33300000000000002</v>
      </c>
      <c r="R75">
        <v>5</v>
      </c>
      <c r="S75">
        <v>7</v>
      </c>
      <c r="T75">
        <v>0.71399999999999997</v>
      </c>
      <c r="U75">
        <v>0.65</v>
      </c>
      <c r="V75">
        <v>4</v>
      </c>
      <c r="W75">
        <v>4</v>
      </c>
      <c r="X75">
        <v>1</v>
      </c>
      <c r="Y75">
        <v>0</v>
      </c>
      <c r="Z75">
        <v>4</v>
      </c>
      <c r="AA75">
        <v>4</v>
      </c>
      <c r="AB75">
        <v>13</v>
      </c>
      <c r="AC75">
        <v>1</v>
      </c>
      <c r="AD75">
        <v>1</v>
      </c>
      <c r="AE75">
        <v>3</v>
      </c>
      <c r="AF75">
        <v>0</v>
      </c>
      <c r="AG75">
        <v>17</v>
      </c>
      <c r="AH75">
        <v>21.4</v>
      </c>
      <c r="AI75">
        <v>-5</v>
      </c>
    </row>
    <row r="76" spans="1:35" ht="21" x14ac:dyDescent="0.3">
      <c r="A76" t="s">
        <v>552</v>
      </c>
      <c r="B76" s="11">
        <v>60</v>
      </c>
      <c r="C76">
        <v>1150</v>
      </c>
      <c r="D76">
        <v>75</v>
      </c>
      <c r="E76" s="4">
        <v>44647</v>
      </c>
      <c r="F76" t="s">
        <v>99</v>
      </c>
      <c r="H76" t="s">
        <v>94</v>
      </c>
      <c r="I76" t="s">
        <v>337</v>
      </c>
      <c r="J76" t="s">
        <v>41</v>
      </c>
      <c r="K76" s="9">
        <v>1.5062500000000001</v>
      </c>
      <c r="L76">
        <v>9</v>
      </c>
      <c r="M76">
        <v>15</v>
      </c>
      <c r="N76">
        <v>0.6</v>
      </c>
      <c r="O76">
        <v>1</v>
      </c>
      <c r="P76">
        <v>3</v>
      </c>
      <c r="Q76">
        <v>0.33300000000000002</v>
      </c>
      <c r="R76">
        <v>8</v>
      </c>
      <c r="S76">
        <v>12</v>
      </c>
      <c r="T76">
        <v>0.66700000000000004</v>
      </c>
      <c r="U76">
        <v>0.63300000000000001</v>
      </c>
      <c r="V76">
        <v>0</v>
      </c>
      <c r="W76">
        <v>0</v>
      </c>
      <c r="Y76">
        <v>1</v>
      </c>
      <c r="Z76">
        <v>3</v>
      </c>
      <c r="AA76">
        <v>4</v>
      </c>
      <c r="AB76">
        <v>14</v>
      </c>
      <c r="AC76">
        <v>1</v>
      </c>
      <c r="AD76">
        <v>1</v>
      </c>
      <c r="AE76">
        <v>1</v>
      </c>
      <c r="AF76">
        <v>1</v>
      </c>
      <c r="AG76">
        <v>19</v>
      </c>
      <c r="AH76">
        <v>23.8</v>
      </c>
      <c r="AI76">
        <v>25</v>
      </c>
    </row>
    <row r="77" spans="1:35" ht="21" x14ac:dyDescent="0.3">
      <c r="A77" t="s">
        <v>552</v>
      </c>
      <c r="B77" s="11">
        <v>61</v>
      </c>
      <c r="C77">
        <v>1151</v>
      </c>
      <c r="D77">
        <v>76</v>
      </c>
      <c r="E77" s="4">
        <v>44650</v>
      </c>
      <c r="F77" t="s">
        <v>99</v>
      </c>
      <c r="G77" t="s">
        <v>37</v>
      </c>
      <c r="H77" t="s">
        <v>33</v>
      </c>
      <c r="I77" t="s">
        <v>338</v>
      </c>
      <c r="J77" t="s">
        <v>41</v>
      </c>
      <c r="K77" s="9">
        <v>1.367361111111111</v>
      </c>
      <c r="L77">
        <v>6</v>
      </c>
      <c r="M77">
        <v>9</v>
      </c>
      <c r="N77">
        <v>0.66700000000000004</v>
      </c>
      <c r="O77">
        <v>0</v>
      </c>
      <c r="P77">
        <v>2</v>
      </c>
      <c r="Q77">
        <v>0</v>
      </c>
      <c r="R77">
        <v>6</v>
      </c>
      <c r="S77">
        <v>7</v>
      </c>
      <c r="T77">
        <v>0.85699999999999998</v>
      </c>
      <c r="U77">
        <v>0.66700000000000004</v>
      </c>
      <c r="V77">
        <v>3</v>
      </c>
      <c r="W77">
        <v>4</v>
      </c>
      <c r="X77">
        <v>0.75</v>
      </c>
      <c r="Y77">
        <v>2</v>
      </c>
      <c r="Z77">
        <v>1</v>
      </c>
      <c r="AA77">
        <v>3</v>
      </c>
      <c r="AB77">
        <v>8</v>
      </c>
      <c r="AC77">
        <v>1</v>
      </c>
      <c r="AD77">
        <v>0</v>
      </c>
      <c r="AE77">
        <v>3</v>
      </c>
      <c r="AF77">
        <v>3</v>
      </c>
      <c r="AG77">
        <v>15</v>
      </c>
      <c r="AH77">
        <v>14.8</v>
      </c>
      <c r="AI77">
        <v>2</v>
      </c>
    </row>
    <row r="78" spans="1:35" ht="21" x14ac:dyDescent="0.3">
      <c r="A78" t="s">
        <v>552</v>
      </c>
      <c r="B78" s="11">
        <v>62</v>
      </c>
      <c r="C78">
        <v>1152</v>
      </c>
      <c r="D78">
        <v>77</v>
      </c>
      <c r="E78" s="4">
        <v>44652</v>
      </c>
      <c r="F78" t="s">
        <v>99</v>
      </c>
      <c r="G78" t="s">
        <v>37</v>
      </c>
      <c r="H78" t="s">
        <v>42</v>
      </c>
      <c r="I78" t="s">
        <v>339</v>
      </c>
      <c r="J78" t="s">
        <v>41</v>
      </c>
      <c r="K78" s="9">
        <v>1.325</v>
      </c>
      <c r="L78">
        <v>2</v>
      </c>
      <c r="M78">
        <v>6</v>
      </c>
      <c r="N78">
        <v>0.33300000000000002</v>
      </c>
      <c r="O78">
        <v>1</v>
      </c>
      <c r="P78">
        <v>3</v>
      </c>
      <c r="Q78">
        <v>0.33300000000000002</v>
      </c>
      <c r="R78">
        <v>1</v>
      </c>
      <c r="S78">
        <v>3</v>
      </c>
      <c r="T78">
        <v>0.33300000000000002</v>
      </c>
      <c r="U78">
        <v>0.41699999999999998</v>
      </c>
      <c r="V78">
        <v>3</v>
      </c>
      <c r="W78">
        <v>5</v>
      </c>
      <c r="X78">
        <v>0.6</v>
      </c>
      <c r="Y78">
        <v>0</v>
      </c>
      <c r="Z78">
        <v>1</v>
      </c>
      <c r="AA78">
        <v>1</v>
      </c>
      <c r="AB78">
        <v>11</v>
      </c>
      <c r="AC78">
        <v>3</v>
      </c>
      <c r="AD78">
        <v>0</v>
      </c>
      <c r="AE78">
        <v>2</v>
      </c>
      <c r="AF78">
        <v>3</v>
      </c>
      <c r="AG78">
        <v>8</v>
      </c>
      <c r="AH78">
        <v>11.6</v>
      </c>
      <c r="AI78">
        <v>-11</v>
      </c>
    </row>
    <row r="79" spans="1:35" ht="21" x14ac:dyDescent="0.3">
      <c r="A79" t="s">
        <v>552</v>
      </c>
      <c r="B79" s="11">
        <v>63</v>
      </c>
      <c r="C79">
        <v>1153</v>
      </c>
      <c r="D79">
        <v>78</v>
      </c>
      <c r="E79" s="4">
        <v>44654</v>
      </c>
      <c r="F79" t="s">
        <v>99</v>
      </c>
      <c r="G79" t="s">
        <v>37</v>
      </c>
      <c r="H79" t="s">
        <v>68</v>
      </c>
      <c r="I79" t="s">
        <v>340</v>
      </c>
      <c r="J79" t="s">
        <v>41</v>
      </c>
      <c r="K79" s="9">
        <v>1.2694444444444444</v>
      </c>
      <c r="L79">
        <v>5</v>
      </c>
      <c r="M79">
        <v>11</v>
      </c>
      <c r="N79">
        <v>0.45500000000000002</v>
      </c>
      <c r="O79">
        <v>0</v>
      </c>
      <c r="P79">
        <v>3</v>
      </c>
      <c r="Q79">
        <v>0</v>
      </c>
      <c r="R79">
        <v>5</v>
      </c>
      <c r="S79">
        <v>8</v>
      </c>
      <c r="T79">
        <v>0.625</v>
      </c>
      <c r="U79">
        <v>0.45500000000000002</v>
      </c>
      <c r="V79">
        <v>1</v>
      </c>
      <c r="W79">
        <v>2</v>
      </c>
      <c r="X79">
        <v>0.5</v>
      </c>
      <c r="Y79">
        <v>0</v>
      </c>
      <c r="Z79">
        <v>2</v>
      </c>
      <c r="AA79">
        <v>2</v>
      </c>
      <c r="AB79">
        <v>9</v>
      </c>
      <c r="AC79">
        <v>3</v>
      </c>
      <c r="AD79">
        <v>0</v>
      </c>
      <c r="AE79">
        <v>2</v>
      </c>
      <c r="AF79">
        <v>5</v>
      </c>
      <c r="AG79">
        <v>11</v>
      </c>
      <c r="AH79">
        <v>10.8</v>
      </c>
      <c r="AI79">
        <v>-10</v>
      </c>
    </row>
    <row r="80" spans="1:35" ht="21" x14ac:dyDescent="0.3">
      <c r="A80" t="s">
        <v>552</v>
      </c>
      <c r="B80" s="11">
        <v>64</v>
      </c>
      <c r="C80">
        <v>1154</v>
      </c>
      <c r="D80">
        <v>79</v>
      </c>
      <c r="E80" s="4">
        <v>44656</v>
      </c>
      <c r="F80" t="s">
        <v>99</v>
      </c>
      <c r="H80" t="s">
        <v>62</v>
      </c>
      <c r="I80" t="s">
        <v>341</v>
      </c>
      <c r="J80" t="s">
        <v>41</v>
      </c>
      <c r="K80" s="7">
        <v>0.99375000000000002</v>
      </c>
      <c r="L80">
        <v>3</v>
      </c>
      <c r="M80">
        <v>7</v>
      </c>
      <c r="N80">
        <v>0.42899999999999999</v>
      </c>
      <c r="O80">
        <v>0</v>
      </c>
      <c r="P80">
        <v>2</v>
      </c>
      <c r="Q80">
        <v>0</v>
      </c>
      <c r="R80">
        <v>3</v>
      </c>
      <c r="S80">
        <v>5</v>
      </c>
      <c r="T80">
        <v>0.6</v>
      </c>
      <c r="U80">
        <v>0.42899999999999999</v>
      </c>
      <c r="V80">
        <v>0</v>
      </c>
      <c r="W80">
        <v>0</v>
      </c>
      <c r="Y80">
        <v>2</v>
      </c>
      <c r="Z80">
        <v>2</v>
      </c>
      <c r="AA80">
        <v>4</v>
      </c>
      <c r="AB80">
        <v>12</v>
      </c>
      <c r="AC80">
        <v>2</v>
      </c>
      <c r="AD80">
        <v>0</v>
      </c>
      <c r="AE80">
        <v>1</v>
      </c>
      <c r="AF80">
        <v>1</v>
      </c>
      <c r="AG80">
        <v>6</v>
      </c>
      <c r="AH80">
        <v>13.3</v>
      </c>
      <c r="AI80">
        <v>22</v>
      </c>
    </row>
    <row r="81" spans="1:35" ht="21" x14ac:dyDescent="0.3">
      <c r="A81" t="s">
        <v>552</v>
      </c>
      <c r="B81" s="11">
        <v>64</v>
      </c>
      <c r="D81">
        <v>80</v>
      </c>
      <c r="E81" s="4">
        <v>44657</v>
      </c>
      <c r="F81" t="s">
        <v>99</v>
      </c>
      <c r="G81" t="s">
        <v>37</v>
      </c>
      <c r="H81" t="s">
        <v>64</v>
      </c>
      <c r="I81" t="s">
        <v>342</v>
      </c>
      <c r="J81" t="s">
        <v>210</v>
      </c>
      <c r="K81" t="s">
        <v>210</v>
      </c>
      <c r="L81" t="s">
        <v>210</v>
      </c>
      <c r="M81" t="s">
        <v>210</v>
      </c>
      <c r="N81" t="s">
        <v>210</v>
      </c>
      <c r="O81" t="s">
        <v>210</v>
      </c>
      <c r="P81" t="s">
        <v>210</v>
      </c>
      <c r="Q81" t="s">
        <v>210</v>
      </c>
      <c r="R81" t="s">
        <v>210</v>
      </c>
      <c r="S81" t="s">
        <v>210</v>
      </c>
      <c r="T81" t="s">
        <v>210</v>
      </c>
      <c r="U81" t="s">
        <v>210</v>
      </c>
      <c r="V81" t="s">
        <v>210</v>
      </c>
      <c r="W81" t="s">
        <v>210</v>
      </c>
      <c r="X81" t="s">
        <v>210</v>
      </c>
      <c r="Y81" t="s">
        <v>210</v>
      </c>
      <c r="Z81" t="s">
        <v>210</v>
      </c>
      <c r="AA81" t="s">
        <v>210</v>
      </c>
      <c r="AB81" t="s">
        <v>210</v>
      </c>
      <c r="AC81" t="s">
        <v>210</v>
      </c>
      <c r="AD81" t="s">
        <v>210</v>
      </c>
      <c r="AE81" t="s">
        <v>210</v>
      </c>
      <c r="AF81" t="s">
        <v>210</v>
      </c>
      <c r="AG81" t="s">
        <v>210</v>
      </c>
      <c r="AH81" t="s">
        <v>210</v>
      </c>
      <c r="AI81" t="s">
        <v>210</v>
      </c>
    </row>
    <row r="82" spans="1:35" ht="21" x14ac:dyDescent="0.3">
      <c r="A82" t="s">
        <v>552</v>
      </c>
      <c r="B82" s="11">
        <v>65</v>
      </c>
      <c r="C82">
        <v>1155</v>
      </c>
      <c r="D82">
        <v>81</v>
      </c>
      <c r="E82" s="4">
        <v>44659</v>
      </c>
      <c r="F82" t="s">
        <v>99</v>
      </c>
      <c r="G82" t="s">
        <v>37</v>
      </c>
      <c r="H82" t="s">
        <v>118</v>
      </c>
      <c r="I82" t="s">
        <v>343</v>
      </c>
      <c r="J82" t="s">
        <v>41</v>
      </c>
      <c r="K82" s="9">
        <v>1.5673611111111112</v>
      </c>
      <c r="L82">
        <v>7</v>
      </c>
      <c r="M82">
        <v>11</v>
      </c>
      <c r="N82">
        <v>0.63600000000000001</v>
      </c>
      <c r="O82">
        <v>0</v>
      </c>
      <c r="P82">
        <v>1</v>
      </c>
      <c r="Q82">
        <v>0</v>
      </c>
      <c r="R82">
        <v>7</v>
      </c>
      <c r="S82">
        <v>10</v>
      </c>
      <c r="T82">
        <v>0.7</v>
      </c>
      <c r="U82">
        <v>0.63600000000000001</v>
      </c>
      <c r="V82">
        <v>2</v>
      </c>
      <c r="W82">
        <v>2</v>
      </c>
      <c r="X82">
        <v>1</v>
      </c>
      <c r="Y82">
        <v>1</v>
      </c>
      <c r="Z82">
        <v>5</v>
      </c>
      <c r="AA82">
        <v>6</v>
      </c>
      <c r="AB82">
        <v>16</v>
      </c>
      <c r="AC82">
        <v>2</v>
      </c>
      <c r="AD82">
        <v>0</v>
      </c>
      <c r="AE82">
        <v>3</v>
      </c>
      <c r="AF82">
        <v>3</v>
      </c>
      <c r="AG82">
        <v>16</v>
      </c>
      <c r="AH82">
        <v>22.3</v>
      </c>
      <c r="AI82">
        <v>18</v>
      </c>
    </row>
    <row r="83" spans="1:35" ht="21" x14ac:dyDescent="0.3">
      <c r="A83" t="s">
        <v>552</v>
      </c>
      <c r="B83" s="11">
        <v>65</v>
      </c>
      <c r="D83">
        <v>82</v>
      </c>
      <c r="E83" s="4">
        <v>44661</v>
      </c>
      <c r="F83" t="s">
        <v>99</v>
      </c>
      <c r="H83" t="s">
        <v>66</v>
      </c>
      <c r="I83" t="s">
        <v>344</v>
      </c>
      <c r="J83" t="s">
        <v>210</v>
      </c>
      <c r="K83" t="s">
        <v>210</v>
      </c>
      <c r="L83" t="s">
        <v>210</v>
      </c>
      <c r="M83" t="s">
        <v>210</v>
      </c>
      <c r="N83" t="s">
        <v>210</v>
      </c>
      <c r="O83" t="s">
        <v>210</v>
      </c>
      <c r="P83" t="s">
        <v>210</v>
      </c>
      <c r="Q83" t="s">
        <v>210</v>
      </c>
      <c r="R83" t="s">
        <v>210</v>
      </c>
      <c r="S83" t="s">
        <v>210</v>
      </c>
      <c r="T83" t="s">
        <v>210</v>
      </c>
      <c r="U83" t="s">
        <v>210</v>
      </c>
      <c r="V83" t="s">
        <v>210</v>
      </c>
      <c r="W83" t="s">
        <v>210</v>
      </c>
      <c r="X83" t="s">
        <v>210</v>
      </c>
      <c r="Y83" t="s">
        <v>210</v>
      </c>
      <c r="Z83" t="s">
        <v>210</v>
      </c>
      <c r="AA83" t="s">
        <v>210</v>
      </c>
      <c r="AB83" t="s">
        <v>210</v>
      </c>
      <c r="AC83" t="s">
        <v>210</v>
      </c>
      <c r="AD83" t="s">
        <v>210</v>
      </c>
      <c r="AE83" t="s">
        <v>210</v>
      </c>
      <c r="AF83" t="s">
        <v>210</v>
      </c>
      <c r="AG83" t="s">
        <v>210</v>
      </c>
      <c r="AH83" t="s">
        <v>210</v>
      </c>
      <c r="AI83" t="s">
        <v>210</v>
      </c>
    </row>
    <row r="84" spans="1:35" ht="21" x14ac:dyDescent="0.3">
      <c r="A84" t="s">
        <v>552</v>
      </c>
      <c r="B84" s="11">
        <v>1</v>
      </c>
      <c r="C84">
        <v>130</v>
      </c>
      <c r="D84">
        <v>1</v>
      </c>
      <c r="E84" s="4">
        <v>44668</v>
      </c>
      <c r="F84" t="s">
        <v>99</v>
      </c>
      <c r="H84" t="s">
        <v>74</v>
      </c>
      <c r="I84" t="s">
        <v>345</v>
      </c>
      <c r="J84" t="s">
        <v>41</v>
      </c>
      <c r="K84" s="9">
        <v>1.461111111111111</v>
      </c>
      <c r="L84">
        <v>12</v>
      </c>
      <c r="M84">
        <v>16</v>
      </c>
      <c r="N84">
        <v>0.75</v>
      </c>
      <c r="O84">
        <v>4</v>
      </c>
      <c r="P84">
        <v>6</v>
      </c>
      <c r="Q84">
        <v>0.66700000000000004</v>
      </c>
      <c r="R84">
        <v>8</v>
      </c>
      <c r="S84">
        <v>10</v>
      </c>
      <c r="T84">
        <v>0.8</v>
      </c>
      <c r="U84">
        <v>0.875</v>
      </c>
      <c r="V84">
        <v>2</v>
      </c>
      <c r="W84">
        <v>2</v>
      </c>
      <c r="X84">
        <v>1</v>
      </c>
      <c r="Y84">
        <v>0</v>
      </c>
      <c r="Z84">
        <v>7</v>
      </c>
      <c r="AA84">
        <v>7</v>
      </c>
      <c r="AB84">
        <v>10</v>
      </c>
      <c r="AC84">
        <v>3</v>
      </c>
      <c r="AD84">
        <v>1</v>
      </c>
      <c r="AE84">
        <v>2</v>
      </c>
      <c r="AF84">
        <v>2</v>
      </c>
      <c r="AG84">
        <v>30</v>
      </c>
      <c r="AH84">
        <v>33.6</v>
      </c>
      <c r="AI84">
        <v>20</v>
      </c>
    </row>
    <row r="85" spans="1:35" ht="21" x14ac:dyDescent="0.3">
      <c r="A85" t="s">
        <v>552</v>
      </c>
      <c r="B85" s="11">
        <v>2</v>
      </c>
      <c r="C85">
        <v>131</v>
      </c>
      <c r="D85">
        <v>2</v>
      </c>
      <c r="E85" s="4">
        <v>44670</v>
      </c>
      <c r="F85" t="s">
        <v>99</v>
      </c>
      <c r="H85" t="s">
        <v>74</v>
      </c>
      <c r="I85" t="s">
        <v>346</v>
      </c>
      <c r="J85" t="s">
        <v>41</v>
      </c>
      <c r="K85" s="9">
        <v>1.5152777777777777</v>
      </c>
      <c r="L85">
        <v>5</v>
      </c>
      <c r="M85">
        <v>16</v>
      </c>
      <c r="N85">
        <v>0.313</v>
      </c>
      <c r="O85">
        <v>2</v>
      </c>
      <c r="P85">
        <v>6</v>
      </c>
      <c r="Q85">
        <v>0.33300000000000002</v>
      </c>
      <c r="R85">
        <v>3</v>
      </c>
      <c r="S85">
        <v>10</v>
      </c>
      <c r="T85">
        <v>0.3</v>
      </c>
      <c r="U85">
        <v>0.375</v>
      </c>
      <c r="V85">
        <v>5</v>
      </c>
      <c r="W85">
        <v>5</v>
      </c>
      <c r="X85">
        <v>1</v>
      </c>
      <c r="Y85">
        <v>0</v>
      </c>
      <c r="Z85">
        <v>1</v>
      </c>
      <c r="AA85">
        <v>1</v>
      </c>
      <c r="AB85">
        <v>14</v>
      </c>
      <c r="AC85">
        <v>1</v>
      </c>
      <c r="AD85">
        <v>0</v>
      </c>
      <c r="AE85">
        <v>0</v>
      </c>
      <c r="AF85">
        <v>3</v>
      </c>
      <c r="AG85">
        <v>17</v>
      </c>
      <c r="AH85">
        <v>17.7</v>
      </c>
      <c r="AI85">
        <v>-12</v>
      </c>
    </row>
    <row r="86" spans="1:35" ht="21" x14ac:dyDescent="0.3">
      <c r="A86" t="s">
        <v>552</v>
      </c>
      <c r="B86" s="11">
        <v>3</v>
      </c>
      <c r="C86">
        <v>132</v>
      </c>
      <c r="D86">
        <v>3</v>
      </c>
      <c r="E86" s="4">
        <v>44673</v>
      </c>
      <c r="F86" t="s">
        <v>99</v>
      </c>
      <c r="G86" t="s">
        <v>37</v>
      </c>
      <c r="H86" t="s">
        <v>74</v>
      </c>
      <c r="I86" t="s">
        <v>347</v>
      </c>
      <c r="J86" t="s">
        <v>41</v>
      </c>
      <c r="K86" s="9">
        <v>1.6631944444444444</v>
      </c>
      <c r="L86">
        <v>10</v>
      </c>
      <c r="M86">
        <v>18</v>
      </c>
      <c r="N86">
        <v>0.55600000000000005</v>
      </c>
      <c r="O86">
        <v>1</v>
      </c>
      <c r="P86">
        <v>6</v>
      </c>
      <c r="Q86">
        <v>0.16700000000000001</v>
      </c>
      <c r="R86">
        <v>9</v>
      </c>
      <c r="S86">
        <v>12</v>
      </c>
      <c r="T86">
        <v>0.75</v>
      </c>
      <c r="U86">
        <v>0.58299999999999996</v>
      </c>
      <c r="V86">
        <v>7</v>
      </c>
      <c r="W86">
        <v>8</v>
      </c>
      <c r="X86">
        <v>0.875</v>
      </c>
      <c r="Y86">
        <v>2</v>
      </c>
      <c r="Z86">
        <v>2</v>
      </c>
      <c r="AA86">
        <v>4</v>
      </c>
      <c r="AB86">
        <v>14</v>
      </c>
      <c r="AC86">
        <v>1</v>
      </c>
      <c r="AD86">
        <v>0</v>
      </c>
      <c r="AE86">
        <v>0</v>
      </c>
      <c r="AF86">
        <v>2</v>
      </c>
      <c r="AG86">
        <v>28</v>
      </c>
      <c r="AH86">
        <v>31</v>
      </c>
      <c r="AI86">
        <v>10</v>
      </c>
    </row>
    <row r="87" spans="1:35" ht="21" x14ac:dyDescent="0.3">
      <c r="A87" t="s">
        <v>552</v>
      </c>
      <c r="B87" s="11">
        <v>4</v>
      </c>
      <c r="C87">
        <v>133</v>
      </c>
      <c r="D87">
        <v>4</v>
      </c>
      <c r="E87" s="4">
        <v>44675</v>
      </c>
      <c r="F87" t="s">
        <v>99</v>
      </c>
      <c r="G87" t="s">
        <v>37</v>
      </c>
      <c r="H87" t="s">
        <v>74</v>
      </c>
      <c r="I87" t="s">
        <v>348</v>
      </c>
      <c r="J87" t="s">
        <v>41</v>
      </c>
      <c r="K87" s="9">
        <v>1.4576388888888889</v>
      </c>
      <c r="L87">
        <v>2</v>
      </c>
      <c r="M87">
        <v>8</v>
      </c>
      <c r="N87">
        <v>0.25</v>
      </c>
      <c r="O87">
        <v>0</v>
      </c>
      <c r="P87">
        <v>3</v>
      </c>
      <c r="Q87">
        <v>0</v>
      </c>
      <c r="R87">
        <v>2</v>
      </c>
      <c r="S87">
        <v>5</v>
      </c>
      <c r="T87">
        <v>0.4</v>
      </c>
      <c r="U87">
        <v>0.25</v>
      </c>
      <c r="V87">
        <v>0</v>
      </c>
      <c r="W87">
        <v>0</v>
      </c>
      <c r="Y87">
        <v>1</v>
      </c>
      <c r="Z87">
        <v>2</v>
      </c>
      <c r="AA87">
        <v>3</v>
      </c>
      <c r="AB87">
        <v>11</v>
      </c>
      <c r="AC87">
        <v>2</v>
      </c>
      <c r="AD87">
        <v>0</v>
      </c>
      <c r="AE87">
        <v>3</v>
      </c>
      <c r="AF87">
        <v>4</v>
      </c>
      <c r="AG87">
        <v>4</v>
      </c>
      <c r="AH87">
        <v>5.6</v>
      </c>
      <c r="AI87">
        <v>-14</v>
      </c>
    </row>
    <row r="88" spans="1:35" ht="21" x14ac:dyDescent="0.3">
      <c r="A88" t="s">
        <v>552</v>
      </c>
      <c r="B88" s="11">
        <v>5</v>
      </c>
      <c r="C88">
        <v>134</v>
      </c>
      <c r="D88">
        <v>5</v>
      </c>
      <c r="E88" s="4">
        <v>44677</v>
      </c>
      <c r="F88" t="s">
        <v>99</v>
      </c>
      <c r="H88" t="s">
        <v>74</v>
      </c>
      <c r="I88" t="s">
        <v>152</v>
      </c>
      <c r="J88" t="s">
        <v>41</v>
      </c>
      <c r="K88" s="9">
        <v>1.6215277777777777</v>
      </c>
      <c r="L88">
        <v>8</v>
      </c>
      <c r="M88">
        <v>18</v>
      </c>
      <c r="N88">
        <v>0.44400000000000001</v>
      </c>
      <c r="O88">
        <v>0</v>
      </c>
      <c r="P88">
        <v>4</v>
      </c>
      <c r="Q88">
        <v>0</v>
      </c>
      <c r="R88">
        <v>8</v>
      </c>
      <c r="S88">
        <v>14</v>
      </c>
      <c r="T88">
        <v>0.57099999999999995</v>
      </c>
      <c r="U88">
        <v>0.44400000000000001</v>
      </c>
      <c r="V88">
        <v>6</v>
      </c>
      <c r="W88">
        <v>6</v>
      </c>
      <c r="X88">
        <v>1</v>
      </c>
      <c r="Y88">
        <v>0</v>
      </c>
      <c r="Z88">
        <v>6</v>
      </c>
      <c r="AA88">
        <v>6</v>
      </c>
      <c r="AB88">
        <v>11</v>
      </c>
      <c r="AC88">
        <v>3</v>
      </c>
      <c r="AD88">
        <v>0</v>
      </c>
      <c r="AE88">
        <v>1</v>
      </c>
      <c r="AF88">
        <v>2</v>
      </c>
      <c r="AG88">
        <v>22</v>
      </c>
      <c r="AH88">
        <v>23.3</v>
      </c>
      <c r="AI88">
        <v>10</v>
      </c>
    </row>
    <row r="89" spans="1:35" ht="21" x14ac:dyDescent="0.3">
      <c r="A89" t="s">
        <v>552</v>
      </c>
      <c r="B89" s="11">
        <v>6</v>
      </c>
      <c r="C89">
        <v>135</v>
      </c>
      <c r="D89">
        <v>6</v>
      </c>
      <c r="E89" s="4">
        <v>44679</v>
      </c>
      <c r="F89" t="s">
        <v>99</v>
      </c>
      <c r="G89" t="s">
        <v>37</v>
      </c>
      <c r="H89" t="s">
        <v>74</v>
      </c>
      <c r="I89" t="s">
        <v>309</v>
      </c>
      <c r="J89" t="s">
        <v>41</v>
      </c>
      <c r="K89" s="9">
        <v>1.4909722222222221</v>
      </c>
      <c r="L89">
        <v>14</v>
      </c>
      <c r="M89">
        <v>14</v>
      </c>
      <c r="N89">
        <v>1</v>
      </c>
      <c r="O89">
        <v>1</v>
      </c>
      <c r="P89">
        <v>1</v>
      </c>
      <c r="Q89">
        <v>1</v>
      </c>
      <c r="R89">
        <v>13</v>
      </c>
      <c r="S89">
        <v>13</v>
      </c>
      <c r="T89">
        <v>1</v>
      </c>
      <c r="U89">
        <v>1.036</v>
      </c>
      <c r="V89">
        <v>4</v>
      </c>
      <c r="W89">
        <v>4</v>
      </c>
      <c r="X89">
        <v>1</v>
      </c>
      <c r="Y89">
        <v>1</v>
      </c>
      <c r="Z89">
        <v>4</v>
      </c>
      <c r="AA89">
        <v>5</v>
      </c>
      <c r="AB89">
        <v>8</v>
      </c>
      <c r="AC89">
        <v>1</v>
      </c>
      <c r="AD89">
        <v>0</v>
      </c>
      <c r="AE89">
        <v>3</v>
      </c>
      <c r="AF89">
        <v>2</v>
      </c>
      <c r="AG89">
        <v>33</v>
      </c>
      <c r="AH89">
        <v>33.5</v>
      </c>
      <c r="AI89">
        <v>17</v>
      </c>
    </row>
    <row r="90" spans="1:35" ht="21" x14ac:dyDescent="0.3">
      <c r="A90" t="s">
        <v>552</v>
      </c>
      <c r="B90" s="11">
        <v>7</v>
      </c>
      <c r="C90">
        <v>136</v>
      </c>
      <c r="D90">
        <v>7</v>
      </c>
      <c r="E90" s="4">
        <v>44683</v>
      </c>
      <c r="F90" t="s">
        <v>99</v>
      </c>
      <c r="H90" t="s">
        <v>49</v>
      </c>
      <c r="I90" t="s">
        <v>63</v>
      </c>
      <c r="J90" t="s">
        <v>41</v>
      </c>
      <c r="K90" s="9">
        <v>1.1979166666666667</v>
      </c>
      <c r="L90">
        <v>7</v>
      </c>
      <c r="M90">
        <v>13</v>
      </c>
      <c r="N90">
        <v>0.53800000000000003</v>
      </c>
      <c r="O90">
        <v>2</v>
      </c>
      <c r="P90">
        <v>5</v>
      </c>
      <c r="Q90">
        <v>0.4</v>
      </c>
      <c r="R90">
        <v>5</v>
      </c>
      <c r="S90">
        <v>8</v>
      </c>
      <c r="T90">
        <v>0.625</v>
      </c>
      <c r="U90">
        <v>0.61499999999999999</v>
      </c>
      <c r="V90">
        <v>3</v>
      </c>
      <c r="W90">
        <v>3</v>
      </c>
      <c r="X90">
        <v>1</v>
      </c>
      <c r="Y90">
        <v>0</v>
      </c>
      <c r="Z90">
        <v>5</v>
      </c>
      <c r="AA90">
        <v>5</v>
      </c>
      <c r="AB90">
        <v>3</v>
      </c>
      <c r="AC90">
        <v>1</v>
      </c>
      <c r="AD90">
        <v>1</v>
      </c>
      <c r="AE90">
        <v>1</v>
      </c>
      <c r="AF90">
        <v>3</v>
      </c>
      <c r="AG90">
        <v>19</v>
      </c>
      <c r="AH90">
        <v>15.8</v>
      </c>
      <c r="AI90">
        <v>14</v>
      </c>
    </row>
    <row r="91" spans="1:35" ht="21" x14ac:dyDescent="0.3">
      <c r="A91" t="s">
        <v>552</v>
      </c>
      <c r="B91" s="11">
        <v>8</v>
      </c>
      <c r="C91">
        <v>137</v>
      </c>
      <c r="D91">
        <v>8</v>
      </c>
      <c r="E91" s="4">
        <v>44685</v>
      </c>
      <c r="F91" t="s">
        <v>99</v>
      </c>
      <c r="H91" t="s">
        <v>49</v>
      </c>
      <c r="I91" t="s">
        <v>349</v>
      </c>
      <c r="J91" t="s">
        <v>41</v>
      </c>
      <c r="K91" s="9">
        <v>1.5090277777777779</v>
      </c>
      <c r="L91">
        <v>11</v>
      </c>
      <c r="M91">
        <v>16</v>
      </c>
      <c r="N91">
        <v>0.68799999999999994</v>
      </c>
      <c r="O91">
        <v>1</v>
      </c>
      <c r="P91">
        <v>2</v>
      </c>
      <c r="Q91">
        <v>0.5</v>
      </c>
      <c r="R91">
        <v>10</v>
      </c>
      <c r="S91">
        <v>14</v>
      </c>
      <c r="T91">
        <v>0.71399999999999997</v>
      </c>
      <c r="U91">
        <v>0.71899999999999997</v>
      </c>
      <c r="V91">
        <v>5</v>
      </c>
      <c r="W91">
        <v>5</v>
      </c>
      <c r="X91">
        <v>1</v>
      </c>
      <c r="Y91">
        <v>0</v>
      </c>
      <c r="Z91">
        <v>6</v>
      </c>
      <c r="AA91">
        <v>6</v>
      </c>
      <c r="AB91">
        <v>8</v>
      </c>
      <c r="AC91">
        <v>1</v>
      </c>
      <c r="AD91">
        <v>0</v>
      </c>
      <c r="AE91">
        <v>3</v>
      </c>
      <c r="AF91">
        <v>2</v>
      </c>
      <c r="AG91">
        <v>28</v>
      </c>
      <c r="AH91">
        <v>25.8</v>
      </c>
      <c r="AI91">
        <v>19</v>
      </c>
    </row>
    <row r="92" spans="1:35" ht="21" x14ac:dyDescent="0.3">
      <c r="A92" t="s">
        <v>552</v>
      </c>
      <c r="B92" s="11">
        <v>9</v>
      </c>
      <c r="C92">
        <v>138</v>
      </c>
      <c r="D92">
        <v>9</v>
      </c>
      <c r="E92" s="4">
        <v>44687</v>
      </c>
      <c r="F92" t="s">
        <v>99</v>
      </c>
      <c r="G92" t="s">
        <v>37</v>
      </c>
      <c r="H92" t="s">
        <v>49</v>
      </c>
      <c r="I92" t="s">
        <v>350</v>
      </c>
      <c r="J92" t="s">
        <v>41</v>
      </c>
      <c r="K92" s="9">
        <v>1.5395833333333333</v>
      </c>
      <c r="L92">
        <v>5</v>
      </c>
      <c r="M92">
        <v>9</v>
      </c>
      <c r="N92">
        <v>0.55600000000000005</v>
      </c>
      <c r="O92">
        <v>2</v>
      </c>
      <c r="P92">
        <v>4</v>
      </c>
      <c r="Q92">
        <v>0.5</v>
      </c>
      <c r="R92">
        <v>3</v>
      </c>
      <c r="S92">
        <v>5</v>
      </c>
      <c r="T92">
        <v>0.6</v>
      </c>
      <c r="U92">
        <v>0.66700000000000004</v>
      </c>
      <c r="V92">
        <v>0</v>
      </c>
      <c r="W92">
        <v>0</v>
      </c>
      <c r="Y92">
        <v>2</v>
      </c>
      <c r="Z92">
        <v>5</v>
      </c>
      <c r="AA92">
        <v>7</v>
      </c>
      <c r="AB92">
        <v>4</v>
      </c>
      <c r="AC92">
        <v>1</v>
      </c>
      <c r="AD92">
        <v>0</v>
      </c>
      <c r="AE92">
        <v>7</v>
      </c>
      <c r="AF92">
        <v>4</v>
      </c>
      <c r="AG92">
        <v>12</v>
      </c>
      <c r="AH92">
        <v>5.8</v>
      </c>
      <c r="AI92">
        <v>-8</v>
      </c>
    </row>
    <row r="93" spans="1:35" ht="21" x14ac:dyDescent="0.3">
      <c r="A93" t="s">
        <v>552</v>
      </c>
      <c r="B93" s="11">
        <v>10</v>
      </c>
      <c r="C93">
        <v>139</v>
      </c>
      <c r="D93">
        <v>10</v>
      </c>
      <c r="E93" s="4">
        <v>44689</v>
      </c>
      <c r="F93" t="s">
        <v>99</v>
      </c>
      <c r="G93" t="s">
        <v>37</v>
      </c>
      <c r="H93" t="s">
        <v>49</v>
      </c>
      <c r="I93" t="s">
        <v>351</v>
      </c>
      <c r="J93" t="s">
        <v>41</v>
      </c>
      <c r="K93" s="7">
        <v>0.95902777777777781</v>
      </c>
      <c r="L93">
        <v>2</v>
      </c>
      <c r="M93">
        <v>4</v>
      </c>
      <c r="N93">
        <v>0.5</v>
      </c>
      <c r="O93">
        <v>1</v>
      </c>
      <c r="P93">
        <v>1</v>
      </c>
      <c r="Q93">
        <v>1</v>
      </c>
      <c r="R93">
        <v>1</v>
      </c>
      <c r="S93">
        <v>3</v>
      </c>
      <c r="T93">
        <v>0.33300000000000002</v>
      </c>
      <c r="U93">
        <v>0.625</v>
      </c>
      <c r="V93">
        <v>0</v>
      </c>
      <c r="W93">
        <v>0</v>
      </c>
      <c r="Y93">
        <v>0</v>
      </c>
      <c r="Z93">
        <v>5</v>
      </c>
      <c r="AA93">
        <v>5</v>
      </c>
      <c r="AB93">
        <v>7</v>
      </c>
      <c r="AC93">
        <v>1</v>
      </c>
      <c r="AD93">
        <v>0</v>
      </c>
      <c r="AE93">
        <v>2</v>
      </c>
      <c r="AF93">
        <v>6</v>
      </c>
      <c r="AG93">
        <v>5</v>
      </c>
      <c r="AH93">
        <v>6</v>
      </c>
      <c r="AI93">
        <v>-3</v>
      </c>
    </row>
    <row r="94" spans="1:35" ht="21" x14ac:dyDescent="0.3">
      <c r="A94" t="s">
        <v>552</v>
      </c>
      <c r="B94" s="11">
        <v>11</v>
      </c>
      <c r="C94">
        <v>140</v>
      </c>
      <c r="D94">
        <v>11</v>
      </c>
      <c r="E94" s="4">
        <v>44691</v>
      </c>
      <c r="F94" t="s">
        <v>99</v>
      </c>
      <c r="H94" t="s">
        <v>49</v>
      </c>
      <c r="I94" t="s">
        <v>352</v>
      </c>
      <c r="J94" t="s">
        <v>41</v>
      </c>
      <c r="K94" s="9">
        <v>1.4465277777777779</v>
      </c>
      <c r="L94">
        <v>3</v>
      </c>
      <c r="M94">
        <v>8</v>
      </c>
      <c r="N94">
        <v>0.375</v>
      </c>
      <c r="O94">
        <v>1</v>
      </c>
      <c r="P94">
        <v>3</v>
      </c>
      <c r="Q94">
        <v>0.33300000000000002</v>
      </c>
      <c r="R94">
        <v>2</v>
      </c>
      <c r="S94">
        <v>5</v>
      </c>
      <c r="T94">
        <v>0.4</v>
      </c>
      <c r="U94">
        <v>0.438</v>
      </c>
      <c r="V94">
        <v>0</v>
      </c>
      <c r="W94">
        <v>0</v>
      </c>
      <c r="Y94">
        <v>0</v>
      </c>
      <c r="Z94">
        <v>2</v>
      </c>
      <c r="AA94">
        <v>2</v>
      </c>
      <c r="AB94">
        <v>10</v>
      </c>
      <c r="AC94">
        <v>1</v>
      </c>
      <c r="AD94">
        <v>0</v>
      </c>
      <c r="AE94">
        <v>4</v>
      </c>
      <c r="AF94">
        <v>2</v>
      </c>
      <c r="AG94">
        <v>7</v>
      </c>
      <c r="AH94">
        <v>6.4</v>
      </c>
      <c r="AI94">
        <v>7</v>
      </c>
    </row>
    <row r="95" spans="1:35" ht="21" x14ac:dyDescent="0.3">
      <c r="A95" t="s">
        <v>552</v>
      </c>
      <c r="B95" s="11">
        <v>12</v>
      </c>
      <c r="C95">
        <v>141</v>
      </c>
      <c r="D95">
        <v>12</v>
      </c>
      <c r="E95" s="4">
        <v>44693</v>
      </c>
      <c r="F95" t="s">
        <v>99</v>
      </c>
      <c r="G95" t="s">
        <v>37</v>
      </c>
      <c r="H95" t="s">
        <v>49</v>
      </c>
      <c r="I95" t="s">
        <v>353</v>
      </c>
      <c r="J95" t="s">
        <v>41</v>
      </c>
      <c r="K95" s="9">
        <v>1.4840277777777777</v>
      </c>
      <c r="L95">
        <v>4</v>
      </c>
      <c r="M95">
        <v>7</v>
      </c>
      <c r="N95">
        <v>0.57099999999999995</v>
      </c>
      <c r="O95">
        <v>3</v>
      </c>
      <c r="P95">
        <v>5</v>
      </c>
      <c r="Q95">
        <v>0.6</v>
      </c>
      <c r="R95">
        <v>1</v>
      </c>
      <c r="S95">
        <v>2</v>
      </c>
      <c r="T95">
        <v>0.5</v>
      </c>
      <c r="U95">
        <v>0.78600000000000003</v>
      </c>
      <c r="V95">
        <v>2</v>
      </c>
      <c r="W95">
        <v>2</v>
      </c>
      <c r="X95">
        <v>1</v>
      </c>
      <c r="Y95">
        <v>1</v>
      </c>
      <c r="Z95">
        <v>1</v>
      </c>
      <c r="AA95">
        <v>2</v>
      </c>
      <c r="AB95">
        <v>4</v>
      </c>
      <c r="AC95">
        <v>2</v>
      </c>
      <c r="AD95">
        <v>0</v>
      </c>
      <c r="AE95">
        <v>5</v>
      </c>
      <c r="AF95">
        <v>5</v>
      </c>
      <c r="AG95">
        <v>13</v>
      </c>
      <c r="AH95">
        <v>8.5</v>
      </c>
      <c r="AI95">
        <v>-14</v>
      </c>
    </row>
    <row r="96" spans="1:35" ht="21" x14ac:dyDescent="0.3">
      <c r="A96" t="s">
        <v>552</v>
      </c>
      <c r="B96" s="11">
        <v>13</v>
      </c>
      <c r="C96">
        <v>142</v>
      </c>
      <c r="D96">
        <v>13</v>
      </c>
      <c r="E96" s="4">
        <v>44696</v>
      </c>
      <c r="F96" t="s">
        <v>99</v>
      </c>
      <c r="H96" t="s">
        <v>49</v>
      </c>
      <c r="I96" t="s">
        <v>354</v>
      </c>
      <c r="J96" t="s">
        <v>41</v>
      </c>
      <c r="K96" s="9">
        <v>1.304861111111111</v>
      </c>
      <c r="L96">
        <v>4</v>
      </c>
      <c r="M96">
        <v>8</v>
      </c>
      <c r="N96">
        <v>0.5</v>
      </c>
      <c r="O96">
        <v>1</v>
      </c>
      <c r="P96">
        <v>3</v>
      </c>
      <c r="Q96">
        <v>0.33300000000000002</v>
      </c>
      <c r="R96">
        <v>3</v>
      </c>
      <c r="S96">
        <v>5</v>
      </c>
      <c r="T96">
        <v>0.6</v>
      </c>
      <c r="U96">
        <v>0.56299999999999994</v>
      </c>
      <c r="V96">
        <v>1</v>
      </c>
      <c r="W96">
        <v>2</v>
      </c>
      <c r="X96">
        <v>0.5</v>
      </c>
      <c r="Y96">
        <v>0</v>
      </c>
      <c r="Z96">
        <v>1</v>
      </c>
      <c r="AA96">
        <v>1</v>
      </c>
      <c r="AB96">
        <v>4</v>
      </c>
      <c r="AC96">
        <v>1</v>
      </c>
      <c r="AD96">
        <v>0</v>
      </c>
      <c r="AE96">
        <v>0</v>
      </c>
      <c r="AF96">
        <v>3</v>
      </c>
      <c r="AG96">
        <v>10</v>
      </c>
      <c r="AH96">
        <v>8.5</v>
      </c>
      <c r="AI96">
        <v>-39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7B74-33BA-7140-962E-C8A581BC713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9FED-859C-664D-93BA-09C31CFAEA4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7038-86F0-B546-856B-BA8A6AA1C79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14A3-F63D-1C41-B36E-A30C0491F1CF}">
  <dimension ref="A1:AP96"/>
  <sheetViews>
    <sheetView workbookViewId="0">
      <selection activeCell="H2" sqref="H2:H96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5" ht="21" x14ac:dyDescent="0.3">
      <c r="A2" t="s">
        <v>551</v>
      </c>
      <c r="B2" s="11">
        <v>1</v>
      </c>
      <c r="C2">
        <v>410</v>
      </c>
      <c r="D2">
        <v>1</v>
      </c>
      <c r="E2" s="4">
        <v>44489</v>
      </c>
      <c r="F2" t="s">
        <v>99</v>
      </c>
      <c r="H2" t="s">
        <v>34</v>
      </c>
      <c r="I2" t="s">
        <v>266</v>
      </c>
      <c r="J2" t="s">
        <v>41</v>
      </c>
      <c r="K2" s="9">
        <v>1.2479166666666666</v>
      </c>
      <c r="L2">
        <v>3</v>
      </c>
      <c r="M2">
        <v>15</v>
      </c>
      <c r="N2">
        <v>0.2</v>
      </c>
      <c r="O2">
        <v>2</v>
      </c>
      <c r="P2">
        <v>7</v>
      </c>
      <c r="Q2">
        <v>0.28599999999999998</v>
      </c>
      <c r="R2">
        <v>1</v>
      </c>
      <c r="S2">
        <v>8</v>
      </c>
      <c r="T2">
        <v>0.125</v>
      </c>
      <c r="U2">
        <v>0.26700000000000002</v>
      </c>
      <c r="V2">
        <v>4</v>
      </c>
      <c r="W2">
        <v>4</v>
      </c>
      <c r="X2">
        <v>1</v>
      </c>
      <c r="Y2">
        <v>1</v>
      </c>
      <c r="Z2">
        <v>3</v>
      </c>
      <c r="AA2">
        <v>4</v>
      </c>
      <c r="AB2">
        <v>4</v>
      </c>
      <c r="AC2">
        <v>1</v>
      </c>
      <c r="AD2">
        <v>0</v>
      </c>
      <c r="AE2">
        <v>3</v>
      </c>
      <c r="AF2">
        <v>3</v>
      </c>
      <c r="AG2">
        <v>12</v>
      </c>
      <c r="AH2">
        <v>3.9</v>
      </c>
      <c r="AI2">
        <v>-24</v>
      </c>
    </row>
    <row r="3" spans="1:35" ht="21" x14ac:dyDescent="0.3">
      <c r="A3" t="s">
        <v>551</v>
      </c>
      <c r="B3" s="11">
        <v>2</v>
      </c>
      <c r="C3">
        <v>411</v>
      </c>
      <c r="D3">
        <v>2</v>
      </c>
      <c r="E3" s="4">
        <v>44491</v>
      </c>
      <c r="F3" t="s">
        <v>99</v>
      </c>
      <c r="G3" t="s">
        <v>37</v>
      </c>
      <c r="H3" t="s">
        <v>62</v>
      </c>
      <c r="I3" t="s">
        <v>267</v>
      </c>
      <c r="J3" t="s">
        <v>41</v>
      </c>
      <c r="K3" s="9">
        <v>1.398611111111111</v>
      </c>
      <c r="L3">
        <v>9</v>
      </c>
      <c r="M3">
        <v>19</v>
      </c>
      <c r="N3">
        <v>0.47399999999999998</v>
      </c>
      <c r="O3">
        <v>2</v>
      </c>
      <c r="P3">
        <v>6</v>
      </c>
      <c r="Q3">
        <v>0.33300000000000002</v>
      </c>
      <c r="R3">
        <v>7</v>
      </c>
      <c r="S3">
        <v>13</v>
      </c>
      <c r="T3">
        <v>0.53800000000000003</v>
      </c>
      <c r="U3">
        <v>0.52600000000000002</v>
      </c>
      <c r="V3">
        <v>2</v>
      </c>
      <c r="W3">
        <v>2</v>
      </c>
      <c r="X3">
        <v>1</v>
      </c>
      <c r="Y3">
        <v>1</v>
      </c>
      <c r="Z3">
        <v>4</v>
      </c>
      <c r="AA3">
        <v>5</v>
      </c>
      <c r="AB3">
        <v>4</v>
      </c>
      <c r="AC3">
        <v>0</v>
      </c>
      <c r="AD3">
        <v>0</v>
      </c>
      <c r="AE3">
        <v>4</v>
      </c>
      <c r="AF3">
        <v>3</v>
      </c>
      <c r="AG3">
        <v>22</v>
      </c>
      <c r="AH3">
        <v>11.8</v>
      </c>
      <c r="AI3">
        <v>8</v>
      </c>
    </row>
    <row r="4" spans="1:35" ht="21" x14ac:dyDescent="0.3">
      <c r="A4" t="s">
        <v>551</v>
      </c>
      <c r="B4" s="11">
        <v>3</v>
      </c>
      <c r="C4">
        <v>412</v>
      </c>
      <c r="D4">
        <v>3</v>
      </c>
      <c r="E4" s="4">
        <v>44492</v>
      </c>
      <c r="F4" t="s">
        <v>99</v>
      </c>
      <c r="G4" t="s">
        <v>37</v>
      </c>
      <c r="H4" t="s">
        <v>96</v>
      </c>
      <c r="I4" t="s">
        <v>268</v>
      </c>
      <c r="J4" t="s">
        <v>41</v>
      </c>
      <c r="K4" s="9">
        <v>1.1743055555555555</v>
      </c>
      <c r="L4">
        <v>9</v>
      </c>
      <c r="M4">
        <v>19</v>
      </c>
      <c r="N4">
        <v>0.47399999999999998</v>
      </c>
      <c r="O4">
        <v>2</v>
      </c>
      <c r="P4">
        <v>5</v>
      </c>
      <c r="Q4">
        <v>0.4</v>
      </c>
      <c r="R4">
        <v>7</v>
      </c>
      <c r="S4">
        <v>14</v>
      </c>
      <c r="T4">
        <v>0.5</v>
      </c>
      <c r="U4">
        <v>0.52600000000000002</v>
      </c>
      <c r="V4">
        <v>1</v>
      </c>
      <c r="W4">
        <v>2</v>
      </c>
      <c r="X4">
        <v>0.5</v>
      </c>
      <c r="Y4">
        <v>1</v>
      </c>
      <c r="Z4">
        <v>3</v>
      </c>
      <c r="AA4">
        <v>4</v>
      </c>
      <c r="AB4">
        <v>4</v>
      </c>
      <c r="AC4">
        <v>2</v>
      </c>
      <c r="AD4">
        <v>0</v>
      </c>
      <c r="AE4">
        <v>0</v>
      </c>
      <c r="AF4">
        <v>1</v>
      </c>
      <c r="AG4">
        <v>21</v>
      </c>
      <c r="AH4">
        <v>16.899999999999999</v>
      </c>
      <c r="AI4">
        <v>-15</v>
      </c>
    </row>
    <row r="5" spans="1:35" ht="21" x14ac:dyDescent="0.3">
      <c r="A5" t="s">
        <v>551</v>
      </c>
      <c r="B5" s="11">
        <v>4</v>
      </c>
      <c r="C5">
        <v>413</v>
      </c>
      <c r="D5">
        <v>4</v>
      </c>
      <c r="E5" s="4">
        <v>44496</v>
      </c>
      <c r="F5" t="s">
        <v>99</v>
      </c>
      <c r="H5" t="s">
        <v>66</v>
      </c>
      <c r="I5" t="s">
        <v>269</v>
      </c>
      <c r="J5" t="s">
        <v>41</v>
      </c>
      <c r="K5" s="9">
        <v>1.5222222222222221</v>
      </c>
      <c r="L5">
        <v>12</v>
      </c>
      <c r="M5">
        <v>28</v>
      </c>
      <c r="N5">
        <v>0.42899999999999999</v>
      </c>
      <c r="O5">
        <v>2</v>
      </c>
      <c r="P5">
        <v>6</v>
      </c>
      <c r="Q5">
        <v>0.33300000000000002</v>
      </c>
      <c r="R5">
        <v>10</v>
      </c>
      <c r="S5">
        <v>22</v>
      </c>
      <c r="T5">
        <v>0.45500000000000002</v>
      </c>
      <c r="U5">
        <v>0.46400000000000002</v>
      </c>
      <c r="V5">
        <v>5</v>
      </c>
      <c r="W5">
        <v>6</v>
      </c>
      <c r="X5">
        <v>0.83299999999999996</v>
      </c>
      <c r="Y5">
        <v>3</v>
      </c>
      <c r="Z5">
        <v>3</v>
      </c>
      <c r="AA5">
        <v>6</v>
      </c>
      <c r="AB5">
        <v>8</v>
      </c>
      <c r="AC5">
        <v>1</v>
      </c>
      <c r="AD5">
        <v>0</v>
      </c>
      <c r="AE5">
        <v>0</v>
      </c>
      <c r="AF5">
        <v>4</v>
      </c>
      <c r="AG5">
        <v>31</v>
      </c>
      <c r="AH5">
        <v>23.8</v>
      </c>
      <c r="AI5">
        <v>4</v>
      </c>
    </row>
    <row r="6" spans="1:35" ht="21" x14ac:dyDescent="0.3">
      <c r="A6" t="s">
        <v>551</v>
      </c>
      <c r="B6" s="11">
        <v>5</v>
      </c>
      <c r="C6">
        <v>414</v>
      </c>
      <c r="D6">
        <v>5</v>
      </c>
      <c r="E6" s="4">
        <v>44499</v>
      </c>
      <c r="F6" t="s">
        <v>99</v>
      </c>
      <c r="H6" t="s">
        <v>87</v>
      </c>
      <c r="I6" t="s">
        <v>270</v>
      </c>
      <c r="J6" t="s">
        <v>41</v>
      </c>
      <c r="K6" s="9">
        <v>1.4715277777777778</v>
      </c>
      <c r="L6">
        <v>9</v>
      </c>
      <c r="M6">
        <v>20</v>
      </c>
      <c r="N6">
        <v>0.45</v>
      </c>
      <c r="O6">
        <v>0</v>
      </c>
      <c r="P6">
        <v>4</v>
      </c>
      <c r="Q6">
        <v>0</v>
      </c>
      <c r="R6">
        <v>9</v>
      </c>
      <c r="S6">
        <v>16</v>
      </c>
      <c r="T6">
        <v>0.56299999999999994</v>
      </c>
      <c r="U6">
        <v>0.45</v>
      </c>
      <c r="V6">
        <v>9</v>
      </c>
      <c r="W6">
        <v>10</v>
      </c>
      <c r="X6">
        <v>0.9</v>
      </c>
      <c r="Y6">
        <v>1</v>
      </c>
      <c r="Z6">
        <v>3</v>
      </c>
      <c r="AA6">
        <v>4</v>
      </c>
      <c r="AB6">
        <v>9</v>
      </c>
      <c r="AC6">
        <v>0</v>
      </c>
      <c r="AD6">
        <v>0</v>
      </c>
      <c r="AE6">
        <v>4</v>
      </c>
      <c r="AF6">
        <v>1</v>
      </c>
      <c r="AG6">
        <v>27</v>
      </c>
      <c r="AH6">
        <v>19.7</v>
      </c>
      <c r="AI6">
        <v>8</v>
      </c>
    </row>
    <row r="7" spans="1:35" ht="21" x14ac:dyDescent="0.3">
      <c r="A7" t="s">
        <v>551</v>
      </c>
      <c r="B7" s="11">
        <v>6</v>
      </c>
      <c r="C7">
        <v>415</v>
      </c>
      <c r="D7">
        <v>6</v>
      </c>
      <c r="E7" s="4">
        <v>44502</v>
      </c>
      <c r="F7" t="s">
        <v>99</v>
      </c>
      <c r="H7" t="s">
        <v>74</v>
      </c>
      <c r="I7" t="s">
        <v>271</v>
      </c>
      <c r="J7" t="s">
        <v>41</v>
      </c>
      <c r="K7" s="9">
        <v>1.40625</v>
      </c>
      <c r="L7">
        <v>7</v>
      </c>
      <c r="M7">
        <v>20</v>
      </c>
      <c r="N7">
        <v>0.35</v>
      </c>
      <c r="O7">
        <v>2</v>
      </c>
      <c r="P7">
        <v>8</v>
      </c>
      <c r="Q7">
        <v>0.25</v>
      </c>
      <c r="R7">
        <v>5</v>
      </c>
      <c r="S7">
        <v>12</v>
      </c>
      <c r="T7">
        <v>0.41699999999999998</v>
      </c>
      <c r="U7">
        <v>0.4</v>
      </c>
      <c r="V7">
        <v>2</v>
      </c>
      <c r="W7">
        <v>2</v>
      </c>
      <c r="X7">
        <v>1</v>
      </c>
      <c r="Y7">
        <v>1</v>
      </c>
      <c r="Z7">
        <v>7</v>
      </c>
      <c r="AA7">
        <v>8</v>
      </c>
      <c r="AB7">
        <v>3</v>
      </c>
      <c r="AC7">
        <v>1</v>
      </c>
      <c r="AD7">
        <v>1</v>
      </c>
      <c r="AE7">
        <v>6</v>
      </c>
      <c r="AF7">
        <v>2</v>
      </c>
      <c r="AG7">
        <v>18</v>
      </c>
      <c r="AH7">
        <v>6.6</v>
      </c>
      <c r="AI7">
        <v>8</v>
      </c>
    </row>
    <row r="8" spans="1:35" ht="21" x14ac:dyDescent="0.3">
      <c r="A8" t="s">
        <v>551</v>
      </c>
      <c r="B8" s="11">
        <v>7</v>
      </c>
      <c r="C8">
        <v>416</v>
      </c>
      <c r="D8">
        <v>7</v>
      </c>
      <c r="E8" s="4">
        <v>44504</v>
      </c>
      <c r="F8" t="s">
        <v>99</v>
      </c>
      <c r="H8" t="s">
        <v>76</v>
      </c>
      <c r="I8" t="s">
        <v>272</v>
      </c>
      <c r="J8" t="s">
        <v>41</v>
      </c>
      <c r="K8" s="9">
        <v>1.4222222222222223</v>
      </c>
      <c r="L8">
        <v>8</v>
      </c>
      <c r="M8">
        <v>18</v>
      </c>
      <c r="N8">
        <v>0.44400000000000001</v>
      </c>
      <c r="O8">
        <v>4</v>
      </c>
      <c r="P8">
        <v>8</v>
      </c>
      <c r="Q8">
        <v>0.5</v>
      </c>
      <c r="R8">
        <v>4</v>
      </c>
      <c r="S8">
        <v>10</v>
      </c>
      <c r="T8">
        <v>0.4</v>
      </c>
      <c r="U8">
        <v>0.55600000000000005</v>
      </c>
      <c r="V8">
        <v>7</v>
      </c>
      <c r="W8">
        <v>8</v>
      </c>
      <c r="X8">
        <v>0.875</v>
      </c>
      <c r="Y8">
        <v>1</v>
      </c>
      <c r="Z8">
        <v>8</v>
      </c>
      <c r="AA8">
        <v>9</v>
      </c>
      <c r="AB8">
        <v>5</v>
      </c>
      <c r="AC8">
        <v>1</v>
      </c>
      <c r="AD8">
        <v>1</v>
      </c>
      <c r="AE8">
        <v>2</v>
      </c>
      <c r="AF8">
        <v>3</v>
      </c>
      <c r="AG8">
        <v>27</v>
      </c>
      <c r="AH8">
        <v>22.3</v>
      </c>
      <c r="AI8">
        <v>10</v>
      </c>
    </row>
    <row r="9" spans="1:35" ht="21" x14ac:dyDescent="0.3">
      <c r="A9" t="s">
        <v>551</v>
      </c>
      <c r="B9" s="11">
        <v>8</v>
      </c>
      <c r="C9">
        <v>417</v>
      </c>
      <c r="D9">
        <v>8</v>
      </c>
      <c r="E9" s="4">
        <v>44506</v>
      </c>
      <c r="F9" t="s">
        <v>99</v>
      </c>
      <c r="H9" t="s">
        <v>78</v>
      </c>
      <c r="I9" t="s">
        <v>273</v>
      </c>
      <c r="J9" t="s">
        <v>41</v>
      </c>
      <c r="K9" s="9">
        <v>1.4208333333333334</v>
      </c>
      <c r="L9">
        <v>14</v>
      </c>
      <c r="M9">
        <v>21</v>
      </c>
      <c r="N9">
        <v>0.66700000000000004</v>
      </c>
      <c r="O9">
        <v>5</v>
      </c>
      <c r="P9">
        <v>9</v>
      </c>
      <c r="Q9">
        <v>0.55600000000000005</v>
      </c>
      <c r="R9">
        <v>9</v>
      </c>
      <c r="S9">
        <v>12</v>
      </c>
      <c r="T9">
        <v>0.75</v>
      </c>
      <c r="U9">
        <v>0.78600000000000003</v>
      </c>
      <c r="V9">
        <v>5</v>
      </c>
      <c r="W9">
        <v>7</v>
      </c>
      <c r="X9">
        <v>0.71399999999999997</v>
      </c>
      <c r="Y9">
        <v>1</v>
      </c>
      <c r="Z9">
        <v>5</v>
      </c>
      <c r="AA9">
        <v>6</v>
      </c>
      <c r="AB9">
        <v>4</v>
      </c>
      <c r="AC9">
        <v>2</v>
      </c>
      <c r="AD9">
        <v>1</v>
      </c>
      <c r="AE9">
        <v>4</v>
      </c>
      <c r="AF9">
        <v>4</v>
      </c>
      <c r="AG9">
        <v>38</v>
      </c>
      <c r="AH9">
        <v>30.2</v>
      </c>
      <c r="AI9">
        <v>3</v>
      </c>
    </row>
    <row r="10" spans="1:35" ht="21" x14ac:dyDescent="0.3">
      <c r="A10" t="s">
        <v>551</v>
      </c>
      <c r="B10" s="11">
        <v>9</v>
      </c>
      <c r="C10">
        <v>418</v>
      </c>
      <c r="D10">
        <v>9</v>
      </c>
      <c r="E10" s="4">
        <v>44508</v>
      </c>
      <c r="F10" t="s">
        <v>99</v>
      </c>
      <c r="G10" t="s">
        <v>37</v>
      </c>
      <c r="H10" t="s">
        <v>66</v>
      </c>
      <c r="I10" t="s">
        <v>274</v>
      </c>
      <c r="J10" t="s">
        <v>41</v>
      </c>
      <c r="K10" s="9">
        <v>1.3486111111111112</v>
      </c>
      <c r="L10">
        <v>8</v>
      </c>
      <c r="M10">
        <v>17</v>
      </c>
      <c r="N10">
        <v>0.47099999999999997</v>
      </c>
      <c r="O10">
        <v>2</v>
      </c>
      <c r="P10">
        <v>5</v>
      </c>
      <c r="Q10">
        <v>0.4</v>
      </c>
      <c r="R10">
        <v>6</v>
      </c>
      <c r="S10">
        <v>12</v>
      </c>
      <c r="T10">
        <v>0.5</v>
      </c>
      <c r="U10">
        <v>0.52900000000000003</v>
      </c>
      <c r="V10">
        <v>0</v>
      </c>
      <c r="W10">
        <v>2</v>
      </c>
      <c r="X10">
        <v>0</v>
      </c>
      <c r="Y10">
        <v>1</v>
      </c>
      <c r="Z10">
        <v>8</v>
      </c>
      <c r="AA10">
        <v>9</v>
      </c>
      <c r="AB10">
        <v>6</v>
      </c>
      <c r="AC10">
        <v>2</v>
      </c>
      <c r="AD10">
        <v>0</v>
      </c>
      <c r="AE10">
        <v>5</v>
      </c>
      <c r="AF10">
        <v>4</v>
      </c>
      <c r="AG10">
        <v>18</v>
      </c>
      <c r="AH10">
        <v>11.2</v>
      </c>
      <c r="AI10">
        <v>22</v>
      </c>
    </row>
    <row r="11" spans="1:35" ht="21" x14ac:dyDescent="0.3">
      <c r="A11" t="s">
        <v>551</v>
      </c>
      <c r="B11" s="11">
        <v>10</v>
      </c>
      <c r="C11">
        <v>419</v>
      </c>
      <c r="D11">
        <v>10</v>
      </c>
      <c r="E11" s="4">
        <v>44510</v>
      </c>
      <c r="F11" t="s">
        <v>99</v>
      </c>
      <c r="H11" t="s">
        <v>96</v>
      </c>
      <c r="I11" t="s">
        <v>275</v>
      </c>
      <c r="J11" t="s">
        <v>41</v>
      </c>
      <c r="K11" s="9">
        <v>1.5597222222222222</v>
      </c>
      <c r="L11">
        <v>5</v>
      </c>
      <c r="M11">
        <v>15</v>
      </c>
      <c r="N11">
        <v>0.33300000000000002</v>
      </c>
      <c r="O11">
        <v>2</v>
      </c>
      <c r="P11">
        <v>6</v>
      </c>
      <c r="Q11">
        <v>0.33300000000000002</v>
      </c>
      <c r="R11">
        <v>3</v>
      </c>
      <c r="S11">
        <v>9</v>
      </c>
      <c r="T11">
        <v>0.33300000000000002</v>
      </c>
      <c r="U11">
        <v>0.4</v>
      </c>
      <c r="V11">
        <v>0</v>
      </c>
      <c r="W11">
        <v>0</v>
      </c>
      <c r="Y11">
        <v>0</v>
      </c>
      <c r="Z11">
        <v>8</v>
      </c>
      <c r="AA11">
        <v>8</v>
      </c>
      <c r="AB11">
        <v>6</v>
      </c>
      <c r="AC11">
        <v>1</v>
      </c>
      <c r="AD11">
        <v>0</v>
      </c>
      <c r="AE11">
        <v>4</v>
      </c>
      <c r="AF11">
        <v>2</v>
      </c>
      <c r="AG11">
        <v>12</v>
      </c>
      <c r="AH11">
        <v>6.3</v>
      </c>
      <c r="AI11">
        <v>9</v>
      </c>
    </row>
    <row r="12" spans="1:35" ht="21" x14ac:dyDescent="0.3">
      <c r="A12" t="s">
        <v>551</v>
      </c>
      <c r="B12" s="11">
        <v>11</v>
      </c>
      <c r="C12">
        <v>420</v>
      </c>
      <c r="D12">
        <v>11</v>
      </c>
      <c r="E12" s="4">
        <v>44512</v>
      </c>
      <c r="F12" t="s">
        <v>99</v>
      </c>
      <c r="G12" t="s">
        <v>37</v>
      </c>
      <c r="H12" t="s">
        <v>42</v>
      </c>
      <c r="I12" t="s">
        <v>276</v>
      </c>
      <c r="J12" t="s">
        <v>41</v>
      </c>
      <c r="K12" s="9">
        <v>1.0666666666666667</v>
      </c>
      <c r="L12">
        <v>7</v>
      </c>
      <c r="M12">
        <v>17</v>
      </c>
      <c r="N12">
        <v>0.41199999999999998</v>
      </c>
      <c r="O12">
        <v>1</v>
      </c>
      <c r="P12">
        <v>5</v>
      </c>
      <c r="Q12">
        <v>0.2</v>
      </c>
      <c r="R12">
        <v>6</v>
      </c>
      <c r="S12">
        <v>12</v>
      </c>
      <c r="T12">
        <v>0.5</v>
      </c>
      <c r="U12">
        <v>0.441</v>
      </c>
      <c r="V12">
        <v>2</v>
      </c>
      <c r="W12">
        <v>2</v>
      </c>
      <c r="X12">
        <v>1</v>
      </c>
      <c r="Y12">
        <v>1</v>
      </c>
      <c r="Z12">
        <v>4</v>
      </c>
      <c r="AA12">
        <v>5</v>
      </c>
      <c r="AB12">
        <v>7</v>
      </c>
      <c r="AC12">
        <v>0</v>
      </c>
      <c r="AD12">
        <v>0</v>
      </c>
      <c r="AE12">
        <v>3</v>
      </c>
      <c r="AF12">
        <v>2</v>
      </c>
      <c r="AG12">
        <v>17</v>
      </c>
      <c r="AH12">
        <v>10.9</v>
      </c>
      <c r="AI12">
        <v>31</v>
      </c>
    </row>
    <row r="13" spans="1:35" ht="21" x14ac:dyDescent="0.3">
      <c r="A13" t="s">
        <v>551</v>
      </c>
      <c r="B13" s="11">
        <v>12</v>
      </c>
      <c r="C13">
        <v>421</v>
      </c>
      <c r="D13">
        <v>12</v>
      </c>
      <c r="E13" s="4">
        <v>44514</v>
      </c>
      <c r="F13" t="s">
        <v>99</v>
      </c>
      <c r="G13" t="s">
        <v>37</v>
      </c>
      <c r="H13" t="s">
        <v>76</v>
      </c>
      <c r="I13" t="s">
        <v>277</v>
      </c>
      <c r="J13" t="s">
        <v>41</v>
      </c>
      <c r="K13" s="9">
        <v>1.3145833333333334</v>
      </c>
      <c r="L13">
        <v>9</v>
      </c>
      <c r="M13">
        <v>23</v>
      </c>
      <c r="N13">
        <v>0.39100000000000001</v>
      </c>
      <c r="O13">
        <v>3</v>
      </c>
      <c r="P13">
        <v>7</v>
      </c>
      <c r="Q13">
        <v>0.42899999999999999</v>
      </c>
      <c r="R13">
        <v>6</v>
      </c>
      <c r="S13">
        <v>16</v>
      </c>
      <c r="T13">
        <v>0.375</v>
      </c>
      <c r="U13">
        <v>0.45700000000000002</v>
      </c>
      <c r="V13">
        <v>5</v>
      </c>
      <c r="W13">
        <v>5</v>
      </c>
      <c r="X13">
        <v>1</v>
      </c>
      <c r="Y13">
        <v>0</v>
      </c>
      <c r="Z13">
        <v>5</v>
      </c>
      <c r="AA13">
        <v>5</v>
      </c>
      <c r="AB13">
        <v>6</v>
      </c>
      <c r="AC13">
        <v>2</v>
      </c>
      <c r="AD13">
        <v>0</v>
      </c>
      <c r="AE13">
        <v>0</v>
      </c>
      <c r="AF13">
        <v>0</v>
      </c>
      <c r="AG13">
        <v>26</v>
      </c>
      <c r="AH13">
        <v>21.2</v>
      </c>
      <c r="AI13">
        <v>12</v>
      </c>
    </row>
    <row r="14" spans="1:35" ht="21" x14ac:dyDescent="0.3">
      <c r="A14" t="s">
        <v>551</v>
      </c>
      <c r="B14" s="11">
        <v>13</v>
      </c>
      <c r="C14">
        <v>422</v>
      </c>
      <c r="D14">
        <v>13</v>
      </c>
      <c r="E14" s="4">
        <v>44515</v>
      </c>
      <c r="F14" t="s">
        <v>99</v>
      </c>
      <c r="G14" t="s">
        <v>37</v>
      </c>
      <c r="H14" t="s">
        <v>80</v>
      </c>
      <c r="I14" t="s">
        <v>278</v>
      </c>
      <c r="J14" t="s">
        <v>41</v>
      </c>
      <c r="K14" s="9">
        <v>1.4347222222222222</v>
      </c>
      <c r="L14">
        <v>7</v>
      </c>
      <c r="M14">
        <v>16</v>
      </c>
      <c r="N14">
        <v>0.438</v>
      </c>
      <c r="O14">
        <v>2</v>
      </c>
      <c r="P14">
        <v>4</v>
      </c>
      <c r="Q14">
        <v>0.5</v>
      </c>
      <c r="R14">
        <v>5</v>
      </c>
      <c r="S14">
        <v>12</v>
      </c>
      <c r="T14">
        <v>0.41699999999999998</v>
      </c>
      <c r="U14">
        <v>0.5</v>
      </c>
      <c r="V14">
        <v>13</v>
      </c>
      <c r="W14">
        <v>15</v>
      </c>
      <c r="X14">
        <v>0.86699999999999999</v>
      </c>
      <c r="Y14">
        <v>2</v>
      </c>
      <c r="Z14">
        <v>3</v>
      </c>
      <c r="AA14">
        <v>5</v>
      </c>
      <c r="AB14">
        <v>5</v>
      </c>
      <c r="AC14">
        <v>2</v>
      </c>
      <c r="AD14">
        <v>0</v>
      </c>
      <c r="AE14">
        <v>1</v>
      </c>
      <c r="AF14">
        <v>5</v>
      </c>
      <c r="AG14">
        <v>29</v>
      </c>
      <c r="AH14">
        <v>24.6</v>
      </c>
      <c r="AI14">
        <v>8</v>
      </c>
    </row>
    <row r="15" spans="1:35" ht="21" x14ac:dyDescent="0.3">
      <c r="A15" t="s">
        <v>551</v>
      </c>
      <c r="B15" s="11">
        <v>14</v>
      </c>
      <c r="C15">
        <v>423</v>
      </c>
      <c r="D15">
        <v>14</v>
      </c>
      <c r="E15" s="4">
        <v>44517</v>
      </c>
      <c r="F15" t="s">
        <v>99</v>
      </c>
      <c r="H15" t="s">
        <v>49</v>
      </c>
      <c r="I15" t="s">
        <v>279</v>
      </c>
      <c r="J15" t="s">
        <v>41</v>
      </c>
      <c r="K15" s="9">
        <v>1.4583333333333333</v>
      </c>
      <c r="L15">
        <v>11</v>
      </c>
      <c r="M15">
        <v>21</v>
      </c>
      <c r="N15">
        <v>0.52400000000000002</v>
      </c>
      <c r="O15">
        <v>2</v>
      </c>
      <c r="P15">
        <v>4</v>
      </c>
      <c r="Q15">
        <v>0.5</v>
      </c>
      <c r="R15">
        <v>9</v>
      </c>
      <c r="S15">
        <v>17</v>
      </c>
      <c r="T15">
        <v>0.52900000000000003</v>
      </c>
      <c r="U15">
        <v>0.57099999999999995</v>
      </c>
      <c r="V15">
        <v>0</v>
      </c>
      <c r="W15">
        <v>1</v>
      </c>
      <c r="X15">
        <v>0</v>
      </c>
      <c r="Y15">
        <v>0</v>
      </c>
      <c r="Z15">
        <v>9</v>
      </c>
      <c r="AA15">
        <v>9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24</v>
      </c>
      <c r="AH15">
        <v>14.6</v>
      </c>
      <c r="AI15">
        <v>8</v>
      </c>
    </row>
    <row r="16" spans="1:35" ht="21" x14ac:dyDescent="0.3">
      <c r="A16" t="s">
        <v>551</v>
      </c>
      <c r="B16" s="11">
        <v>15</v>
      </c>
      <c r="C16">
        <v>424</v>
      </c>
      <c r="D16">
        <v>15</v>
      </c>
      <c r="E16" s="4">
        <v>44519</v>
      </c>
      <c r="F16" t="s">
        <v>99</v>
      </c>
      <c r="H16" t="s">
        <v>49</v>
      </c>
      <c r="I16" t="s">
        <v>280</v>
      </c>
      <c r="J16" t="s">
        <v>41</v>
      </c>
      <c r="K16" s="9">
        <v>1.273611111111111</v>
      </c>
      <c r="L16">
        <v>7</v>
      </c>
      <c r="M16">
        <v>20</v>
      </c>
      <c r="N16">
        <v>0.35</v>
      </c>
      <c r="O16">
        <v>3</v>
      </c>
      <c r="P16">
        <v>8</v>
      </c>
      <c r="Q16">
        <v>0.375</v>
      </c>
      <c r="R16">
        <v>4</v>
      </c>
      <c r="S16">
        <v>12</v>
      </c>
      <c r="T16">
        <v>0.33300000000000002</v>
      </c>
      <c r="U16">
        <v>0.42499999999999999</v>
      </c>
      <c r="V16">
        <v>2</v>
      </c>
      <c r="W16">
        <v>2</v>
      </c>
      <c r="X16">
        <v>1</v>
      </c>
      <c r="Y16">
        <v>1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4</v>
      </c>
      <c r="AF16">
        <v>2</v>
      </c>
      <c r="AG16">
        <v>19</v>
      </c>
      <c r="AH16">
        <v>5.0999999999999996</v>
      </c>
      <c r="AI16">
        <v>-7</v>
      </c>
    </row>
    <row r="17" spans="1:35" ht="21" x14ac:dyDescent="0.3">
      <c r="A17" t="s">
        <v>551</v>
      </c>
      <c r="B17" s="11">
        <v>16</v>
      </c>
      <c r="C17">
        <v>425</v>
      </c>
      <c r="D17">
        <v>16</v>
      </c>
      <c r="E17" s="4">
        <v>44521</v>
      </c>
      <c r="F17" t="s">
        <v>99</v>
      </c>
      <c r="H17" t="s">
        <v>34</v>
      </c>
      <c r="I17" t="s">
        <v>281</v>
      </c>
      <c r="J17" t="s">
        <v>41</v>
      </c>
      <c r="K17" s="9">
        <v>1.1625000000000001</v>
      </c>
      <c r="L17">
        <v>7</v>
      </c>
      <c r="M17">
        <v>12</v>
      </c>
      <c r="N17">
        <v>0.58299999999999996</v>
      </c>
      <c r="O17">
        <v>2</v>
      </c>
      <c r="P17">
        <v>5</v>
      </c>
      <c r="Q17">
        <v>0.4</v>
      </c>
      <c r="R17">
        <v>5</v>
      </c>
      <c r="S17">
        <v>7</v>
      </c>
      <c r="T17">
        <v>0.71399999999999997</v>
      </c>
      <c r="U17">
        <v>0.66700000000000004</v>
      </c>
      <c r="V17">
        <v>1</v>
      </c>
      <c r="W17">
        <v>1</v>
      </c>
      <c r="X17">
        <v>1</v>
      </c>
      <c r="Y17">
        <v>0</v>
      </c>
      <c r="Z17">
        <v>4</v>
      </c>
      <c r="AA17">
        <v>4</v>
      </c>
      <c r="AB17">
        <v>7</v>
      </c>
      <c r="AC17">
        <v>1</v>
      </c>
      <c r="AD17">
        <v>0</v>
      </c>
      <c r="AE17">
        <v>1</v>
      </c>
      <c r="AF17">
        <v>1</v>
      </c>
      <c r="AG17">
        <v>17</v>
      </c>
      <c r="AH17">
        <v>17.100000000000001</v>
      </c>
      <c r="AI17">
        <v>13</v>
      </c>
    </row>
    <row r="18" spans="1:35" ht="21" x14ac:dyDescent="0.3">
      <c r="A18" t="s">
        <v>551</v>
      </c>
      <c r="B18" s="11">
        <v>17</v>
      </c>
      <c r="C18">
        <v>426</v>
      </c>
      <c r="D18">
        <v>17</v>
      </c>
      <c r="E18" s="4">
        <v>44522</v>
      </c>
      <c r="F18" t="s">
        <v>99</v>
      </c>
      <c r="G18" t="s">
        <v>37</v>
      </c>
      <c r="H18" t="s">
        <v>102</v>
      </c>
      <c r="I18" t="s">
        <v>282</v>
      </c>
      <c r="J18" t="s">
        <v>41</v>
      </c>
      <c r="K18" s="9">
        <v>1.4270833333333333</v>
      </c>
      <c r="L18">
        <v>7</v>
      </c>
      <c r="M18">
        <v>17</v>
      </c>
      <c r="N18">
        <v>0.41199999999999998</v>
      </c>
      <c r="O18">
        <v>4</v>
      </c>
      <c r="P18">
        <v>7</v>
      </c>
      <c r="Q18">
        <v>0.57099999999999995</v>
      </c>
      <c r="R18">
        <v>3</v>
      </c>
      <c r="S18">
        <v>10</v>
      </c>
      <c r="T18">
        <v>0.3</v>
      </c>
      <c r="U18">
        <v>0.52900000000000003</v>
      </c>
      <c r="V18">
        <v>5</v>
      </c>
      <c r="W18">
        <v>6</v>
      </c>
      <c r="X18">
        <v>0.83299999999999996</v>
      </c>
      <c r="Y18">
        <v>1</v>
      </c>
      <c r="Z18">
        <v>2</v>
      </c>
      <c r="AA18">
        <v>3</v>
      </c>
      <c r="AB18">
        <v>4</v>
      </c>
      <c r="AC18">
        <v>0</v>
      </c>
      <c r="AD18">
        <v>0</v>
      </c>
      <c r="AE18">
        <v>4</v>
      </c>
      <c r="AF18">
        <v>3</v>
      </c>
      <c r="AG18">
        <v>23</v>
      </c>
      <c r="AH18">
        <v>12.4</v>
      </c>
      <c r="AI18">
        <v>1</v>
      </c>
    </row>
    <row r="19" spans="1:35" ht="21" x14ac:dyDescent="0.3">
      <c r="A19" t="s">
        <v>551</v>
      </c>
      <c r="B19" s="11">
        <v>18</v>
      </c>
      <c r="C19">
        <v>427</v>
      </c>
      <c r="D19">
        <v>18</v>
      </c>
      <c r="E19" s="4">
        <v>44524</v>
      </c>
      <c r="F19" t="s">
        <v>99</v>
      </c>
      <c r="G19" t="s">
        <v>37</v>
      </c>
      <c r="H19" t="s">
        <v>87</v>
      </c>
      <c r="I19" t="s">
        <v>283</v>
      </c>
      <c r="J19" t="s">
        <v>41</v>
      </c>
      <c r="K19" s="9">
        <v>1.6125</v>
      </c>
      <c r="L19">
        <v>14</v>
      </c>
      <c r="M19">
        <v>21</v>
      </c>
      <c r="N19">
        <v>0.66700000000000004</v>
      </c>
      <c r="O19">
        <v>2</v>
      </c>
      <c r="P19">
        <v>3</v>
      </c>
      <c r="Q19">
        <v>0.66700000000000004</v>
      </c>
      <c r="R19">
        <v>12</v>
      </c>
      <c r="S19">
        <v>18</v>
      </c>
      <c r="T19">
        <v>0.66700000000000004</v>
      </c>
      <c r="U19">
        <v>0.71399999999999997</v>
      </c>
      <c r="V19">
        <v>5</v>
      </c>
      <c r="W19">
        <v>6</v>
      </c>
      <c r="X19">
        <v>0.83299999999999996</v>
      </c>
      <c r="Y19">
        <v>1</v>
      </c>
      <c r="Z19">
        <v>3</v>
      </c>
      <c r="AA19">
        <v>4</v>
      </c>
      <c r="AB19">
        <v>3</v>
      </c>
      <c r="AC19">
        <v>1</v>
      </c>
      <c r="AD19">
        <v>0</v>
      </c>
      <c r="AE19">
        <v>4</v>
      </c>
      <c r="AF19">
        <v>2</v>
      </c>
      <c r="AG19">
        <v>35</v>
      </c>
      <c r="AH19">
        <v>25.4</v>
      </c>
      <c r="AI19">
        <v>-2</v>
      </c>
    </row>
    <row r="20" spans="1:35" ht="21" x14ac:dyDescent="0.3">
      <c r="A20" t="s">
        <v>551</v>
      </c>
      <c r="B20" s="11">
        <v>19</v>
      </c>
      <c r="C20">
        <v>428</v>
      </c>
      <c r="D20">
        <v>19</v>
      </c>
      <c r="E20" s="4">
        <v>44526</v>
      </c>
      <c r="F20" t="s">
        <v>99</v>
      </c>
      <c r="G20" t="s">
        <v>37</v>
      </c>
      <c r="H20" t="s">
        <v>110</v>
      </c>
      <c r="I20" t="s">
        <v>284</v>
      </c>
      <c r="J20" t="s">
        <v>41</v>
      </c>
      <c r="K20" s="9">
        <v>1.4770833333333333</v>
      </c>
      <c r="L20">
        <v>14</v>
      </c>
      <c r="M20">
        <v>27</v>
      </c>
      <c r="N20">
        <v>0.51900000000000002</v>
      </c>
      <c r="O20">
        <v>4</v>
      </c>
      <c r="P20">
        <v>9</v>
      </c>
      <c r="Q20">
        <v>0.44400000000000001</v>
      </c>
      <c r="R20">
        <v>10</v>
      </c>
      <c r="S20">
        <v>18</v>
      </c>
      <c r="T20">
        <v>0.55600000000000005</v>
      </c>
      <c r="U20">
        <v>0.59299999999999997</v>
      </c>
      <c r="V20">
        <v>0</v>
      </c>
      <c r="W20">
        <v>0</v>
      </c>
      <c r="Y20">
        <v>0</v>
      </c>
      <c r="Z20">
        <v>1</v>
      </c>
      <c r="AA20">
        <v>1</v>
      </c>
      <c r="AB20">
        <v>3</v>
      </c>
      <c r="AC20">
        <v>1</v>
      </c>
      <c r="AD20">
        <v>1</v>
      </c>
      <c r="AE20">
        <v>3</v>
      </c>
      <c r="AF20">
        <v>0</v>
      </c>
      <c r="AG20">
        <v>32</v>
      </c>
      <c r="AH20">
        <v>19.8</v>
      </c>
      <c r="AI20">
        <v>15</v>
      </c>
    </row>
    <row r="21" spans="1:35" ht="21" x14ac:dyDescent="0.3">
      <c r="A21" t="s">
        <v>551</v>
      </c>
      <c r="B21" s="11">
        <v>20</v>
      </c>
      <c r="C21">
        <v>429</v>
      </c>
      <c r="D21">
        <v>20</v>
      </c>
      <c r="E21" s="4">
        <v>44527</v>
      </c>
      <c r="F21" t="s">
        <v>99</v>
      </c>
      <c r="G21" t="s">
        <v>37</v>
      </c>
      <c r="H21" t="s">
        <v>85</v>
      </c>
      <c r="I21" t="s">
        <v>285</v>
      </c>
      <c r="J21" t="s">
        <v>41</v>
      </c>
      <c r="K21" s="9">
        <v>1.3236111111111111</v>
      </c>
      <c r="L21">
        <v>9</v>
      </c>
      <c r="M21">
        <v>18</v>
      </c>
      <c r="N21">
        <v>0.5</v>
      </c>
      <c r="O21">
        <v>4</v>
      </c>
      <c r="P21">
        <v>6</v>
      </c>
      <c r="Q21">
        <v>0.66700000000000004</v>
      </c>
      <c r="R21">
        <v>5</v>
      </c>
      <c r="S21">
        <v>12</v>
      </c>
      <c r="T21">
        <v>0.41699999999999998</v>
      </c>
      <c r="U21">
        <v>0.61099999999999999</v>
      </c>
      <c r="V21">
        <v>8</v>
      </c>
      <c r="W21">
        <v>8</v>
      </c>
      <c r="X21">
        <v>1</v>
      </c>
      <c r="Y21">
        <v>0</v>
      </c>
      <c r="Z21">
        <v>1</v>
      </c>
      <c r="AA21">
        <v>1</v>
      </c>
      <c r="AB21">
        <v>4</v>
      </c>
      <c r="AC21">
        <v>1</v>
      </c>
      <c r="AD21">
        <v>0</v>
      </c>
      <c r="AE21">
        <v>3</v>
      </c>
      <c r="AF21">
        <v>5</v>
      </c>
      <c r="AG21">
        <v>30</v>
      </c>
      <c r="AH21">
        <v>20.100000000000001</v>
      </c>
      <c r="AI21">
        <v>7</v>
      </c>
    </row>
    <row r="22" spans="1:35" ht="21" x14ac:dyDescent="0.3">
      <c r="A22" t="s">
        <v>551</v>
      </c>
      <c r="B22" s="11">
        <v>21</v>
      </c>
      <c r="C22">
        <v>430</v>
      </c>
      <c r="D22">
        <v>21</v>
      </c>
      <c r="E22" s="4">
        <v>44530</v>
      </c>
      <c r="F22" t="s">
        <v>99</v>
      </c>
      <c r="H22" t="s">
        <v>33</v>
      </c>
      <c r="I22" t="s">
        <v>286</v>
      </c>
      <c r="J22" t="s">
        <v>41</v>
      </c>
      <c r="K22" s="7">
        <v>0.64375000000000004</v>
      </c>
      <c r="L22">
        <v>4</v>
      </c>
      <c r="M22">
        <v>9</v>
      </c>
      <c r="N22">
        <v>0.44400000000000001</v>
      </c>
      <c r="O22">
        <v>0</v>
      </c>
      <c r="P22">
        <v>2</v>
      </c>
      <c r="Q22">
        <v>0</v>
      </c>
      <c r="R22">
        <v>4</v>
      </c>
      <c r="S22">
        <v>7</v>
      </c>
      <c r="T22">
        <v>0.57099999999999995</v>
      </c>
      <c r="U22">
        <v>0.44400000000000001</v>
      </c>
      <c r="V22">
        <v>2</v>
      </c>
      <c r="W22">
        <v>2</v>
      </c>
      <c r="X22">
        <v>1</v>
      </c>
      <c r="Y22">
        <v>1</v>
      </c>
      <c r="Z22">
        <v>1</v>
      </c>
      <c r="AA22">
        <v>2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10</v>
      </c>
      <c r="AH22">
        <v>5.6</v>
      </c>
      <c r="AI22">
        <v>-5</v>
      </c>
    </row>
    <row r="23" spans="1:35" ht="21" x14ac:dyDescent="0.3">
      <c r="A23" t="s">
        <v>551</v>
      </c>
      <c r="B23" s="11">
        <v>21</v>
      </c>
      <c r="D23">
        <v>22</v>
      </c>
      <c r="E23" s="4">
        <v>44532</v>
      </c>
      <c r="F23" t="s">
        <v>99</v>
      </c>
      <c r="H23" t="s">
        <v>89</v>
      </c>
      <c r="I23" t="s">
        <v>287</v>
      </c>
      <c r="J23" t="s">
        <v>210</v>
      </c>
      <c r="K23" t="s">
        <v>210</v>
      </c>
      <c r="L23" t="s">
        <v>210</v>
      </c>
      <c r="M23" t="s">
        <v>210</v>
      </c>
      <c r="N23" t="s">
        <v>210</v>
      </c>
      <c r="O23" t="s">
        <v>210</v>
      </c>
      <c r="P23" t="s">
        <v>357</v>
      </c>
    </row>
    <row r="24" spans="1:35" ht="21" x14ac:dyDescent="0.3">
      <c r="A24" t="s">
        <v>551</v>
      </c>
      <c r="B24" s="11">
        <v>21</v>
      </c>
      <c r="D24">
        <v>23</v>
      </c>
      <c r="E24" s="4">
        <v>44533</v>
      </c>
      <c r="F24" t="s">
        <v>99</v>
      </c>
      <c r="G24" t="s">
        <v>37</v>
      </c>
      <c r="H24" t="s">
        <v>33</v>
      </c>
      <c r="I24" t="s">
        <v>288</v>
      </c>
      <c r="J24" t="s">
        <v>210</v>
      </c>
      <c r="K24" t="s">
        <v>210</v>
      </c>
      <c r="L24" t="s">
        <v>210</v>
      </c>
      <c r="M24" t="s">
        <v>210</v>
      </c>
      <c r="N24" t="s">
        <v>210</v>
      </c>
      <c r="O24" t="s">
        <v>210</v>
      </c>
      <c r="P24" t="s">
        <v>357</v>
      </c>
    </row>
    <row r="25" spans="1:35" ht="21" x14ac:dyDescent="0.3">
      <c r="A25" t="s">
        <v>551</v>
      </c>
      <c r="B25" s="11">
        <v>21</v>
      </c>
      <c r="D25">
        <v>24</v>
      </c>
      <c r="E25" s="4">
        <v>44536</v>
      </c>
      <c r="F25" t="s">
        <v>99</v>
      </c>
      <c r="H25" t="s">
        <v>102</v>
      </c>
      <c r="I25" t="s">
        <v>289</v>
      </c>
      <c r="J25" t="s">
        <v>210</v>
      </c>
      <c r="K25" t="s">
        <v>210</v>
      </c>
      <c r="L25" t="s">
        <v>210</v>
      </c>
      <c r="M25" t="s">
        <v>210</v>
      </c>
      <c r="N25" t="s">
        <v>210</v>
      </c>
      <c r="O25" t="s">
        <v>210</v>
      </c>
      <c r="P25" t="s">
        <v>357</v>
      </c>
    </row>
    <row r="26" spans="1:35" ht="21" x14ac:dyDescent="0.3">
      <c r="A26" t="s">
        <v>551</v>
      </c>
      <c r="B26" s="11">
        <v>21</v>
      </c>
      <c r="D26">
        <v>25</v>
      </c>
      <c r="E26" s="4">
        <v>44540</v>
      </c>
      <c r="F26" t="s">
        <v>99</v>
      </c>
      <c r="H26" t="s">
        <v>55</v>
      </c>
      <c r="I26" t="s">
        <v>290</v>
      </c>
      <c r="J26" t="s">
        <v>210</v>
      </c>
      <c r="K26" t="s">
        <v>210</v>
      </c>
      <c r="L26" t="s">
        <v>210</v>
      </c>
      <c r="M26" t="s">
        <v>210</v>
      </c>
      <c r="N26" t="s">
        <v>210</v>
      </c>
      <c r="O26" t="s">
        <v>210</v>
      </c>
      <c r="P26" t="s">
        <v>357</v>
      </c>
    </row>
    <row r="27" spans="1:35" ht="21" x14ac:dyDescent="0.3">
      <c r="A27" t="s">
        <v>551</v>
      </c>
      <c r="B27" s="11">
        <v>21</v>
      </c>
      <c r="D27">
        <v>26</v>
      </c>
      <c r="E27" s="4">
        <v>44543</v>
      </c>
      <c r="F27" t="s">
        <v>99</v>
      </c>
      <c r="G27" t="s">
        <v>37</v>
      </c>
      <c r="H27" t="s">
        <v>64</v>
      </c>
      <c r="I27" t="s">
        <v>291</v>
      </c>
      <c r="J27" t="s">
        <v>210</v>
      </c>
      <c r="K27" t="s">
        <v>210</v>
      </c>
      <c r="L27" t="s">
        <v>210</v>
      </c>
      <c r="M27" t="s">
        <v>210</v>
      </c>
      <c r="N27" t="s">
        <v>210</v>
      </c>
      <c r="O27" t="s">
        <v>210</v>
      </c>
      <c r="P27" t="s">
        <v>357</v>
      </c>
    </row>
    <row r="28" spans="1:35" ht="21" x14ac:dyDescent="0.3">
      <c r="A28" t="s">
        <v>551</v>
      </c>
      <c r="B28" s="11">
        <v>21</v>
      </c>
      <c r="D28">
        <v>27</v>
      </c>
      <c r="E28" s="4">
        <v>44544</v>
      </c>
      <c r="F28" t="s">
        <v>99</v>
      </c>
      <c r="G28" t="s">
        <v>37</v>
      </c>
      <c r="H28" t="s">
        <v>96</v>
      </c>
      <c r="I28" t="s">
        <v>292</v>
      </c>
      <c r="J28" t="s">
        <v>358</v>
      </c>
      <c r="K28" t="s">
        <v>358</v>
      </c>
      <c r="L28" t="s">
        <v>358</v>
      </c>
      <c r="M28" t="s">
        <v>358</v>
      </c>
      <c r="N28" t="s">
        <v>358</v>
      </c>
      <c r="O28" t="s">
        <v>358</v>
      </c>
      <c r="P28" t="s">
        <v>357</v>
      </c>
    </row>
    <row r="29" spans="1:35" ht="21" x14ac:dyDescent="0.3">
      <c r="A29" t="s">
        <v>551</v>
      </c>
      <c r="B29" s="11">
        <v>21</v>
      </c>
      <c r="D29">
        <v>28</v>
      </c>
      <c r="E29" s="4">
        <v>44546</v>
      </c>
      <c r="F29" t="s">
        <v>99</v>
      </c>
      <c r="H29" t="s">
        <v>155</v>
      </c>
      <c r="I29" t="s">
        <v>293</v>
      </c>
      <c r="J29" t="s">
        <v>210</v>
      </c>
      <c r="K29" t="s">
        <v>210</v>
      </c>
      <c r="L29" t="s">
        <v>210</v>
      </c>
      <c r="M29" t="s">
        <v>210</v>
      </c>
      <c r="N29" t="s">
        <v>210</v>
      </c>
      <c r="O29" t="s">
        <v>210</v>
      </c>
      <c r="P29" t="s">
        <v>357</v>
      </c>
    </row>
    <row r="30" spans="1:35" ht="21" x14ac:dyDescent="0.3">
      <c r="A30" t="s">
        <v>551</v>
      </c>
      <c r="B30" s="11">
        <v>22</v>
      </c>
      <c r="C30">
        <v>431</v>
      </c>
      <c r="D30">
        <v>29</v>
      </c>
      <c r="E30" s="4">
        <v>44549</v>
      </c>
      <c r="F30" t="s">
        <v>99</v>
      </c>
      <c r="H30" t="s">
        <v>72</v>
      </c>
      <c r="I30" t="s">
        <v>294</v>
      </c>
      <c r="J30" t="s">
        <v>41</v>
      </c>
      <c r="K30" s="9">
        <v>1.101388888888889</v>
      </c>
      <c r="L30">
        <v>6</v>
      </c>
      <c r="M30">
        <v>15</v>
      </c>
      <c r="N30">
        <v>0.4</v>
      </c>
      <c r="O30">
        <v>4</v>
      </c>
      <c r="P30">
        <v>8</v>
      </c>
      <c r="Q30">
        <v>0.5</v>
      </c>
      <c r="R30">
        <v>2</v>
      </c>
      <c r="S30">
        <v>7</v>
      </c>
      <c r="T30">
        <v>0.28599999999999998</v>
      </c>
      <c r="U30">
        <v>0.53300000000000003</v>
      </c>
      <c r="V30">
        <v>0</v>
      </c>
      <c r="W30">
        <v>0</v>
      </c>
      <c r="Y30">
        <v>0</v>
      </c>
      <c r="Z30">
        <v>6</v>
      </c>
      <c r="AA30">
        <v>6</v>
      </c>
      <c r="AB30">
        <v>5</v>
      </c>
      <c r="AC30">
        <v>1</v>
      </c>
      <c r="AD30">
        <v>0</v>
      </c>
      <c r="AE30">
        <v>1</v>
      </c>
      <c r="AF30">
        <v>4</v>
      </c>
      <c r="AG30">
        <v>16</v>
      </c>
      <c r="AH30">
        <v>11.6</v>
      </c>
      <c r="AI30">
        <v>32</v>
      </c>
    </row>
    <row r="31" spans="1:35" ht="21" x14ac:dyDescent="0.3">
      <c r="A31" t="s">
        <v>551</v>
      </c>
      <c r="B31" s="11">
        <v>23</v>
      </c>
      <c r="C31">
        <v>432</v>
      </c>
      <c r="D31">
        <v>30</v>
      </c>
      <c r="E31" s="4">
        <v>44551</v>
      </c>
      <c r="F31" t="s">
        <v>99</v>
      </c>
      <c r="G31" t="s">
        <v>37</v>
      </c>
      <c r="H31" t="s">
        <v>62</v>
      </c>
      <c r="I31" t="s">
        <v>295</v>
      </c>
      <c r="J31" t="s">
        <v>41</v>
      </c>
      <c r="K31" s="9">
        <v>1.3159722222222223</v>
      </c>
      <c r="L31">
        <v>8</v>
      </c>
      <c r="M31">
        <v>16</v>
      </c>
      <c r="N31">
        <v>0.5</v>
      </c>
      <c r="O31">
        <v>6</v>
      </c>
      <c r="P31">
        <v>11</v>
      </c>
      <c r="Q31">
        <v>0.54500000000000004</v>
      </c>
      <c r="R31">
        <v>2</v>
      </c>
      <c r="S31">
        <v>5</v>
      </c>
      <c r="T31">
        <v>0.4</v>
      </c>
      <c r="U31">
        <v>0.68799999999999994</v>
      </c>
      <c r="V31">
        <v>2</v>
      </c>
      <c r="W31">
        <v>2</v>
      </c>
      <c r="X31">
        <v>1</v>
      </c>
      <c r="Y31">
        <v>1</v>
      </c>
      <c r="Z31">
        <v>8</v>
      </c>
      <c r="AA31">
        <v>9</v>
      </c>
      <c r="AB31">
        <v>7</v>
      </c>
      <c r="AC31">
        <v>1</v>
      </c>
      <c r="AD31">
        <v>0</v>
      </c>
      <c r="AE31">
        <v>5</v>
      </c>
      <c r="AF31">
        <v>2</v>
      </c>
      <c r="AG31">
        <v>24</v>
      </c>
      <c r="AH31">
        <v>19.2</v>
      </c>
      <c r="AI31">
        <v>14</v>
      </c>
    </row>
    <row r="32" spans="1:35" ht="21" x14ac:dyDescent="0.3">
      <c r="A32" t="s">
        <v>551</v>
      </c>
      <c r="B32" s="11">
        <v>24</v>
      </c>
      <c r="C32">
        <v>433</v>
      </c>
      <c r="D32">
        <v>31</v>
      </c>
      <c r="E32" s="4">
        <v>44553</v>
      </c>
      <c r="F32" t="s">
        <v>99</v>
      </c>
      <c r="H32" t="s">
        <v>68</v>
      </c>
      <c r="I32" t="s">
        <v>195</v>
      </c>
      <c r="J32" t="s">
        <v>41</v>
      </c>
      <c r="K32" s="9">
        <v>1.4638888888888888</v>
      </c>
      <c r="L32">
        <v>12</v>
      </c>
      <c r="M32">
        <v>23</v>
      </c>
      <c r="N32">
        <v>0.52200000000000002</v>
      </c>
      <c r="O32">
        <v>4</v>
      </c>
      <c r="P32">
        <v>7</v>
      </c>
      <c r="Q32">
        <v>0.57099999999999995</v>
      </c>
      <c r="R32">
        <v>8</v>
      </c>
      <c r="S32">
        <v>16</v>
      </c>
      <c r="T32">
        <v>0.5</v>
      </c>
      <c r="U32">
        <v>0.60899999999999999</v>
      </c>
      <c r="V32">
        <v>2</v>
      </c>
      <c r="W32">
        <v>2</v>
      </c>
      <c r="X32">
        <v>1</v>
      </c>
      <c r="Y32">
        <v>2</v>
      </c>
      <c r="Z32">
        <v>5</v>
      </c>
      <c r="AA32">
        <v>7</v>
      </c>
      <c r="AB32">
        <v>7</v>
      </c>
      <c r="AC32">
        <v>2</v>
      </c>
      <c r="AD32">
        <v>1</v>
      </c>
      <c r="AE32">
        <v>2</v>
      </c>
      <c r="AF32">
        <v>3</v>
      </c>
      <c r="AG32">
        <v>30</v>
      </c>
      <c r="AH32">
        <v>26</v>
      </c>
      <c r="AI32">
        <v>19</v>
      </c>
    </row>
    <row r="33" spans="1:35" ht="21" x14ac:dyDescent="0.3">
      <c r="A33" t="s">
        <v>551</v>
      </c>
      <c r="B33" s="11">
        <v>25</v>
      </c>
      <c r="C33">
        <v>434</v>
      </c>
      <c r="D33">
        <v>32</v>
      </c>
      <c r="E33" s="4">
        <v>44555</v>
      </c>
      <c r="F33" t="s">
        <v>99</v>
      </c>
      <c r="H33" t="s">
        <v>33</v>
      </c>
      <c r="I33" t="s">
        <v>296</v>
      </c>
      <c r="J33" t="s">
        <v>41</v>
      </c>
      <c r="K33" s="9">
        <v>1.6812499999999999</v>
      </c>
      <c r="L33">
        <v>5</v>
      </c>
      <c r="M33">
        <v>19</v>
      </c>
      <c r="N33">
        <v>0.26300000000000001</v>
      </c>
      <c r="O33">
        <v>1</v>
      </c>
      <c r="P33">
        <v>5</v>
      </c>
      <c r="Q33">
        <v>0.2</v>
      </c>
      <c r="R33">
        <v>4</v>
      </c>
      <c r="S33">
        <v>14</v>
      </c>
      <c r="T33">
        <v>0.28599999999999998</v>
      </c>
      <c r="U33">
        <v>0.28899999999999998</v>
      </c>
      <c r="V33">
        <v>2</v>
      </c>
      <c r="W33">
        <v>2</v>
      </c>
      <c r="X33">
        <v>1</v>
      </c>
      <c r="Y33">
        <v>1</v>
      </c>
      <c r="Z33">
        <v>2</v>
      </c>
      <c r="AA33">
        <v>3</v>
      </c>
      <c r="AB33">
        <v>3</v>
      </c>
      <c r="AC33">
        <v>2</v>
      </c>
      <c r="AD33">
        <v>0</v>
      </c>
      <c r="AE33">
        <v>2</v>
      </c>
      <c r="AF33">
        <v>3</v>
      </c>
      <c r="AG33">
        <v>13</v>
      </c>
      <c r="AH33">
        <v>3.9</v>
      </c>
      <c r="AI33">
        <v>-8</v>
      </c>
    </row>
    <row r="34" spans="1:35" ht="21" x14ac:dyDescent="0.3">
      <c r="A34" t="s">
        <v>551</v>
      </c>
      <c r="B34" s="11">
        <v>26</v>
      </c>
      <c r="C34">
        <v>435</v>
      </c>
      <c r="D34">
        <v>33</v>
      </c>
      <c r="E34" s="4">
        <v>44557</v>
      </c>
      <c r="F34" t="s">
        <v>99</v>
      </c>
      <c r="H34" t="s">
        <v>42</v>
      </c>
      <c r="I34" t="s">
        <v>297</v>
      </c>
      <c r="J34" t="s">
        <v>41</v>
      </c>
      <c r="K34" s="9">
        <v>1.54375</v>
      </c>
      <c r="L34">
        <v>10</v>
      </c>
      <c r="M34">
        <v>20</v>
      </c>
      <c r="N34">
        <v>0.5</v>
      </c>
      <c r="O34">
        <v>3</v>
      </c>
      <c r="P34">
        <v>6</v>
      </c>
      <c r="Q34">
        <v>0.5</v>
      </c>
      <c r="R34">
        <v>7</v>
      </c>
      <c r="S34">
        <v>14</v>
      </c>
      <c r="T34">
        <v>0.5</v>
      </c>
      <c r="U34">
        <v>0.57499999999999996</v>
      </c>
      <c r="V34">
        <v>7</v>
      </c>
      <c r="W34">
        <v>9</v>
      </c>
      <c r="X34">
        <v>0.77800000000000002</v>
      </c>
      <c r="Y34">
        <v>0</v>
      </c>
      <c r="Z34">
        <v>2</v>
      </c>
      <c r="AA34">
        <v>2</v>
      </c>
      <c r="AB34">
        <v>4</v>
      </c>
      <c r="AC34">
        <v>2</v>
      </c>
      <c r="AD34">
        <v>2</v>
      </c>
      <c r="AE34">
        <v>3</v>
      </c>
      <c r="AF34">
        <v>0</v>
      </c>
      <c r="AG34">
        <v>30</v>
      </c>
      <c r="AH34">
        <v>23</v>
      </c>
      <c r="AI34">
        <v>-8</v>
      </c>
    </row>
    <row r="35" spans="1:35" ht="21" x14ac:dyDescent="0.3">
      <c r="A35" t="s">
        <v>551</v>
      </c>
      <c r="B35" s="11">
        <v>27</v>
      </c>
      <c r="C35">
        <v>436</v>
      </c>
      <c r="D35">
        <v>34</v>
      </c>
      <c r="E35" s="4">
        <v>44559</v>
      </c>
      <c r="F35" t="s">
        <v>99</v>
      </c>
      <c r="H35" t="s">
        <v>68</v>
      </c>
      <c r="I35" t="s">
        <v>298</v>
      </c>
      <c r="J35" t="s">
        <v>41</v>
      </c>
      <c r="K35" s="9">
        <v>1.4888888888888889</v>
      </c>
      <c r="L35">
        <v>12</v>
      </c>
      <c r="M35">
        <v>24</v>
      </c>
      <c r="N35">
        <v>0.5</v>
      </c>
      <c r="O35">
        <v>6</v>
      </c>
      <c r="P35">
        <v>12</v>
      </c>
      <c r="Q35">
        <v>0.5</v>
      </c>
      <c r="R35">
        <v>6</v>
      </c>
      <c r="S35">
        <v>12</v>
      </c>
      <c r="T35">
        <v>0.5</v>
      </c>
      <c r="U35">
        <v>0.625</v>
      </c>
      <c r="V35">
        <v>8</v>
      </c>
      <c r="W35">
        <v>10</v>
      </c>
      <c r="X35">
        <v>0.8</v>
      </c>
      <c r="Y35">
        <v>1</v>
      </c>
      <c r="Z35">
        <v>6</v>
      </c>
      <c r="AA35">
        <v>7</v>
      </c>
      <c r="AB35">
        <v>5</v>
      </c>
      <c r="AC35">
        <v>0</v>
      </c>
      <c r="AD35">
        <v>2</v>
      </c>
      <c r="AE35">
        <v>1</v>
      </c>
      <c r="AF35">
        <v>1</v>
      </c>
      <c r="AG35">
        <v>38</v>
      </c>
      <c r="AH35">
        <v>31.2</v>
      </c>
      <c r="AI35">
        <v>18</v>
      </c>
    </row>
    <row r="36" spans="1:35" ht="21" x14ac:dyDescent="0.3">
      <c r="A36" t="s">
        <v>551</v>
      </c>
      <c r="B36" s="11">
        <v>28</v>
      </c>
      <c r="C36">
        <v>437</v>
      </c>
      <c r="D36">
        <v>35</v>
      </c>
      <c r="E36" s="4">
        <v>44561</v>
      </c>
      <c r="F36" t="s">
        <v>99</v>
      </c>
      <c r="G36" t="s">
        <v>37</v>
      </c>
      <c r="H36" t="s">
        <v>55</v>
      </c>
      <c r="I36" t="s">
        <v>299</v>
      </c>
      <c r="J36" t="s">
        <v>41</v>
      </c>
      <c r="K36" s="9">
        <v>1.5631944444444446</v>
      </c>
      <c r="L36">
        <v>7</v>
      </c>
      <c r="M36">
        <v>26</v>
      </c>
      <c r="N36">
        <v>0.26900000000000002</v>
      </c>
      <c r="O36">
        <v>1</v>
      </c>
      <c r="P36">
        <v>5</v>
      </c>
      <c r="Q36">
        <v>0.2</v>
      </c>
      <c r="R36">
        <v>6</v>
      </c>
      <c r="S36">
        <v>21</v>
      </c>
      <c r="T36">
        <v>0.28599999999999998</v>
      </c>
      <c r="U36">
        <v>0.28799999999999998</v>
      </c>
      <c r="V36">
        <v>7</v>
      </c>
      <c r="W36">
        <v>7</v>
      </c>
      <c r="X36">
        <v>1</v>
      </c>
      <c r="Y36">
        <v>0</v>
      </c>
      <c r="Z36">
        <v>6</v>
      </c>
      <c r="AA36">
        <v>6</v>
      </c>
      <c r="AB36">
        <v>4</v>
      </c>
      <c r="AC36">
        <v>2</v>
      </c>
      <c r="AD36">
        <v>0</v>
      </c>
      <c r="AE36">
        <v>2</v>
      </c>
      <c r="AF36">
        <v>2</v>
      </c>
      <c r="AG36">
        <v>22</v>
      </c>
      <c r="AH36">
        <v>10.4</v>
      </c>
      <c r="AI36">
        <v>-16</v>
      </c>
    </row>
    <row r="37" spans="1:35" ht="21" x14ac:dyDescent="0.3">
      <c r="A37" t="s">
        <v>551</v>
      </c>
      <c r="B37" s="11">
        <v>29</v>
      </c>
      <c r="C37">
        <v>438</v>
      </c>
      <c r="D37">
        <v>36</v>
      </c>
      <c r="E37" s="4">
        <v>44563</v>
      </c>
      <c r="F37" t="s">
        <v>99</v>
      </c>
      <c r="G37" t="s">
        <v>37</v>
      </c>
      <c r="H37" t="s">
        <v>72</v>
      </c>
      <c r="I37" t="s">
        <v>300</v>
      </c>
      <c r="J37" t="s">
        <v>41</v>
      </c>
      <c r="K37" s="9">
        <v>1.20625</v>
      </c>
      <c r="L37">
        <v>9</v>
      </c>
      <c r="M37">
        <v>19</v>
      </c>
      <c r="N37">
        <v>0.47399999999999998</v>
      </c>
      <c r="O37">
        <v>3</v>
      </c>
      <c r="P37">
        <v>9</v>
      </c>
      <c r="Q37">
        <v>0.33300000000000002</v>
      </c>
      <c r="R37">
        <v>6</v>
      </c>
      <c r="S37">
        <v>10</v>
      </c>
      <c r="T37">
        <v>0.6</v>
      </c>
      <c r="U37">
        <v>0.55300000000000005</v>
      </c>
      <c r="V37">
        <v>3</v>
      </c>
      <c r="W37">
        <v>3</v>
      </c>
      <c r="X37">
        <v>1</v>
      </c>
      <c r="Y37">
        <v>0</v>
      </c>
      <c r="Z37">
        <v>7</v>
      </c>
      <c r="AA37">
        <v>7</v>
      </c>
      <c r="AB37">
        <v>3</v>
      </c>
      <c r="AC37">
        <v>0</v>
      </c>
      <c r="AD37">
        <v>0</v>
      </c>
      <c r="AE37">
        <v>3</v>
      </c>
      <c r="AF37">
        <v>4</v>
      </c>
      <c r="AG37">
        <v>24</v>
      </c>
      <c r="AH37">
        <v>13.9</v>
      </c>
      <c r="AI37">
        <v>26</v>
      </c>
    </row>
    <row r="38" spans="1:35" ht="21" x14ac:dyDescent="0.3">
      <c r="A38" t="s">
        <v>551</v>
      </c>
      <c r="B38" s="11">
        <v>30</v>
      </c>
      <c r="C38">
        <v>439</v>
      </c>
      <c r="D38">
        <v>37</v>
      </c>
      <c r="E38" s="4">
        <v>44565</v>
      </c>
      <c r="F38" t="s">
        <v>99</v>
      </c>
      <c r="G38" t="s">
        <v>37</v>
      </c>
      <c r="H38" t="s">
        <v>74</v>
      </c>
      <c r="I38" t="s">
        <v>81</v>
      </c>
      <c r="J38" t="s">
        <v>41</v>
      </c>
      <c r="K38" s="9">
        <v>1.336111111111111</v>
      </c>
      <c r="L38">
        <v>12</v>
      </c>
      <c r="M38">
        <v>24</v>
      </c>
      <c r="N38">
        <v>0.5</v>
      </c>
      <c r="O38">
        <v>3</v>
      </c>
      <c r="P38">
        <v>6</v>
      </c>
      <c r="Q38">
        <v>0.5</v>
      </c>
      <c r="R38">
        <v>9</v>
      </c>
      <c r="S38">
        <v>18</v>
      </c>
      <c r="T38">
        <v>0.5</v>
      </c>
      <c r="U38">
        <v>0.56299999999999994</v>
      </c>
      <c r="V38">
        <v>6</v>
      </c>
      <c r="W38">
        <v>6</v>
      </c>
      <c r="X38">
        <v>1</v>
      </c>
      <c r="Y38">
        <v>1</v>
      </c>
      <c r="Z38">
        <v>8</v>
      </c>
      <c r="AA38">
        <v>9</v>
      </c>
      <c r="AB38">
        <v>4</v>
      </c>
      <c r="AC38">
        <v>0</v>
      </c>
      <c r="AD38">
        <v>0</v>
      </c>
      <c r="AE38">
        <v>2</v>
      </c>
      <c r="AF38">
        <v>4</v>
      </c>
      <c r="AG38">
        <v>33</v>
      </c>
      <c r="AH38">
        <v>23.3</v>
      </c>
      <c r="AI38">
        <v>15</v>
      </c>
    </row>
    <row r="39" spans="1:35" ht="21" x14ac:dyDescent="0.3">
      <c r="A39" t="s">
        <v>551</v>
      </c>
      <c r="B39" s="11">
        <v>31</v>
      </c>
      <c r="C39">
        <v>440</v>
      </c>
      <c r="D39">
        <v>38</v>
      </c>
      <c r="E39" s="4">
        <v>44567</v>
      </c>
      <c r="F39" t="s">
        <v>99</v>
      </c>
      <c r="H39" t="s">
        <v>64</v>
      </c>
      <c r="I39" t="s">
        <v>301</v>
      </c>
      <c r="J39" t="s">
        <v>41</v>
      </c>
      <c r="K39" s="9">
        <v>1.3944444444444444</v>
      </c>
      <c r="L39">
        <v>5</v>
      </c>
      <c r="M39">
        <v>22</v>
      </c>
      <c r="N39">
        <v>0.22700000000000001</v>
      </c>
      <c r="O39">
        <v>0</v>
      </c>
      <c r="P39">
        <v>7</v>
      </c>
      <c r="Q39">
        <v>0</v>
      </c>
      <c r="R39">
        <v>5</v>
      </c>
      <c r="S39">
        <v>15</v>
      </c>
      <c r="T39">
        <v>0.33300000000000002</v>
      </c>
      <c r="U39">
        <v>0.22700000000000001</v>
      </c>
      <c r="V39">
        <v>1</v>
      </c>
      <c r="W39">
        <v>2</v>
      </c>
      <c r="X39">
        <v>0.5</v>
      </c>
      <c r="Y39">
        <v>3</v>
      </c>
      <c r="Z39">
        <v>7</v>
      </c>
      <c r="AA39">
        <v>10</v>
      </c>
      <c r="AB39">
        <v>4</v>
      </c>
      <c r="AC39">
        <v>0</v>
      </c>
      <c r="AD39">
        <v>0</v>
      </c>
      <c r="AE39">
        <v>2</v>
      </c>
      <c r="AF39">
        <v>2</v>
      </c>
      <c r="AG39">
        <v>11</v>
      </c>
      <c r="AH39">
        <v>1.4</v>
      </c>
      <c r="AI39">
        <v>-6</v>
      </c>
    </row>
    <row r="40" spans="1:35" ht="21" x14ac:dyDescent="0.3">
      <c r="A40" t="s">
        <v>551</v>
      </c>
      <c r="B40" s="11">
        <v>32</v>
      </c>
      <c r="C40">
        <v>441</v>
      </c>
      <c r="D40">
        <v>39</v>
      </c>
      <c r="E40" s="4">
        <v>44569</v>
      </c>
      <c r="F40" t="s">
        <v>99</v>
      </c>
      <c r="H40" t="s">
        <v>120</v>
      </c>
      <c r="I40" t="s">
        <v>302</v>
      </c>
      <c r="J40" t="s">
        <v>41</v>
      </c>
      <c r="K40" s="9">
        <v>1.3895833333333334</v>
      </c>
      <c r="L40">
        <v>5</v>
      </c>
      <c r="M40">
        <v>15</v>
      </c>
      <c r="N40">
        <v>0.33300000000000002</v>
      </c>
      <c r="O40">
        <v>3</v>
      </c>
      <c r="P40">
        <v>5</v>
      </c>
      <c r="Q40">
        <v>0.6</v>
      </c>
      <c r="R40">
        <v>2</v>
      </c>
      <c r="S40">
        <v>10</v>
      </c>
      <c r="T40">
        <v>0.2</v>
      </c>
      <c r="U40">
        <v>0.433</v>
      </c>
      <c r="V40">
        <v>13</v>
      </c>
      <c r="W40">
        <v>13</v>
      </c>
      <c r="X40">
        <v>1</v>
      </c>
      <c r="Y40">
        <v>0</v>
      </c>
      <c r="Z40">
        <v>4</v>
      </c>
      <c r="AA40">
        <v>4</v>
      </c>
      <c r="AB40">
        <v>3</v>
      </c>
      <c r="AC40">
        <v>2</v>
      </c>
      <c r="AD40">
        <v>0</v>
      </c>
      <c r="AE40">
        <v>5</v>
      </c>
      <c r="AF40">
        <v>4</v>
      </c>
      <c r="AG40">
        <v>26</v>
      </c>
      <c r="AH40">
        <v>16.2</v>
      </c>
      <c r="AI40">
        <v>-22</v>
      </c>
    </row>
    <row r="41" spans="1:35" ht="21" x14ac:dyDescent="0.3">
      <c r="A41" t="s">
        <v>551</v>
      </c>
      <c r="B41" s="11">
        <v>33</v>
      </c>
      <c r="C41">
        <v>442</v>
      </c>
      <c r="D41">
        <v>40</v>
      </c>
      <c r="E41" s="4">
        <v>44572</v>
      </c>
      <c r="F41" t="s">
        <v>99</v>
      </c>
      <c r="G41" t="s">
        <v>37</v>
      </c>
      <c r="H41" t="s">
        <v>92</v>
      </c>
      <c r="I41" t="s">
        <v>303</v>
      </c>
      <c r="J41" t="s">
        <v>41</v>
      </c>
      <c r="K41" s="9">
        <v>1.5055555555555555</v>
      </c>
      <c r="L41">
        <v>4</v>
      </c>
      <c r="M41">
        <v>13</v>
      </c>
      <c r="N41">
        <v>0.308</v>
      </c>
      <c r="O41">
        <v>2</v>
      </c>
      <c r="P41">
        <v>7</v>
      </c>
      <c r="Q41">
        <v>0.28599999999999998</v>
      </c>
      <c r="R41">
        <v>2</v>
      </c>
      <c r="S41">
        <v>6</v>
      </c>
      <c r="T41">
        <v>0.33300000000000002</v>
      </c>
      <c r="U41">
        <v>0.38500000000000001</v>
      </c>
      <c r="V41">
        <v>6</v>
      </c>
      <c r="W41">
        <v>8</v>
      </c>
      <c r="X41">
        <v>0.75</v>
      </c>
      <c r="Y41">
        <v>1</v>
      </c>
      <c r="Z41">
        <v>4</v>
      </c>
      <c r="AA41">
        <v>5</v>
      </c>
      <c r="AB41">
        <v>3</v>
      </c>
      <c r="AC41">
        <v>1</v>
      </c>
      <c r="AD41">
        <v>0</v>
      </c>
      <c r="AE41">
        <v>3</v>
      </c>
      <c r="AF41">
        <v>6</v>
      </c>
      <c r="AG41">
        <v>16</v>
      </c>
      <c r="AH41">
        <v>7.3</v>
      </c>
      <c r="AI41">
        <v>-1</v>
      </c>
    </row>
    <row r="42" spans="1:35" ht="21" x14ac:dyDescent="0.3">
      <c r="A42" t="s">
        <v>551</v>
      </c>
      <c r="B42" s="11">
        <v>34</v>
      </c>
      <c r="C42">
        <v>443</v>
      </c>
      <c r="D42">
        <v>41</v>
      </c>
      <c r="E42" s="4">
        <v>44575</v>
      </c>
      <c r="F42" t="s">
        <v>99</v>
      </c>
      <c r="G42" t="s">
        <v>37</v>
      </c>
      <c r="H42" t="s">
        <v>108</v>
      </c>
      <c r="I42" t="s">
        <v>304</v>
      </c>
      <c r="J42" t="s">
        <v>41</v>
      </c>
      <c r="K42" s="9">
        <v>1.4694444444444446</v>
      </c>
      <c r="L42">
        <v>11</v>
      </c>
      <c r="M42">
        <v>25</v>
      </c>
      <c r="N42">
        <v>0.44</v>
      </c>
      <c r="O42">
        <v>6</v>
      </c>
      <c r="P42">
        <v>13</v>
      </c>
      <c r="Q42">
        <v>0.46200000000000002</v>
      </c>
      <c r="R42">
        <v>5</v>
      </c>
      <c r="S42">
        <v>12</v>
      </c>
      <c r="T42">
        <v>0.41699999999999998</v>
      </c>
      <c r="U42">
        <v>0.56000000000000005</v>
      </c>
      <c r="V42">
        <v>7</v>
      </c>
      <c r="W42">
        <v>8</v>
      </c>
      <c r="X42">
        <v>0.875</v>
      </c>
      <c r="Y42">
        <v>2</v>
      </c>
      <c r="Z42">
        <v>2</v>
      </c>
      <c r="AA42">
        <v>4</v>
      </c>
      <c r="AB42">
        <v>3</v>
      </c>
      <c r="AC42">
        <v>0</v>
      </c>
      <c r="AD42">
        <v>1</v>
      </c>
      <c r="AE42">
        <v>2</v>
      </c>
      <c r="AF42">
        <v>2</v>
      </c>
      <c r="AG42">
        <v>35</v>
      </c>
      <c r="AH42">
        <v>23.5</v>
      </c>
      <c r="AI42">
        <v>7</v>
      </c>
    </row>
    <row r="43" spans="1:35" ht="21" x14ac:dyDescent="0.3">
      <c r="A43" t="s">
        <v>551</v>
      </c>
      <c r="B43" s="11">
        <v>35</v>
      </c>
      <c r="C43">
        <v>444</v>
      </c>
      <c r="D43">
        <v>42</v>
      </c>
      <c r="E43" s="4">
        <v>44577</v>
      </c>
      <c r="F43" t="s">
        <v>99</v>
      </c>
      <c r="G43" t="s">
        <v>37</v>
      </c>
      <c r="H43" t="s">
        <v>89</v>
      </c>
      <c r="I43" t="s">
        <v>305</v>
      </c>
      <c r="J43" t="s">
        <v>41</v>
      </c>
      <c r="K43" s="9">
        <v>1.2326388888888888</v>
      </c>
      <c r="L43">
        <v>11</v>
      </c>
      <c r="M43">
        <v>18</v>
      </c>
      <c r="N43">
        <v>0.61099999999999999</v>
      </c>
      <c r="O43">
        <v>1</v>
      </c>
      <c r="P43">
        <v>5</v>
      </c>
      <c r="Q43">
        <v>0.2</v>
      </c>
      <c r="R43">
        <v>10</v>
      </c>
      <c r="S43">
        <v>13</v>
      </c>
      <c r="T43">
        <v>0.76900000000000002</v>
      </c>
      <c r="U43">
        <v>0.63900000000000001</v>
      </c>
      <c r="V43">
        <v>7</v>
      </c>
      <c r="W43">
        <v>10</v>
      </c>
      <c r="X43">
        <v>0.7</v>
      </c>
      <c r="Y43">
        <v>1</v>
      </c>
      <c r="Z43">
        <v>3</v>
      </c>
      <c r="AA43">
        <v>4</v>
      </c>
      <c r="AB43">
        <v>4</v>
      </c>
      <c r="AC43">
        <v>0</v>
      </c>
      <c r="AD43">
        <v>0</v>
      </c>
      <c r="AE43">
        <v>1</v>
      </c>
      <c r="AF43">
        <v>1</v>
      </c>
      <c r="AG43">
        <v>30</v>
      </c>
      <c r="AH43">
        <v>23.6</v>
      </c>
      <c r="AI43">
        <v>20</v>
      </c>
    </row>
    <row r="44" spans="1:35" ht="21" x14ac:dyDescent="0.3">
      <c r="A44" t="s">
        <v>551</v>
      </c>
      <c r="B44" s="11">
        <v>36</v>
      </c>
      <c r="C44">
        <v>445</v>
      </c>
      <c r="D44">
        <v>43</v>
      </c>
      <c r="E44" s="4">
        <v>44578</v>
      </c>
      <c r="F44" t="s">
        <v>99</v>
      </c>
      <c r="G44" t="s">
        <v>37</v>
      </c>
      <c r="H44" t="s">
        <v>102</v>
      </c>
      <c r="I44" t="s">
        <v>306</v>
      </c>
      <c r="J44" t="s">
        <v>41</v>
      </c>
      <c r="K44" s="9">
        <v>1.4520833333333334</v>
      </c>
      <c r="L44">
        <v>18</v>
      </c>
      <c r="M44">
        <v>33</v>
      </c>
      <c r="N44">
        <v>0.54500000000000004</v>
      </c>
      <c r="O44">
        <v>5</v>
      </c>
      <c r="P44">
        <v>13</v>
      </c>
      <c r="Q44">
        <v>0.38500000000000001</v>
      </c>
      <c r="R44">
        <v>13</v>
      </c>
      <c r="S44">
        <v>20</v>
      </c>
      <c r="T44">
        <v>0.65</v>
      </c>
      <c r="U44">
        <v>0.621</v>
      </c>
      <c r="V44">
        <v>7</v>
      </c>
      <c r="W44">
        <v>8</v>
      </c>
      <c r="X44">
        <v>0.875</v>
      </c>
      <c r="Y44">
        <v>0</v>
      </c>
      <c r="Z44">
        <v>5</v>
      </c>
      <c r="AA44">
        <v>5</v>
      </c>
      <c r="AB44">
        <v>6</v>
      </c>
      <c r="AC44">
        <v>3</v>
      </c>
      <c r="AD44">
        <v>0</v>
      </c>
      <c r="AE44">
        <v>0</v>
      </c>
      <c r="AF44">
        <v>2</v>
      </c>
      <c r="AG44">
        <v>48</v>
      </c>
      <c r="AH44">
        <v>39.6</v>
      </c>
      <c r="AI44">
        <v>3</v>
      </c>
    </row>
    <row r="45" spans="1:35" ht="21" x14ac:dyDescent="0.3">
      <c r="A45" t="s">
        <v>551</v>
      </c>
      <c r="B45" s="11">
        <v>37</v>
      </c>
      <c r="C45">
        <v>446</v>
      </c>
      <c r="D45">
        <v>44</v>
      </c>
      <c r="E45" s="4">
        <v>44581</v>
      </c>
      <c r="F45" t="s">
        <v>99</v>
      </c>
      <c r="G45" t="s">
        <v>37</v>
      </c>
      <c r="H45" t="s">
        <v>49</v>
      </c>
      <c r="I45" t="s">
        <v>307</v>
      </c>
      <c r="J45" t="s">
        <v>41</v>
      </c>
      <c r="K45" s="9">
        <v>1.5958333333333334</v>
      </c>
      <c r="L45">
        <v>11</v>
      </c>
      <c r="M45">
        <v>25</v>
      </c>
      <c r="N45">
        <v>0.44</v>
      </c>
      <c r="O45">
        <v>1</v>
      </c>
      <c r="P45">
        <v>8</v>
      </c>
      <c r="Q45">
        <v>0.125</v>
      </c>
      <c r="R45">
        <v>10</v>
      </c>
      <c r="S45">
        <v>17</v>
      </c>
      <c r="T45">
        <v>0.58799999999999997</v>
      </c>
      <c r="U45">
        <v>0.46</v>
      </c>
      <c r="V45">
        <v>5</v>
      </c>
      <c r="W45">
        <v>5</v>
      </c>
      <c r="X45">
        <v>1</v>
      </c>
      <c r="Y45">
        <v>0</v>
      </c>
      <c r="Z45">
        <v>5</v>
      </c>
      <c r="AA45">
        <v>5</v>
      </c>
      <c r="AB45">
        <v>6</v>
      </c>
      <c r="AC45">
        <v>0</v>
      </c>
      <c r="AD45">
        <v>0</v>
      </c>
      <c r="AE45">
        <v>2</v>
      </c>
      <c r="AF45">
        <v>2</v>
      </c>
      <c r="AG45">
        <v>28</v>
      </c>
      <c r="AH45">
        <v>17.8</v>
      </c>
      <c r="AI45">
        <v>5</v>
      </c>
    </row>
    <row r="46" spans="1:35" ht="21" x14ac:dyDescent="0.3">
      <c r="A46" t="s">
        <v>551</v>
      </c>
      <c r="B46" s="11">
        <v>38</v>
      </c>
      <c r="C46">
        <v>447</v>
      </c>
      <c r="D46">
        <v>45</v>
      </c>
      <c r="E46" s="4">
        <v>44583</v>
      </c>
      <c r="F46" t="s">
        <v>99</v>
      </c>
      <c r="H46" t="s">
        <v>108</v>
      </c>
      <c r="I46" t="s">
        <v>308</v>
      </c>
      <c r="J46" t="s">
        <v>41</v>
      </c>
      <c r="K46" s="9">
        <v>1.6194444444444445</v>
      </c>
      <c r="L46">
        <v>5</v>
      </c>
      <c r="M46">
        <v>23</v>
      </c>
      <c r="N46">
        <v>0.217</v>
      </c>
      <c r="O46">
        <v>0</v>
      </c>
      <c r="P46">
        <v>6</v>
      </c>
      <c r="Q46">
        <v>0</v>
      </c>
      <c r="R46">
        <v>5</v>
      </c>
      <c r="S46">
        <v>17</v>
      </c>
      <c r="T46">
        <v>0.29399999999999998</v>
      </c>
      <c r="U46">
        <v>0.217</v>
      </c>
      <c r="V46">
        <v>1</v>
      </c>
      <c r="W46">
        <v>1</v>
      </c>
      <c r="X46">
        <v>1</v>
      </c>
      <c r="Y46">
        <v>1</v>
      </c>
      <c r="Z46">
        <v>6</v>
      </c>
      <c r="AA46">
        <v>7</v>
      </c>
      <c r="AB46">
        <v>3</v>
      </c>
      <c r="AC46">
        <v>2</v>
      </c>
      <c r="AD46">
        <v>2</v>
      </c>
      <c r="AE46">
        <v>3</v>
      </c>
      <c r="AF46">
        <v>4</v>
      </c>
      <c r="AG46">
        <v>11</v>
      </c>
      <c r="AH46">
        <v>0.3</v>
      </c>
      <c r="AI46">
        <v>5</v>
      </c>
    </row>
    <row r="47" spans="1:35" ht="21" x14ac:dyDescent="0.3">
      <c r="A47" t="s">
        <v>551</v>
      </c>
      <c r="B47" s="11">
        <v>39</v>
      </c>
      <c r="C47">
        <v>448</v>
      </c>
      <c r="D47">
        <v>46</v>
      </c>
      <c r="E47" s="4">
        <v>44585</v>
      </c>
      <c r="F47" t="s">
        <v>99</v>
      </c>
      <c r="H47" t="s">
        <v>118</v>
      </c>
      <c r="I47" t="s">
        <v>309</v>
      </c>
      <c r="J47" t="s">
        <v>41</v>
      </c>
      <c r="K47" s="9">
        <v>1.5888888888888888</v>
      </c>
      <c r="L47">
        <v>14</v>
      </c>
      <c r="M47">
        <v>35</v>
      </c>
      <c r="N47">
        <v>0.4</v>
      </c>
      <c r="O47">
        <v>3</v>
      </c>
      <c r="P47">
        <v>13</v>
      </c>
      <c r="Q47">
        <v>0.23100000000000001</v>
      </c>
      <c r="R47">
        <v>11</v>
      </c>
      <c r="S47">
        <v>22</v>
      </c>
      <c r="T47">
        <v>0.5</v>
      </c>
      <c r="U47">
        <v>0.443</v>
      </c>
      <c r="V47">
        <v>2</v>
      </c>
      <c r="W47">
        <v>3</v>
      </c>
      <c r="X47">
        <v>0.66700000000000004</v>
      </c>
      <c r="Y47">
        <v>2</v>
      </c>
      <c r="Z47">
        <v>5</v>
      </c>
      <c r="AA47">
        <v>7</v>
      </c>
      <c r="AB47">
        <v>3</v>
      </c>
      <c r="AC47">
        <v>2</v>
      </c>
      <c r="AD47">
        <v>2</v>
      </c>
      <c r="AE47">
        <v>3</v>
      </c>
      <c r="AF47">
        <v>4</v>
      </c>
      <c r="AG47">
        <v>33</v>
      </c>
      <c r="AH47">
        <v>17.5</v>
      </c>
      <c r="AI47">
        <v>-3</v>
      </c>
    </row>
    <row r="48" spans="1:35" ht="21" x14ac:dyDescent="0.3">
      <c r="A48" t="s">
        <v>551</v>
      </c>
      <c r="B48" s="11">
        <v>40</v>
      </c>
      <c r="C48">
        <v>449</v>
      </c>
      <c r="D48">
        <v>47</v>
      </c>
      <c r="E48" s="4">
        <v>44587</v>
      </c>
      <c r="F48" t="s">
        <v>99</v>
      </c>
      <c r="G48" t="s">
        <v>37</v>
      </c>
      <c r="H48" t="s">
        <v>118</v>
      </c>
      <c r="I48" t="s">
        <v>310</v>
      </c>
      <c r="J48" t="s">
        <v>41</v>
      </c>
      <c r="K48" s="9">
        <v>1.648611111111111</v>
      </c>
      <c r="L48">
        <v>16</v>
      </c>
      <c r="M48">
        <v>28</v>
      </c>
      <c r="N48">
        <v>0.57099999999999995</v>
      </c>
      <c r="O48">
        <v>2</v>
      </c>
      <c r="P48">
        <v>6</v>
      </c>
      <c r="Q48">
        <v>0.33300000000000002</v>
      </c>
      <c r="R48">
        <v>14</v>
      </c>
      <c r="S48">
        <v>22</v>
      </c>
      <c r="T48">
        <v>0.63600000000000001</v>
      </c>
      <c r="U48">
        <v>0.60699999999999998</v>
      </c>
      <c r="V48">
        <v>9</v>
      </c>
      <c r="W48">
        <v>11</v>
      </c>
      <c r="X48">
        <v>0.81799999999999995</v>
      </c>
      <c r="Y48">
        <v>1</v>
      </c>
      <c r="Z48">
        <v>11</v>
      </c>
      <c r="AA48">
        <v>12</v>
      </c>
      <c r="AB48">
        <v>4</v>
      </c>
      <c r="AC48">
        <v>1</v>
      </c>
      <c r="AD48">
        <v>0</v>
      </c>
      <c r="AE48">
        <v>3</v>
      </c>
      <c r="AF48">
        <v>2</v>
      </c>
      <c r="AG48">
        <v>43</v>
      </c>
      <c r="AH48">
        <v>33</v>
      </c>
      <c r="AI48">
        <v>18</v>
      </c>
    </row>
    <row r="49" spans="1:35" ht="21" x14ac:dyDescent="0.3">
      <c r="A49" t="s">
        <v>551</v>
      </c>
      <c r="B49" s="11">
        <v>41</v>
      </c>
      <c r="C49">
        <v>450</v>
      </c>
      <c r="D49">
        <v>48</v>
      </c>
      <c r="E49" s="4">
        <v>44589</v>
      </c>
      <c r="F49" t="s">
        <v>99</v>
      </c>
      <c r="H49" t="s">
        <v>80</v>
      </c>
      <c r="I49" t="s">
        <v>311</v>
      </c>
      <c r="J49" t="s">
        <v>41</v>
      </c>
      <c r="K49" s="9">
        <v>1.5694444444444444</v>
      </c>
      <c r="L49">
        <v>10</v>
      </c>
      <c r="M49">
        <v>26</v>
      </c>
      <c r="N49">
        <v>0.38500000000000001</v>
      </c>
      <c r="O49">
        <v>4</v>
      </c>
      <c r="P49">
        <v>10</v>
      </c>
      <c r="Q49">
        <v>0.4</v>
      </c>
      <c r="R49">
        <v>6</v>
      </c>
      <c r="S49">
        <v>16</v>
      </c>
      <c r="T49">
        <v>0.375</v>
      </c>
      <c r="U49">
        <v>0.46200000000000002</v>
      </c>
      <c r="V49">
        <v>5</v>
      </c>
      <c r="W49">
        <v>6</v>
      </c>
      <c r="X49">
        <v>0.83299999999999996</v>
      </c>
      <c r="Y49">
        <v>0</v>
      </c>
      <c r="Z49">
        <v>3</v>
      </c>
      <c r="AA49">
        <v>3</v>
      </c>
      <c r="AB49">
        <v>9</v>
      </c>
      <c r="AC49">
        <v>1</v>
      </c>
      <c r="AD49">
        <v>0</v>
      </c>
      <c r="AE49">
        <v>1</v>
      </c>
      <c r="AF49">
        <v>2</v>
      </c>
      <c r="AG49">
        <v>29</v>
      </c>
      <c r="AH49">
        <v>20.8</v>
      </c>
      <c r="AI49">
        <v>17</v>
      </c>
    </row>
    <row r="50" spans="1:35" ht="21" x14ac:dyDescent="0.3">
      <c r="A50" t="s">
        <v>551</v>
      </c>
      <c r="B50" s="11">
        <v>42</v>
      </c>
      <c r="C50">
        <v>451</v>
      </c>
      <c r="D50">
        <v>49</v>
      </c>
      <c r="E50" s="4">
        <v>44591</v>
      </c>
      <c r="F50" t="s">
        <v>99</v>
      </c>
      <c r="H50" t="s">
        <v>102</v>
      </c>
      <c r="I50" t="s">
        <v>312</v>
      </c>
      <c r="J50" t="s">
        <v>41</v>
      </c>
      <c r="K50" s="9">
        <v>1.5673611111111112</v>
      </c>
      <c r="L50">
        <v>12</v>
      </c>
      <c r="M50">
        <v>24</v>
      </c>
      <c r="N50">
        <v>0.5</v>
      </c>
      <c r="O50">
        <v>4</v>
      </c>
      <c r="P50">
        <v>9</v>
      </c>
      <c r="Q50">
        <v>0.44400000000000001</v>
      </c>
      <c r="R50">
        <v>8</v>
      </c>
      <c r="S50">
        <v>15</v>
      </c>
      <c r="T50">
        <v>0.53300000000000003</v>
      </c>
      <c r="U50">
        <v>0.58299999999999996</v>
      </c>
      <c r="V50">
        <v>0</v>
      </c>
      <c r="W50">
        <v>0</v>
      </c>
      <c r="Y50">
        <v>0</v>
      </c>
      <c r="Z50">
        <v>4</v>
      </c>
      <c r="AA50">
        <v>4</v>
      </c>
      <c r="AB50">
        <v>1</v>
      </c>
      <c r="AC50">
        <v>1</v>
      </c>
      <c r="AD50">
        <v>0</v>
      </c>
      <c r="AE50">
        <v>3</v>
      </c>
      <c r="AF50">
        <v>2</v>
      </c>
      <c r="AG50">
        <v>28</v>
      </c>
      <c r="AH50">
        <v>15.1</v>
      </c>
      <c r="AI50">
        <v>-12</v>
      </c>
    </row>
    <row r="51" spans="1:35" ht="21" x14ac:dyDescent="0.3">
      <c r="A51" t="s">
        <v>551</v>
      </c>
      <c r="B51" s="11">
        <v>43</v>
      </c>
      <c r="C51">
        <v>452</v>
      </c>
      <c r="D51">
        <v>50</v>
      </c>
      <c r="E51" s="4">
        <v>44593</v>
      </c>
      <c r="F51" t="s">
        <v>99</v>
      </c>
      <c r="H51" t="s">
        <v>85</v>
      </c>
      <c r="I51" t="s">
        <v>313</v>
      </c>
      <c r="J51" t="s">
        <v>41</v>
      </c>
      <c r="K51" s="9">
        <v>1.7034722222222223</v>
      </c>
      <c r="L51">
        <v>13</v>
      </c>
      <c r="M51">
        <v>23</v>
      </c>
      <c r="N51">
        <v>0.56499999999999995</v>
      </c>
      <c r="O51">
        <v>3</v>
      </c>
      <c r="P51">
        <v>8</v>
      </c>
      <c r="Q51">
        <v>0.375</v>
      </c>
      <c r="R51">
        <v>10</v>
      </c>
      <c r="S51">
        <v>15</v>
      </c>
      <c r="T51">
        <v>0.66700000000000004</v>
      </c>
      <c r="U51">
        <v>0.63</v>
      </c>
      <c r="V51">
        <v>6</v>
      </c>
      <c r="W51">
        <v>7</v>
      </c>
      <c r="X51">
        <v>0.85699999999999998</v>
      </c>
      <c r="Y51">
        <v>1</v>
      </c>
      <c r="Z51">
        <v>5</v>
      </c>
      <c r="AA51">
        <v>6</v>
      </c>
      <c r="AB51">
        <v>2</v>
      </c>
      <c r="AC51">
        <v>1</v>
      </c>
      <c r="AD51">
        <v>0</v>
      </c>
      <c r="AE51">
        <v>2</v>
      </c>
      <c r="AF51">
        <v>2</v>
      </c>
      <c r="AG51">
        <v>35</v>
      </c>
      <c r="AH51">
        <v>25.5</v>
      </c>
      <c r="AI51">
        <v>15</v>
      </c>
    </row>
    <row r="52" spans="1:35" ht="21" x14ac:dyDescent="0.3">
      <c r="A52" t="s">
        <v>551</v>
      </c>
      <c r="B52" s="11">
        <v>44</v>
      </c>
      <c r="C52">
        <v>453</v>
      </c>
      <c r="D52">
        <v>51</v>
      </c>
      <c r="E52" s="4">
        <v>44595</v>
      </c>
      <c r="F52" t="s">
        <v>99</v>
      </c>
      <c r="G52" t="s">
        <v>37</v>
      </c>
      <c r="H52" t="s">
        <v>78</v>
      </c>
      <c r="I52" t="s">
        <v>314</v>
      </c>
      <c r="J52" t="s">
        <v>41</v>
      </c>
      <c r="K52" s="9">
        <v>1.601388888888889</v>
      </c>
      <c r="L52">
        <v>13</v>
      </c>
      <c r="M52">
        <v>27</v>
      </c>
      <c r="N52">
        <v>0.48099999999999998</v>
      </c>
      <c r="O52">
        <v>1</v>
      </c>
      <c r="P52">
        <v>8</v>
      </c>
      <c r="Q52">
        <v>0.125</v>
      </c>
      <c r="R52">
        <v>12</v>
      </c>
      <c r="S52">
        <v>19</v>
      </c>
      <c r="T52">
        <v>0.63200000000000001</v>
      </c>
      <c r="U52">
        <v>0.5</v>
      </c>
      <c r="V52">
        <v>5</v>
      </c>
      <c r="W52">
        <v>7</v>
      </c>
      <c r="X52">
        <v>0.71399999999999997</v>
      </c>
      <c r="Y52">
        <v>0</v>
      </c>
      <c r="Z52">
        <v>0</v>
      </c>
      <c r="AA52">
        <v>0</v>
      </c>
      <c r="AB52">
        <v>3</v>
      </c>
      <c r="AC52">
        <v>1</v>
      </c>
      <c r="AD52">
        <v>0</v>
      </c>
      <c r="AE52">
        <v>2</v>
      </c>
      <c r="AF52">
        <v>4</v>
      </c>
      <c r="AG52">
        <v>32</v>
      </c>
      <c r="AH52">
        <v>17</v>
      </c>
      <c r="AI52">
        <v>-6</v>
      </c>
    </row>
    <row r="53" spans="1:35" ht="21" x14ac:dyDescent="0.3">
      <c r="A53" t="s">
        <v>551</v>
      </c>
      <c r="B53" s="11">
        <v>45</v>
      </c>
      <c r="C53">
        <v>454</v>
      </c>
      <c r="D53">
        <v>52</v>
      </c>
      <c r="E53" s="4">
        <v>44597</v>
      </c>
      <c r="F53" t="s">
        <v>99</v>
      </c>
      <c r="G53" t="s">
        <v>37</v>
      </c>
      <c r="H53" t="s">
        <v>155</v>
      </c>
      <c r="I53" t="s">
        <v>315</v>
      </c>
      <c r="J53" t="s">
        <v>41</v>
      </c>
      <c r="K53" s="9">
        <v>1.2340277777777777</v>
      </c>
      <c r="L53">
        <v>5</v>
      </c>
      <c r="M53">
        <v>14</v>
      </c>
      <c r="N53">
        <v>0.35699999999999998</v>
      </c>
      <c r="O53">
        <v>1</v>
      </c>
      <c r="P53">
        <v>6</v>
      </c>
      <c r="Q53">
        <v>0.16700000000000001</v>
      </c>
      <c r="R53">
        <v>4</v>
      </c>
      <c r="S53">
        <v>8</v>
      </c>
      <c r="T53">
        <v>0.5</v>
      </c>
      <c r="U53">
        <v>0.39300000000000002</v>
      </c>
      <c r="V53">
        <v>0</v>
      </c>
      <c r="W53">
        <v>0</v>
      </c>
      <c r="Y53">
        <v>1</v>
      </c>
      <c r="Z53">
        <v>6</v>
      </c>
      <c r="AA53">
        <v>7</v>
      </c>
      <c r="AB53">
        <v>5</v>
      </c>
      <c r="AC53">
        <v>0</v>
      </c>
      <c r="AD53">
        <v>0</v>
      </c>
      <c r="AE53">
        <v>1</v>
      </c>
      <c r="AF53">
        <v>2</v>
      </c>
      <c r="AG53">
        <v>11</v>
      </c>
      <c r="AH53">
        <v>7.4</v>
      </c>
      <c r="AI53">
        <v>23</v>
      </c>
    </row>
    <row r="54" spans="1:35" ht="21" x14ac:dyDescent="0.3">
      <c r="A54" t="s">
        <v>551</v>
      </c>
      <c r="B54" s="11">
        <v>46</v>
      </c>
      <c r="C54">
        <v>455</v>
      </c>
      <c r="D54">
        <v>53</v>
      </c>
      <c r="E54" s="4">
        <v>44599</v>
      </c>
      <c r="F54" t="s">
        <v>99</v>
      </c>
      <c r="G54" t="s">
        <v>37</v>
      </c>
      <c r="H54" t="s">
        <v>82</v>
      </c>
      <c r="I54" t="s">
        <v>316</v>
      </c>
      <c r="J54" t="s">
        <v>41</v>
      </c>
      <c r="K54" s="9">
        <v>1.5694444444444444</v>
      </c>
      <c r="L54">
        <v>14</v>
      </c>
      <c r="M54">
        <v>23</v>
      </c>
      <c r="N54">
        <v>0.60899999999999999</v>
      </c>
      <c r="O54">
        <v>5</v>
      </c>
      <c r="P54">
        <v>10</v>
      </c>
      <c r="Q54">
        <v>0.5</v>
      </c>
      <c r="R54">
        <v>9</v>
      </c>
      <c r="S54">
        <v>13</v>
      </c>
      <c r="T54">
        <v>0.69199999999999995</v>
      </c>
      <c r="U54">
        <v>0.71699999999999997</v>
      </c>
      <c r="V54">
        <v>5</v>
      </c>
      <c r="W54">
        <v>6</v>
      </c>
      <c r="X54">
        <v>0.83299999999999996</v>
      </c>
      <c r="Y54">
        <v>0</v>
      </c>
      <c r="Z54">
        <v>4</v>
      </c>
      <c r="AA54">
        <v>4</v>
      </c>
      <c r="AB54">
        <v>5</v>
      </c>
      <c r="AC54">
        <v>1</v>
      </c>
      <c r="AD54">
        <v>0</v>
      </c>
      <c r="AE54">
        <v>1</v>
      </c>
      <c r="AF54">
        <v>2</v>
      </c>
      <c r="AG54">
        <v>38</v>
      </c>
      <c r="AH54">
        <v>31</v>
      </c>
      <c r="AI54">
        <v>7</v>
      </c>
    </row>
    <row r="55" spans="1:35" ht="21" x14ac:dyDescent="0.3">
      <c r="A55" t="s">
        <v>551</v>
      </c>
      <c r="B55" s="11">
        <v>47</v>
      </c>
      <c r="C55">
        <v>456</v>
      </c>
      <c r="D55">
        <v>54</v>
      </c>
      <c r="E55" s="4">
        <v>44600</v>
      </c>
      <c r="F55" t="s">
        <v>99</v>
      </c>
      <c r="G55" t="s">
        <v>37</v>
      </c>
      <c r="H55" t="s">
        <v>94</v>
      </c>
      <c r="I55" t="s">
        <v>317</v>
      </c>
      <c r="J55" t="s">
        <v>41</v>
      </c>
      <c r="K55" s="9">
        <v>1.5534722222222221</v>
      </c>
      <c r="L55">
        <v>11</v>
      </c>
      <c r="M55">
        <v>23</v>
      </c>
      <c r="N55">
        <v>0.47799999999999998</v>
      </c>
      <c r="O55">
        <v>3</v>
      </c>
      <c r="P55">
        <v>8</v>
      </c>
      <c r="Q55">
        <v>0.375</v>
      </c>
      <c r="R55">
        <v>8</v>
      </c>
      <c r="S55">
        <v>15</v>
      </c>
      <c r="T55">
        <v>0.53300000000000003</v>
      </c>
      <c r="U55">
        <v>0.54300000000000004</v>
      </c>
      <c r="V55">
        <v>10</v>
      </c>
      <c r="W55">
        <v>11</v>
      </c>
      <c r="X55">
        <v>0.90900000000000003</v>
      </c>
      <c r="Y55">
        <v>0</v>
      </c>
      <c r="Z55">
        <v>4</v>
      </c>
      <c r="AA55">
        <v>4</v>
      </c>
      <c r="AB55">
        <v>3</v>
      </c>
      <c r="AC55">
        <v>1</v>
      </c>
      <c r="AD55">
        <v>0</v>
      </c>
      <c r="AE55">
        <v>0</v>
      </c>
      <c r="AF55">
        <v>3</v>
      </c>
      <c r="AG55">
        <v>35</v>
      </c>
      <c r="AH55">
        <v>26</v>
      </c>
      <c r="AI55">
        <v>13</v>
      </c>
    </row>
    <row r="56" spans="1:35" ht="21" x14ac:dyDescent="0.3">
      <c r="A56" t="s">
        <v>551</v>
      </c>
      <c r="B56" s="11">
        <v>48</v>
      </c>
      <c r="C56">
        <v>457</v>
      </c>
      <c r="D56">
        <v>55</v>
      </c>
      <c r="E56" s="4">
        <v>44602</v>
      </c>
      <c r="F56" t="s">
        <v>99</v>
      </c>
      <c r="H56" t="s">
        <v>126</v>
      </c>
      <c r="I56" t="s">
        <v>318</v>
      </c>
      <c r="J56" t="s">
        <v>41</v>
      </c>
      <c r="K56" s="9">
        <v>1.4291666666666667</v>
      </c>
      <c r="L56">
        <v>6</v>
      </c>
      <c r="M56">
        <v>19</v>
      </c>
      <c r="N56">
        <v>0.316</v>
      </c>
      <c r="O56">
        <v>2</v>
      </c>
      <c r="P56">
        <v>8</v>
      </c>
      <c r="Q56">
        <v>0.25</v>
      </c>
      <c r="R56">
        <v>4</v>
      </c>
      <c r="S56">
        <v>11</v>
      </c>
      <c r="T56">
        <v>0.36399999999999999</v>
      </c>
      <c r="U56">
        <v>0.36799999999999999</v>
      </c>
      <c r="V56">
        <v>3</v>
      </c>
      <c r="W56">
        <v>3</v>
      </c>
      <c r="X56">
        <v>1</v>
      </c>
      <c r="Y56">
        <v>1</v>
      </c>
      <c r="Z56">
        <v>3</v>
      </c>
      <c r="AA56">
        <v>4</v>
      </c>
      <c r="AB56">
        <v>7</v>
      </c>
      <c r="AC56">
        <v>1</v>
      </c>
      <c r="AD56">
        <v>0</v>
      </c>
      <c r="AE56">
        <v>2</v>
      </c>
      <c r="AF56">
        <v>4</v>
      </c>
      <c r="AG56">
        <v>17</v>
      </c>
      <c r="AH56">
        <v>10</v>
      </c>
      <c r="AI56">
        <v>11</v>
      </c>
    </row>
    <row r="57" spans="1:35" ht="21" x14ac:dyDescent="0.3">
      <c r="A57" t="s">
        <v>551</v>
      </c>
      <c r="B57" s="11">
        <v>49</v>
      </c>
      <c r="C57">
        <v>458</v>
      </c>
      <c r="D57">
        <v>56</v>
      </c>
      <c r="E57" s="4">
        <v>44604</v>
      </c>
      <c r="F57" t="s">
        <v>99</v>
      </c>
      <c r="H57" t="s">
        <v>104</v>
      </c>
      <c r="I57" t="s">
        <v>319</v>
      </c>
      <c r="J57" t="s">
        <v>41</v>
      </c>
      <c r="K57" s="9">
        <v>1.2243055555555555</v>
      </c>
      <c r="L57">
        <v>10</v>
      </c>
      <c r="M57">
        <v>24</v>
      </c>
      <c r="N57">
        <v>0.41699999999999998</v>
      </c>
      <c r="O57">
        <v>3</v>
      </c>
      <c r="P57">
        <v>9</v>
      </c>
      <c r="Q57">
        <v>0.33300000000000002</v>
      </c>
      <c r="R57">
        <v>7</v>
      </c>
      <c r="S57">
        <v>15</v>
      </c>
      <c r="T57">
        <v>0.46700000000000003</v>
      </c>
      <c r="U57">
        <v>0.47899999999999998</v>
      </c>
      <c r="V57">
        <v>3</v>
      </c>
      <c r="W57">
        <v>3</v>
      </c>
      <c r="X57">
        <v>1</v>
      </c>
      <c r="Y57">
        <v>1</v>
      </c>
      <c r="Z57">
        <v>4</v>
      </c>
      <c r="AA57">
        <v>5</v>
      </c>
      <c r="AB57">
        <v>5</v>
      </c>
      <c r="AC57">
        <v>0</v>
      </c>
      <c r="AD57">
        <v>1</v>
      </c>
      <c r="AE57">
        <v>0</v>
      </c>
      <c r="AF57">
        <v>0</v>
      </c>
      <c r="AG57">
        <v>26</v>
      </c>
      <c r="AH57">
        <v>19.3</v>
      </c>
      <c r="AI57">
        <v>13</v>
      </c>
    </row>
    <row r="58" spans="1:35" ht="21" x14ac:dyDescent="0.3">
      <c r="A58" t="s">
        <v>551</v>
      </c>
      <c r="B58" s="11">
        <v>50</v>
      </c>
      <c r="C58">
        <v>459</v>
      </c>
      <c r="D58">
        <v>57</v>
      </c>
      <c r="E58" s="4">
        <v>44607</v>
      </c>
      <c r="F58" t="s">
        <v>99</v>
      </c>
      <c r="H58" t="s">
        <v>64</v>
      </c>
      <c r="I58" t="s">
        <v>320</v>
      </c>
      <c r="J58" t="s">
        <v>41</v>
      </c>
      <c r="K58" s="9">
        <v>1.5194444444444444</v>
      </c>
      <c r="L58">
        <v>11</v>
      </c>
      <c r="M58">
        <v>19</v>
      </c>
      <c r="N58">
        <v>0.57899999999999996</v>
      </c>
      <c r="O58">
        <v>3</v>
      </c>
      <c r="P58">
        <v>6</v>
      </c>
      <c r="Q58">
        <v>0.5</v>
      </c>
      <c r="R58">
        <v>8</v>
      </c>
      <c r="S58">
        <v>13</v>
      </c>
      <c r="T58">
        <v>0.61499999999999999</v>
      </c>
      <c r="U58">
        <v>0.65800000000000003</v>
      </c>
      <c r="V58">
        <v>1</v>
      </c>
      <c r="W58">
        <v>2</v>
      </c>
      <c r="X58">
        <v>0.5</v>
      </c>
      <c r="Y58">
        <v>2</v>
      </c>
      <c r="Z58">
        <v>1</v>
      </c>
      <c r="AA58">
        <v>3</v>
      </c>
      <c r="AB58">
        <v>4</v>
      </c>
      <c r="AC58">
        <v>3</v>
      </c>
      <c r="AD58">
        <v>1</v>
      </c>
      <c r="AE58">
        <v>4</v>
      </c>
      <c r="AF58">
        <v>3</v>
      </c>
      <c r="AG58">
        <v>26</v>
      </c>
      <c r="AH58">
        <v>19.7</v>
      </c>
      <c r="AI58">
        <v>9</v>
      </c>
    </row>
    <row r="59" spans="1:35" ht="21" x14ac:dyDescent="0.3">
      <c r="A59" t="s">
        <v>551</v>
      </c>
      <c r="B59" s="11">
        <v>51</v>
      </c>
      <c r="C59">
        <v>460</v>
      </c>
      <c r="D59">
        <v>58</v>
      </c>
      <c r="E59" s="4">
        <v>44608</v>
      </c>
      <c r="F59" t="s">
        <v>99</v>
      </c>
      <c r="H59" t="s">
        <v>76</v>
      </c>
      <c r="I59" t="s">
        <v>321</v>
      </c>
      <c r="J59" t="s">
        <v>41</v>
      </c>
      <c r="K59" s="9">
        <v>1.8006944444444444</v>
      </c>
      <c r="L59">
        <v>7</v>
      </c>
      <c r="M59">
        <v>22</v>
      </c>
      <c r="N59">
        <v>0.318</v>
      </c>
      <c r="O59">
        <v>1</v>
      </c>
      <c r="P59">
        <v>5</v>
      </c>
      <c r="Q59">
        <v>0.2</v>
      </c>
      <c r="R59">
        <v>6</v>
      </c>
      <c r="S59">
        <v>17</v>
      </c>
      <c r="T59">
        <v>0.35299999999999998</v>
      </c>
      <c r="U59">
        <v>0.34100000000000003</v>
      </c>
      <c r="V59">
        <v>9</v>
      </c>
      <c r="W59">
        <v>9</v>
      </c>
      <c r="X59">
        <v>1</v>
      </c>
      <c r="Y59">
        <v>0</v>
      </c>
      <c r="Z59">
        <v>3</v>
      </c>
      <c r="AA59">
        <v>3</v>
      </c>
      <c r="AB59">
        <v>8</v>
      </c>
      <c r="AC59">
        <v>3</v>
      </c>
      <c r="AD59">
        <v>2</v>
      </c>
      <c r="AE59">
        <v>3</v>
      </c>
      <c r="AF59">
        <v>3</v>
      </c>
      <c r="AG59">
        <v>24</v>
      </c>
      <c r="AH59">
        <v>18.100000000000001</v>
      </c>
      <c r="AI59">
        <v>-1</v>
      </c>
    </row>
    <row r="60" spans="1:35" ht="21" x14ac:dyDescent="0.3">
      <c r="A60" t="s">
        <v>551</v>
      </c>
      <c r="B60" s="11">
        <v>52</v>
      </c>
      <c r="C60">
        <v>461</v>
      </c>
      <c r="D60">
        <v>59</v>
      </c>
      <c r="E60" s="4">
        <v>44616</v>
      </c>
      <c r="F60" t="s">
        <v>99</v>
      </c>
      <c r="G60" t="s">
        <v>37</v>
      </c>
      <c r="H60" t="s">
        <v>68</v>
      </c>
      <c r="I60" t="s">
        <v>322</v>
      </c>
      <c r="J60" t="s">
        <v>41</v>
      </c>
      <c r="K60" s="9">
        <v>1.5909722222222222</v>
      </c>
      <c r="L60">
        <v>9</v>
      </c>
      <c r="M60">
        <v>16</v>
      </c>
      <c r="N60">
        <v>0.56299999999999994</v>
      </c>
      <c r="O60">
        <v>1</v>
      </c>
      <c r="P60">
        <v>4</v>
      </c>
      <c r="Q60">
        <v>0.25</v>
      </c>
      <c r="R60">
        <v>8</v>
      </c>
      <c r="S60">
        <v>12</v>
      </c>
      <c r="T60">
        <v>0.66700000000000004</v>
      </c>
      <c r="U60">
        <v>0.59399999999999997</v>
      </c>
      <c r="V60">
        <v>6</v>
      </c>
      <c r="W60">
        <v>6</v>
      </c>
      <c r="X60">
        <v>1</v>
      </c>
      <c r="Y60">
        <v>0</v>
      </c>
      <c r="Z60">
        <v>5</v>
      </c>
      <c r="AA60">
        <v>5</v>
      </c>
      <c r="AB60">
        <v>12</v>
      </c>
      <c r="AC60">
        <v>6</v>
      </c>
      <c r="AD60">
        <v>0</v>
      </c>
      <c r="AE60">
        <v>4</v>
      </c>
      <c r="AF60">
        <v>1</v>
      </c>
      <c r="AG60">
        <v>25</v>
      </c>
      <c r="AH60">
        <v>28.9</v>
      </c>
      <c r="AI60">
        <v>26</v>
      </c>
    </row>
    <row r="61" spans="1:35" ht="21" x14ac:dyDescent="0.3">
      <c r="A61" t="s">
        <v>551</v>
      </c>
      <c r="B61" s="11">
        <v>53</v>
      </c>
      <c r="C61">
        <v>462</v>
      </c>
      <c r="D61">
        <v>60</v>
      </c>
      <c r="E61" s="4">
        <v>44617</v>
      </c>
      <c r="F61" t="s">
        <v>99</v>
      </c>
      <c r="H61" t="s">
        <v>74</v>
      </c>
      <c r="I61" t="s">
        <v>323</v>
      </c>
      <c r="J61" t="s">
        <v>41</v>
      </c>
      <c r="K61" s="9">
        <v>1.5409722222222222</v>
      </c>
      <c r="L61">
        <v>10</v>
      </c>
      <c r="M61">
        <v>24</v>
      </c>
      <c r="N61">
        <v>0.41699999999999998</v>
      </c>
      <c r="O61">
        <v>2</v>
      </c>
      <c r="P61">
        <v>8</v>
      </c>
      <c r="Q61">
        <v>0.25</v>
      </c>
      <c r="R61">
        <v>8</v>
      </c>
      <c r="S61">
        <v>16</v>
      </c>
      <c r="T61">
        <v>0.5</v>
      </c>
      <c r="U61">
        <v>0.45800000000000002</v>
      </c>
      <c r="V61">
        <v>8</v>
      </c>
      <c r="W61">
        <v>8</v>
      </c>
      <c r="X61">
        <v>1</v>
      </c>
      <c r="Y61">
        <v>0</v>
      </c>
      <c r="Z61">
        <v>3</v>
      </c>
      <c r="AA61">
        <v>3</v>
      </c>
      <c r="AB61">
        <v>5</v>
      </c>
      <c r="AC61">
        <v>1</v>
      </c>
      <c r="AD61">
        <v>2</v>
      </c>
      <c r="AE61">
        <v>4</v>
      </c>
      <c r="AF61">
        <v>3</v>
      </c>
      <c r="AG61">
        <v>30</v>
      </c>
      <c r="AH61">
        <v>18.8</v>
      </c>
      <c r="AI61">
        <v>-21</v>
      </c>
    </row>
    <row r="62" spans="1:35" ht="21" x14ac:dyDescent="0.3">
      <c r="A62" t="s">
        <v>551</v>
      </c>
      <c r="B62" s="11">
        <v>54</v>
      </c>
      <c r="C62">
        <v>463</v>
      </c>
      <c r="D62">
        <v>61</v>
      </c>
      <c r="E62" s="4">
        <v>44619</v>
      </c>
      <c r="F62" t="s">
        <v>99</v>
      </c>
      <c r="H62" t="s">
        <v>118</v>
      </c>
      <c r="I62" t="s">
        <v>324</v>
      </c>
      <c r="J62" t="s">
        <v>41</v>
      </c>
      <c r="K62" s="9">
        <v>1.6534722222222222</v>
      </c>
      <c r="L62">
        <v>12</v>
      </c>
      <c r="M62">
        <v>24</v>
      </c>
      <c r="N62">
        <v>0.5</v>
      </c>
      <c r="O62">
        <v>4</v>
      </c>
      <c r="P62">
        <v>8</v>
      </c>
      <c r="Q62">
        <v>0.5</v>
      </c>
      <c r="R62">
        <v>8</v>
      </c>
      <c r="S62">
        <v>16</v>
      </c>
      <c r="T62">
        <v>0.5</v>
      </c>
      <c r="U62">
        <v>0.58299999999999996</v>
      </c>
      <c r="V62">
        <v>2</v>
      </c>
      <c r="W62">
        <v>4</v>
      </c>
      <c r="X62">
        <v>0.5</v>
      </c>
      <c r="Y62">
        <v>0</v>
      </c>
      <c r="Z62">
        <v>7</v>
      </c>
      <c r="AA62">
        <v>7</v>
      </c>
      <c r="AB62">
        <v>7</v>
      </c>
      <c r="AC62">
        <v>2</v>
      </c>
      <c r="AD62">
        <v>0</v>
      </c>
      <c r="AE62">
        <v>3</v>
      </c>
      <c r="AF62">
        <v>2</v>
      </c>
      <c r="AG62">
        <v>30</v>
      </c>
      <c r="AH62">
        <v>22.4</v>
      </c>
      <c r="AI62">
        <v>-6</v>
      </c>
    </row>
    <row r="63" spans="1:35" ht="21" x14ac:dyDescent="0.3">
      <c r="A63" t="s">
        <v>551</v>
      </c>
      <c r="B63" s="11">
        <v>54</v>
      </c>
      <c r="D63">
        <v>62</v>
      </c>
      <c r="E63" s="4">
        <v>44622</v>
      </c>
      <c r="F63" t="s">
        <v>99</v>
      </c>
      <c r="H63" t="s">
        <v>96</v>
      </c>
      <c r="I63" t="s">
        <v>325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  <c r="O63" t="s">
        <v>91</v>
      </c>
      <c r="P63" t="s">
        <v>91</v>
      </c>
      <c r="Q63" t="s">
        <v>91</v>
      </c>
      <c r="R63" t="s">
        <v>91</v>
      </c>
      <c r="S63" t="s">
        <v>359</v>
      </c>
    </row>
    <row r="64" spans="1:35" ht="21" x14ac:dyDescent="0.3">
      <c r="A64" t="s">
        <v>551</v>
      </c>
      <c r="B64" s="11">
        <v>54</v>
      </c>
      <c r="D64">
        <v>63</v>
      </c>
      <c r="E64" s="4">
        <v>44624</v>
      </c>
      <c r="F64" t="s">
        <v>99</v>
      </c>
      <c r="H64" t="s">
        <v>110</v>
      </c>
      <c r="I64" t="s">
        <v>326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  <c r="O64" t="s">
        <v>91</v>
      </c>
      <c r="P64" t="s">
        <v>91</v>
      </c>
      <c r="Q64" t="s">
        <v>91</v>
      </c>
      <c r="R64" t="s">
        <v>91</v>
      </c>
      <c r="S64" t="s">
        <v>360</v>
      </c>
    </row>
    <row r="65" spans="1:35" ht="21" x14ac:dyDescent="0.3">
      <c r="A65" t="s">
        <v>551</v>
      </c>
      <c r="B65" s="11">
        <v>54</v>
      </c>
      <c r="D65">
        <v>64</v>
      </c>
      <c r="E65" s="4">
        <v>44626</v>
      </c>
      <c r="F65" t="s">
        <v>99</v>
      </c>
      <c r="G65" t="s">
        <v>37</v>
      </c>
      <c r="H65" t="s">
        <v>126</v>
      </c>
      <c r="I65" t="s">
        <v>327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  <c r="O65" t="s">
        <v>91</v>
      </c>
      <c r="P65" t="s">
        <v>91</v>
      </c>
      <c r="Q65" t="s">
        <v>91</v>
      </c>
      <c r="R65" t="s">
        <v>91</v>
      </c>
      <c r="S65" t="s">
        <v>361</v>
      </c>
    </row>
    <row r="66" spans="1:35" ht="21" x14ac:dyDescent="0.3">
      <c r="A66" t="s">
        <v>551</v>
      </c>
      <c r="B66" s="11">
        <v>54</v>
      </c>
      <c r="D66">
        <v>65</v>
      </c>
      <c r="E66" s="4">
        <v>44628</v>
      </c>
      <c r="F66" t="s">
        <v>99</v>
      </c>
      <c r="G66" t="s">
        <v>37</v>
      </c>
      <c r="H66" t="s">
        <v>104</v>
      </c>
      <c r="I66" t="s">
        <v>328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  <c r="O66" t="s">
        <v>91</v>
      </c>
      <c r="P66" t="s">
        <v>91</v>
      </c>
      <c r="Q66" t="s">
        <v>91</v>
      </c>
      <c r="R66" t="s">
        <v>91</v>
      </c>
      <c r="S66" t="s">
        <v>360</v>
      </c>
    </row>
    <row r="67" spans="1:35" ht="21" x14ac:dyDescent="0.3">
      <c r="A67" t="s">
        <v>551</v>
      </c>
      <c r="B67" s="11">
        <v>55</v>
      </c>
      <c r="C67">
        <v>464</v>
      </c>
      <c r="D67">
        <v>66</v>
      </c>
      <c r="E67" s="4">
        <v>44629</v>
      </c>
      <c r="F67" t="s">
        <v>99</v>
      </c>
      <c r="G67" t="s">
        <v>37</v>
      </c>
      <c r="H67" t="s">
        <v>120</v>
      </c>
      <c r="I67" t="s">
        <v>290</v>
      </c>
      <c r="J67" t="s">
        <v>41</v>
      </c>
      <c r="K67" s="9">
        <v>1.3888888888888888</v>
      </c>
      <c r="L67">
        <v>7</v>
      </c>
      <c r="M67">
        <v>12</v>
      </c>
      <c r="N67">
        <v>0.58299999999999996</v>
      </c>
      <c r="O67">
        <v>4</v>
      </c>
      <c r="P67">
        <v>7</v>
      </c>
      <c r="Q67">
        <v>0.57099999999999995</v>
      </c>
      <c r="R67">
        <v>3</v>
      </c>
      <c r="S67">
        <v>5</v>
      </c>
      <c r="T67">
        <v>0.6</v>
      </c>
      <c r="U67">
        <v>0.75</v>
      </c>
      <c r="V67">
        <v>5</v>
      </c>
      <c r="W67">
        <v>5</v>
      </c>
      <c r="X67">
        <v>1</v>
      </c>
      <c r="Y67">
        <v>1</v>
      </c>
      <c r="Z67">
        <v>7</v>
      </c>
      <c r="AA67">
        <v>8</v>
      </c>
      <c r="AB67">
        <v>9</v>
      </c>
      <c r="AC67">
        <v>2</v>
      </c>
      <c r="AD67">
        <v>2</v>
      </c>
      <c r="AE67">
        <v>2</v>
      </c>
      <c r="AF67">
        <v>3</v>
      </c>
      <c r="AG67">
        <v>23</v>
      </c>
      <c r="AH67">
        <v>26.7</v>
      </c>
      <c r="AI67">
        <v>31</v>
      </c>
    </row>
    <row r="68" spans="1:35" ht="21" x14ac:dyDescent="0.3">
      <c r="A68" t="s">
        <v>551</v>
      </c>
      <c r="B68" s="11">
        <v>56</v>
      </c>
      <c r="C68">
        <v>465</v>
      </c>
      <c r="D68">
        <v>67</v>
      </c>
      <c r="E68" s="4">
        <v>44631</v>
      </c>
      <c r="F68" t="s">
        <v>99</v>
      </c>
      <c r="H68" t="s">
        <v>92</v>
      </c>
      <c r="I68" t="s">
        <v>329</v>
      </c>
      <c r="J68" t="s">
        <v>41</v>
      </c>
      <c r="K68" s="9">
        <v>1.5215277777777778</v>
      </c>
      <c r="L68">
        <v>9</v>
      </c>
      <c r="M68">
        <v>18</v>
      </c>
      <c r="N68">
        <v>0.5</v>
      </c>
      <c r="O68">
        <v>3</v>
      </c>
      <c r="P68">
        <v>7</v>
      </c>
      <c r="Q68">
        <v>0.42899999999999999</v>
      </c>
      <c r="R68">
        <v>6</v>
      </c>
      <c r="S68">
        <v>11</v>
      </c>
      <c r="T68">
        <v>0.54500000000000004</v>
      </c>
      <c r="U68">
        <v>0.58299999999999996</v>
      </c>
      <c r="V68">
        <v>1</v>
      </c>
      <c r="W68">
        <v>2</v>
      </c>
      <c r="X68">
        <v>0.5</v>
      </c>
      <c r="Y68">
        <v>0</v>
      </c>
      <c r="Z68">
        <v>3</v>
      </c>
      <c r="AA68">
        <v>3</v>
      </c>
      <c r="AB68">
        <v>7</v>
      </c>
      <c r="AC68">
        <v>1</v>
      </c>
      <c r="AD68">
        <v>1</v>
      </c>
      <c r="AE68">
        <v>3</v>
      </c>
      <c r="AF68">
        <v>3</v>
      </c>
      <c r="AG68">
        <v>22</v>
      </c>
      <c r="AH68">
        <v>15.9</v>
      </c>
      <c r="AI68">
        <v>-21</v>
      </c>
    </row>
    <row r="69" spans="1:35" ht="21" x14ac:dyDescent="0.3">
      <c r="A69" t="s">
        <v>551</v>
      </c>
      <c r="B69" s="11">
        <v>57</v>
      </c>
      <c r="C69">
        <v>466</v>
      </c>
      <c r="D69">
        <v>68</v>
      </c>
      <c r="E69" s="4">
        <v>44633</v>
      </c>
      <c r="F69" t="s">
        <v>99</v>
      </c>
      <c r="H69" t="s">
        <v>62</v>
      </c>
      <c r="I69" t="s">
        <v>330</v>
      </c>
      <c r="J69" t="s">
        <v>41</v>
      </c>
      <c r="K69" s="9">
        <v>1.3326388888888889</v>
      </c>
      <c r="L69">
        <v>12</v>
      </c>
      <c r="M69">
        <v>25</v>
      </c>
      <c r="N69">
        <v>0.48</v>
      </c>
      <c r="O69">
        <v>4</v>
      </c>
      <c r="P69">
        <v>10</v>
      </c>
      <c r="Q69">
        <v>0.4</v>
      </c>
      <c r="R69">
        <v>8</v>
      </c>
      <c r="S69">
        <v>15</v>
      </c>
      <c r="T69">
        <v>0.53300000000000003</v>
      </c>
      <c r="U69">
        <v>0.56000000000000005</v>
      </c>
      <c r="V69">
        <v>2</v>
      </c>
      <c r="W69">
        <v>2</v>
      </c>
      <c r="X69">
        <v>1</v>
      </c>
      <c r="Y69">
        <v>0</v>
      </c>
      <c r="Z69">
        <v>2</v>
      </c>
      <c r="AA69">
        <v>2</v>
      </c>
      <c r="AB69">
        <v>10</v>
      </c>
      <c r="AC69">
        <v>4</v>
      </c>
      <c r="AD69">
        <v>0</v>
      </c>
      <c r="AE69">
        <v>2</v>
      </c>
      <c r="AF69">
        <v>4</v>
      </c>
      <c r="AG69">
        <v>30</v>
      </c>
      <c r="AH69">
        <v>25.3</v>
      </c>
      <c r="AI69">
        <v>38</v>
      </c>
    </row>
    <row r="70" spans="1:35" ht="21" x14ac:dyDescent="0.3">
      <c r="A70" t="s">
        <v>551</v>
      </c>
      <c r="B70" s="11">
        <v>58</v>
      </c>
      <c r="C70">
        <v>467</v>
      </c>
      <c r="D70">
        <v>69</v>
      </c>
      <c r="E70" s="4">
        <v>44635</v>
      </c>
      <c r="F70" t="s">
        <v>99</v>
      </c>
      <c r="G70" t="s">
        <v>37</v>
      </c>
      <c r="H70" t="s">
        <v>74</v>
      </c>
      <c r="I70" t="s">
        <v>331</v>
      </c>
      <c r="J70" t="s">
        <v>41</v>
      </c>
      <c r="K70" s="9">
        <v>1.2479166666666666</v>
      </c>
      <c r="L70">
        <v>11</v>
      </c>
      <c r="M70">
        <v>20</v>
      </c>
      <c r="N70">
        <v>0.55000000000000004</v>
      </c>
      <c r="O70">
        <v>4</v>
      </c>
      <c r="P70">
        <v>9</v>
      </c>
      <c r="Q70">
        <v>0.44400000000000001</v>
      </c>
      <c r="R70">
        <v>7</v>
      </c>
      <c r="S70">
        <v>11</v>
      </c>
      <c r="T70">
        <v>0.63600000000000001</v>
      </c>
      <c r="U70">
        <v>0.65</v>
      </c>
      <c r="V70">
        <v>1</v>
      </c>
      <c r="W70">
        <v>1</v>
      </c>
      <c r="X70">
        <v>1</v>
      </c>
      <c r="Y70">
        <v>0</v>
      </c>
      <c r="Z70">
        <v>5</v>
      </c>
      <c r="AA70">
        <v>5</v>
      </c>
      <c r="AB70">
        <v>8</v>
      </c>
      <c r="AC70">
        <v>2</v>
      </c>
      <c r="AD70">
        <v>0</v>
      </c>
      <c r="AE70">
        <v>2</v>
      </c>
      <c r="AF70">
        <v>2</v>
      </c>
      <c r="AG70">
        <v>27</v>
      </c>
      <c r="AH70">
        <v>23.7</v>
      </c>
      <c r="AI70">
        <v>9</v>
      </c>
    </row>
    <row r="71" spans="1:35" ht="21" x14ac:dyDescent="0.3">
      <c r="A71" t="s">
        <v>551</v>
      </c>
      <c r="B71" s="11">
        <v>59</v>
      </c>
      <c r="C71">
        <v>468</v>
      </c>
      <c r="D71">
        <v>70</v>
      </c>
      <c r="E71" s="4">
        <v>44636</v>
      </c>
      <c r="F71" t="s">
        <v>99</v>
      </c>
      <c r="G71" t="s">
        <v>37</v>
      </c>
      <c r="H71" t="s">
        <v>76</v>
      </c>
      <c r="I71" t="s">
        <v>332</v>
      </c>
      <c r="J71" t="s">
        <v>41</v>
      </c>
      <c r="K71" s="9">
        <v>1.51875</v>
      </c>
      <c r="L71">
        <v>15</v>
      </c>
      <c r="M71">
        <v>24</v>
      </c>
      <c r="N71">
        <v>0.625</v>
      </c>
      <c r="O71">
        <v>5</v>
      </c>
      <c r="P71">
        <v>12</v>
      </c>
      <c r="Q71">
        <v>0.41699999999999998</v>
      </c>
      <c r="R71">
        <v>10</v>
      </c>
      <c r="S71">
        <v>12</v>
      </c>
      <c r="T71">
        <v>0.83299999999999996</v>
      </c>
      <c r="U71">
        <v>0.72899999999999998</v>
      </c>
      <c r="V71">
        <v>1</v>
      </c>
      <c r="W71">
        <v>1</v>
      </c>
      <c r="X71">
        <v>1</v>
      </c>
      <c r="Y71">
        <v>0</v>
      </c>
      <c r="Z71">
        <v>4</v>
      </c>
      <c r="AA71">
        <v>4</v>
      </c>
      <c r="AB71">
        <v>4</v>
      </c>
      <c r="AC71">
        <v>0</v>
      </c>
      <c r="AD71">
        <v>1</v>
      </c>
      <c r="AE71">
        <v>3</v>
      </c>
      <c r="AF71">
        <v>2</v>
      </c>
      <c r="AG71">
        <v>36</v>
      </c>
      <c r="AH71">
        <v>26.1</v>
      </c>
      <c r="AI71">
        <v>12</v>
      </c>
    </row>
    <row r="72" spans="1:35" ht="21" x14ac:dyDescent="0.3">
      <c r="A72" t="s">
        <v>551</v>
      </c>
      <c r="B72" s="11">
        <v>60</v>
      </c>
      <c r="C72">
        <v>469</v>
      </c>
      <c r="D72">
        <v>71</v>
      </c>
      <c r="E72" s="4">
        <v>44638</v>
      </c>
      <c r="F72" t="s">
        <v>99</v>
      </c>
      <c r="H72" t="s">
        <v>82</v>
      </c>
      <c r="I72" t="s">
        <v>333</v>
      </c>
      <c r="J72" t="s">
        <v>41</v>
      </c>
      <c r="K72" s="9">
        <v>1.3416666666666666</v>
      </c>
      <c r="L72">
        <v>10</v>
      </c>
      <c r="M72">
        <v>18</v>
      </c>
      <c r="N72">
        <v>0.55600000000000005</v>
      </c>
      <c r="O72">
        <v>1</v>
      </c>
      <c r="P72">
        <v>3</v>
      </c>
      <c r="Q72">
        <v>0.33300000000000002</v>
      </c>
      <c r="R72">
        <v>9</v>
      </c>
      <c r="S72">
        <v>15</v>
      </c>
      <c r="T72">
        <v>0.6</v>
      </c>
      <c r="U72">
        <v>0.58299999999999996</v>
      </c>
      <c r="V72">
        <v>7</v>
      </c>
      <c r="W72">
        <v>7</v>
      </c>
      <c r="X72">
        <v>1</v>
      </c>
      <c r="Y72">
        <v>1</v>
      </c>
      <c r="Z72">
        <v>3</v>
      </c>
      <c r="AA72">
        <v>4</v>
      </c>
      <c r="AB72">
        <v>3</v>
      </c>
      <c r="AC72">
        <v>0</v>
      </c>
      <c r="AD72">
        <v>0</v>
      </c>
      <c r="AE72">
        <v>3</v>
      </c>
      <c r="AF72">
        <v>3</v>
      </c>
      <c r="AG72">
        <v>28</v>
      </c>
      <c r="AH72">
        <v>18.899999999999999</v>
      </c>
      <c r="AI72">
        <v>27</v>
      </c>
    </row>
    <row r="73" spans="1:35" ht="21" x14ac:dyDescent="0.3">
      <c r="A73" t="s">
        <v>551</v>
      </c>
      <c r="B73" s="11">
        <v>61</v>
      </c>
      <c r="C73">
        <v>470</v>
      </c>
      <c r="D73">
        <v>72</v>
      </c>
      <c r="E73" s="4">
        <v>44640</v>
      </c>
      <c r="F73" t="s">
        <v>99</v>
      </c>
      <c r="G73" t="s">
        <v>37</v>
      </c>
      <c r="H73" t="s">
        <v>66</v>
      </c>
      <c r="I73" t="s">
        <v>334</v>
      </c>
      <c r="J73" t="s">
        <v>41</v>
      </c>
      <c r="K73" s="9">
        <v>1.5569444444444445</v>
      </c>
      <c r="L73">
        <v>11</v>
      </c>
      <c r="M73">
        <v>21</v>
      </c>
      <c r="N73">
        <v>0.52400000000000002</v>
      </c>
      <c r="O73">
        <v>2</v>
      </c>
      <c r="P73">
        <v>5</v>
      </c>
      <c r="Q73">
        <v>0.4</v>
      </c>
      <c r="R73">
        <v>9</v>
      </c>
      <c r="S73">
        <v>16</v>
      </c>
      <c r="T73">
        <v>0.56299999999999994</v>
      </c>
      <c r="U73">
        <v>0.57099999999999995</v>
      </c>
      <c r="V73">
        <v>7</v>
      </c>
      <c r="W73">
        <v>7</v>
      </c>
      <c r="X73">
        <v>1</v>
      </c>
      <c r="Y73">
        <v>0</v>
      </c>
      <c r="Z73">
        <v>7</v>
      </c>
      <c r="AA73">
        <v>7</v>
      </c>
      <c r="AB73">
        <v>5</v>
      </c>
      <c r="AC73">
        <v>1</v>
      </c>
      <c r="AD73">
        <v>0</v>
      </c>
      <c r="AE73">
        <v>3</v>
      </c>
      <c r="AF73">
        <v>6</v>
      </c>
      <c r="AG73">
        <v>31</v>
      </c>
      <c r="AH73">
        <v>21.9</v>
      </c>
      <c r="AI73">
        <v>3</v>
      </c>
    </row>
    <row r="74" spans="1:35" ht="21" x14ac:dyDescent="0.3">
      <c r="A74" t="s">
        <v>551</v>
      </c>
      <c r="B74" s="11">
        <v>62</v>
      </c>
      <c r="C74">
        <v>471</v>
      </c>
      <c r="D74">
        <v>73</v>
      </c>
      <c r="E74" s="4">
        <v>44643</v>
      </c>
      <c r="F74" t="s">
        <v>99</v>
      </c>
      <c r="G74" t="s">
        <v>37</v>
      </c>
      <c r="H74" t="s">
        <v>80</v>
      </c>
      <c r="I74" t="s">
        <v>335</v>
      </c>
      <c r="J74" t="s">
        <v>41</v>
      </c>
      <c r="K74" s="9">
        <v>1.4673611111111111</v>
      </c>
      <c r="L74">
        <v>7</v>
      </c>
      <c r="M74">
        <v>15</v>
      </c>
      <c r="N74">
        <v>0.46700000000000003</v>
      </c>
      <c r="O74">
        <v>1</v>
      </c>
      <c r="P74">
        <v>4</v>
      </c>
      <c r="Q74">
        <v>0.25</v>
      </c>
      <c r="R74">
        <v>6</v>
      </c>
      <c r="S74">
        <v>11</v>
      </c>
      <c r="T74">
        <v>0.54500000000000004</v>
      </c>
      <c r="U74">
        <v>0.5</v>
      </c>
      <c r="V74">
        <v>13</v>
      </c>
      <c r="W74">
        <v>16</v>
      </c>
      <c r="X74">
        <v>0.81299999999999994</v>
      </c>
      <c r="Y74">
        <v>0</v>
      </c>
      <c r="Z74">
        <v>3</v>
      </c>
      <c r="AA74">
        <v>3</v>
      </c>
      <c r="AB74">
        <v>7</v>
      </c>
      <c r="AC74">
        <v>1</v>
      </c>
      <c r="AD74">
        <v>0</v>
      </c>
      <c r="AE74">
        <v>2</v>
      </c>
      <c r="AF74">
        <v>2</v>
      </c>
      <c r="AG74">
        <v>28</v>
      </c>
      <c r="AH74">
        <v>23.1</v>
      </c>
      <c r="AI74">
        <v>4</v>
      </c>
    </row>
    <row r="75" spans="1:35" ht="21" x14ac:dyDescent="0.3">
      <c r="A75" t="s">
        <v>551</v>
      </c>
      <c r="B75" s="11">
        <v>63</v>
      </c>
      <c r="C75">
        <v>472</v>
      </c>
      <c r="D75">
        <v>74</v>
      </c>
      <c r="E75" s="4">
        <v>44644</v>
      </c>
      <c r="F75" t="s">
        <v>99</v>
      </c>
      <c r="G75" t="s">
        <v>37</v>
      </c>
      <c r="H75" t="s">
        <v>34</v>
      </c>
      <c r="I75" t="s">
        <v>336</v>
      </c>
      <c r="J75" t="s">
        <v>41</v>
      </c>
      <c r="K75" s="9">
        <v>1.6222222222222222</v>
      </c>
      <c r="L75">
        <v>16</v>
      </c>
      <c r="M75">
        <v>25</v>
      </c>
      <c r="N75">
        <v>0.64</v>
      </c>
      <c r="O75">
        <v>2</v>
      </c>
      <c r="P75">
        <v>5</v>
      </c>
      <c r="Q75">
        <v>0.4</v>
      </c>
      <c r="R75">
        <v>14</v>
      </c>
      <c r="S75">
        <v>20</v>
      </c>
      <c r="T75">
        <v>0.7</v>
      </c>
      <c r="U75">
        <v>0.68</v>
      </c>
      <c r="V75">
        <v>15</v>
      </c>
      <c r="W75">
        <v>17</v>
      </c>
      <c r="X75">
        <v>0.88200000000000001</v>
      </c>
      <c r="Y75">
        <v>0</v>
      </c>
      <c r="Z75">
        <v>4</v>
      </c>
      <c r="AA75">
        <v>4</v>
      </c>
      <c r="AB75">
        <v>10</v>
      </c>
      <c r="AC75">
        <v>3</v>
      </c>
      <c r="AD75">
        <v>1</v>
      </c>
      <c r="AE75">
        <v>2</v>
      </c>
      <c r="AF75">
        <v>3</v>
      </c>
      <c r="AG75">
        <v>49</v>
      </c>
      <c r="AH75">
        <v>45.8</v>
      </c>
      <c r="AI75">
        <v>16</v>
      </c>
    </row>
    <row r="76" spans="1:35" ht="21" x14ac:dyDescent="0.3">
      <c r="A76" t="s">
        <v>551</v>
      </c>
      <c r="B76" s="11">
        <v>64</v>
      </c>
      <c r="C76">
        <v>473</v>
      </c>
      <c r="D76">
        <v>75</v>
      </c>
      <c r="E76" s="4">
        <v>44647</v>
      </c>
      <c r="F76" t="s">
        <v>99</v>
      </c>
      <c r="H76" t="s">
        <v>94</v>
      </c>
      <c r="I76" t="s">
        <v>337</v>
      </c>
      <c r="J76" t="s">
        <v>41</v>
      </c>
      <c r="K76" s="9">
        <v>1.4555555555555555</v>
      </c>
      <c r="L76">
        <v>13</v>
      </c>
      <c r="M76">
        <v>22</v>
      </c>
      <c r="N76">
        <v>0.59099999999999997</v>
      </c>
      <c r="O76">
        <v>3</v>
      </c>
      <c r="P76">
        <v>5</v>
      </c>
      <c r="Q76">
        <v>0.6</v>
      </c>
      <c r="R76">
        <v>10</v>
      </c>
      <c r="S76">
        <v>17</v>
      </c>
      <c r="T76">
        <v>0.58799999999999997</v>
      </c>
      <c r="U76">
        <v>0.65900000000000003</v>
      </c>
      <c r="V76">
        <v>6</v>
      </c>
      <c r="W76">
        <v>8</v>
      </c>
      <c r="X76">
        <v>0.75</v>
      </c>
      <c r="Y76">
        <v>1</v>
      </c>
      <c r="Z76">
        <v>1</v>
      </c>
      <c r="AA76">
        <v>2</v>
      </c>
      <c r="AB76">
        <v>2</v>
      </c>
      <c r="AC76">
        <v>0</v>
      </c>
      <c r="AD76">
        <v>0</v>
      </c>
      <c r="AE76">
        <v>3</v>
      </c>
      <c r="AF76">
        <v>3</v>
      </c>
      <c r="AG76">
        <v>35</v>
      </c>
      <c r="AH76">
        <v>22.2</v>
      </c>
      <c r="AI76">
        <v>7</v>
      </c>
    </row>
    <row r="77" spans="1:35" ht="21" x14ac:dyDescent="0.3">
      <c r="A77" t="s">
        <v>551</v>
      </c>
      <c r="B77" s="11">
        <v>65</v>
      </c>
      <c r="C77">
        <v>474</v>
      </c>
      <c r="D77">
        <v>76</v>
      </c>
      <c r="E77" s="4">
        <v>44650</v>
      </c>
      <c r="F77" t="s">
        <v>99</v>
      </c>
      <c r="G77" t="s">
        <v>37</v>
      </c>
      <c r="H77" t="s">
        <v>33</v>
      </c>
      <c r="I77" t="s">
        <v>338</v>
      </c>
      <c r="J77" t="s">
        <v>41</v>
      </c>
      <c r="K77" s="9">
        <v>1.5597222222222222</v>
      </c>
      <c r="L77">
        <v>5</v>
      </c>
      <c r="M77">
        <v>21</v>
      </c>
      <c r="N77">
        <v>0.23799999999999999</v>
      </c>
      <c r="O77">
        <v>2</v>
      </c>
      <c r="P77">
        <v>8</v>
      </c>
      <c r="Q77">
        <v>0.25</v>
      </c>
      <c r="R77">
        <v>3</v>
      </c>
      <c r="S77">
        <v>13</v>
      </c>
      <c r="T77">
        <v>0.23100000000000001</v>
      </c>
      <c r="U77">
        <v>0.28599999999999998</v>
      </c>
      <c r="V77">
        <v>10</v>
      </c>
      <c r="W77">
        <v>12</v>
      </c>
      <c r="X77">
        <v>0.83299999999999996</v>
      </c>
      <c r="Y77">
        <v>0</v>
      </c>
      <c r="Z77">
        <v>5</v>
      </c>
      <c r="AA77">
        <v>5</v>
      </c>
      <c r="AB77">
        <v>2</v>
      </c>
      <c r="AC77">
        <v>0</v>
      </c>
      <c r="AD77">
        <v>0</v>
      </c>
      <c r="AE77">
        <v>0</v>
      </c>
      <c r="AF77">
        <v>4</v>
      </c>
      <c r="AG77">
        <v>22</v>
      </c>
      <c r="AH77">
        <v>9.8000000000000007</v>
      </c>
      <c r="AI77">
        <v>3</v>
      </c>
    </row>
    <row r="78" spans="1:35" ht="21" x14ac:dyDescent="0.3">
      <c r="A78" t="s">
        <v>551</v>
      </c>
      <c r="B78" s="11">
        <v>66</v>
      </c>
      <c r="C78">
        <v>475</v>
      </c>
      <c r="D78">
        <v>77</v>
      </c>
      <c r="E78" s="4">
        <v>44652</v>
      </c>
      <c r="F78" t="s">
        <v>99</v>
      </c>
      <c r="G78" t="s">
        <v>37</v>
      </c>
      <c r="H78" t="s">
        <v>42</v>
      </c>
      <c r="I78" t="s">
        <v>339</v>
      </c>
      <c r="J78" t="s">
        <v>41</v>
      </c>
      <c r="K78" s="9">
        <v>1.5520833333333333</v>
      </c>
      <c r="L78">
        <v>17</v>
      </c>
      <c r="M78">
        <v>28</v>
      </c>
      <c r="N78">
        <v>0.60699999999999998</v>
      </c>
      <c r="O78">
        <v>3</v>
      </c>
      <c r="P78">
        <v>6</v>
      </c>
      <c r="Q78">
        <v>0.5</v>
      </c>
      <c r="R78">
        <v>14</v>
      </c>
      <c r="S78">
        <v>22</v>
      </c>
      <c r="T78">
        <v>0.63600000000000001</v>
      </c>
      <c r="U78">
        <v>0.66100000000000003</v>
      </c>
      <c r="V78">
        <v>4</v>
      </c>
      <c r="W78">
        <v>5</v>
      </c>
      <c r="X78">
        <v>0.8</v>
      </c>
      <c r="Y78">
        <v>0</v>
      </c>
      <c r="Z78">
        <v>4</v>
      </c>
      <c r="AA78">
        <v>4</v>
      </c>
      <c r="AB78">
        <v>4</v>
      </c>
      <c r="AC78">
        <v>0</v>
      </c>
      <c r="AD78">
        <v>0</v>
      </c>
      <c r="AE78">
        <v>3</v>
      </c>
      <c r="AF78">
        <v>5</v>
      </c>
      <c r="AG78">
        <v>41</v>
      </c>
      <c r="AH78">
        <v>26.8</v>
      </c>
      <c r="AI78">
        <v>-5</v>
      </c>
    </row>
    <row r="79" spans="1:35" ht="21" x14ac:dyDescent="0.3">
      <c r="A79" t="s">
        <v>551</v>
      </c>
      <c r="B79" s="11">
        <v>66</v>
      </c>
      <c r="D79">
        <v>78</v>
      </c>
      <c r="E79" s="4">
        <v>44654</v>
      </c>
      <c r="F79" t="s">
        <v>99</v>
      </c>
      <c r="G79" t="s">
        <v>37</v>
      </c>
      <c r="H79" t="s">
        <v>68</v>
      </c>
      <c r="I79" t="s">
        <v>340</v>
      </c>
      <c r="J79" t="s">
        <v>210</v>
      </c>
      <c r="K79" t="s">
        <v>210</v>
      </c>
      <c r="L79" t="s">
        <v>210</v>
      </c>
      <c r="M79" t="s">
        <v>210</v>
      </c>
      <c r="N79" t="s">
        <v>210</v>
      </c>
      <c r="O79" t="s">
        <v>210</v>
      </c>
      <c r="P79" t="s">
        <v>357</v>
      </c>
    </row>
    <row r="80" spans="1:35" ht="21" x14ac:dyDescent="0.3">
      <c r="A80" t="s">
        <v>551</v>
      </c>
      <c r="B80" s="11">
        <v>67</v>
      </c>
      <c r="C80">
        <v>476</v>
      </c>
      <c r="D80">
        <v>79</v>
      </c>
      <c r="E80" s="4">
        <v>44656</v>
      </c>
      <c r="F80" t="s">
        <v>99</v>
      </c>
      <c r="H80" t="s">
        <v>62</v>
      </c>
      <c r="I80" t="s">
        <v>341</v>
      </c>
      <c r="J80" t="s">
        <v>41</v>
      </c>
      <c r="K80" s="9">
        <v>1.2375</v>
      </c>
      <c r="L80">
        <v>12</v>
      </c>
      <c r="M80">
        <v>22</v>
      </c>
      <c r="N80">
        <v>0.54500000000000004</v>
      </c>
      <c r="O80">
        <v>6</v>
      </c>
      <c r="P80">
        <v>9</v>
      </c>
      <c r="Q80">
        <v>0.66700000000000004</v>
      </c>
      <c r="R80">
        <v>6</v>
      </c>
      <c r="S80">
        <v>13</v>
      </c>
      <c r="T80">
        <v>0.46200000000000002</v>
      </c>
      <c r="U80">
        <v>0.68200000000000005</v>
      </c>
      <c r="V80">
        <v>2</v>
      </c>
      <c r="W80">
        <v>2</v>
      </c>
      <c r="X80">
        <v>1</v>
      </c>
      <c r="Y80">
        <v>1</v>
      </c>
      <c r="Z80">
        <v>6</v>
      </c>
      <c r="AA80">
        <v>7</v>
      </c>
      <c r="AB80">
        <v>4</v>
      </c>
      <c r="AC80">
        <v>1</v>
      </c>
      <c r="AD80">
        <v>0</v>
      </c>
      <c r="AE80">
        <v>1</v>
      </c>
      <c r="AF80">
        <v>2</v>
      </c>
      <c r="AG80">
        <v>32</v>
      </c>
      <c r="AH80">
        <v>25.9</v>
      </c>
      <c r="AI80">
        <v>14</v>
      </c>
    </row>
    <row r="81" spans="1:42" ht="21" x14ac:dyDescent="0.3">
      <c r="A81" t="s">
        <v>551</v>
      </c>
      <c r="B81" s="11">
        <v>67</v>
      </c>
      <c r="D81">
        <v>80</v>
      </c>
      <c r="E81" s="4">
        <v>44657</v>
      </c>
      <c r="F81" t="s">
        <v>99</v>
      </c>
      <c r="G81" t="s">
        <v>37</v>
      </c>
      <c r="H81" t="s">
        <v>64</v>
      </c>
      <c r="I81" t="s">
        <v>342</v>
      </c>
      <c r="J81" t="s">
        <v>210</v>
      </c>
      <c r="K81" t="s">
        <v>210</v>
      </c>
      <c r="L81" t="s">
        <v>210</v>
      </c>
      <c r="M81" t="s">
        <v>210</v>
      </c>
      <c r="N81" t="s">
        <v>210</v>
      </c>
      <c r="O81" t="s">
        <v>210</v>
      </c>
      <c r="P81" t="s">
        <v>362</v>
      </c>
    </row>
    <row r="82" spans="1:42" ht="21" x14ac:dyDescent="0.3">
      <c r="A82" t="s">
        <v>551</v>
      </c>
      <c r="B82" s="11">
        <v>68</v>
      </c>
      <c r="C82">
        <v>477</v>
      </c>
      <c r="D82">
        <v>81</v>
      </c>
      <c r="E82" s="4">
        <v>44659</v>
      </c>
      <c r="F82" t="s">
        <v>99</v>
      </c>
      <c r="G82" t="s">
        <v>37</v>
      </c>
      <c r="H82" t="s">
        <v>118</v>
      </c>
      <c r="I82" t="s">
        <v>343</v>
      </c>
      <c r="J82" t="s">
        <v>41</v>
      </c>
      <c r="K82" s="9">
        <v>1.5729166666666667</v>
      </c>
      <c r="L82">
        <v>13</v>
      </c>
      <c r="M82">
        <v>26</v>
      </c>
      <c r="N82">
        <v>0.5</v>
      </c>
      <c r="O82">
        <v>2</v>
      </c>
      <c r="P82">
        <v>5</v>
      </c>
      <c r="Q82">
        <v>0.4</v>
      </c>
      <c r="R82">
        <v>11</v>
      </c>
      <c r="S82">
        <v>21</v>
      </c>
      <c r="T82">
        <v>0.52400000000000002</v>
      </c>
      <c r="U82">
        <v>0.53800000000000003</v>
      </c>
      <c r="V82">
        <v>5</v>
      </c>
      <c r="W82">
        <v>5</v>
      </c>
      <c r="X82">
        <v>1</v>
      </c>
      <c r="Y82">
        <v>0</v>
      </c>
      <c r="Z82">
        <v>4</v>
      </c>
      <c r="AA82">
        <v>4</v>
      </c>
      <c r="AB82">
        <v>3</v>
      </c>
      <c r="AC82">
        <v>0</v>
      </c>
      <c r="AD82">
        <v>0</v>
      </c>
      <c r="AE82">
        <v>1</v>
      </c>
      <c r="AF82">
        <v>4</v>
      </c>
      <c r="AG82">
        <v>33</v>
      </c>
      <c r="AH82">
        <v>20.7</v>
      </c>
      <c r="AI82">
        <v>11</v>
      </c>
    </row>
    <row r="83" spans="1:42" ht="21" x14ac:dyDescent="0.3">
      <c r="A83" t="s">
        <v>551</v>
      </c>
      <c r="B83" s="11">
        <v>68</v>
      </c>
      <c r="D83">
        <v>82</v>
      </c>
      <c r="E83" s="4">
        <v>44661</v>
      </c>
      <c r="F83" t="s">
        <v>99</v>
      </c>
      <c r="H83" t="s">
        <v>66</v>
      </c>
      <c r="I83" t="s">
        <v>344</v>
      </c>
      <c r="J83" t="s">
        <v>210</v>
      </c>
      <c r="K83" t="s">
        <v>210</v>
      </c>
      <c r="L83" t="s">
        <v>210</v>
      </c>
      <c r="M83" t="s">
        <v>210</v>
      </c>
      <c r="N83" t="s">
        <v>210</v>
      </c>
      <c r="O83" t="s">
        <v>210</v>
      </c>
      <c r="P83" t="s">
        <v>357</v>
      </c>
    </row>
    <row r="84" spans="1:42" ht="21" x14ac:dyDescent="0.3">
      <c r="A84" t="s">
        <v>551</v>
      </c>
      <c r="B84" s="11">
        <v>1</v>
      </c>
      <c r="C84">
        <v>23</v>
      </c>
      <c r="D84">
        <v>1</v>
      </c>
      <c r="E84" s="4">
        <v>44668</v>
      </c>
      <c r="F84" t="s">
        <v>99</v>
      </c>
      <c r="H84" t="s">
        <v>74</v>
      </c>
      <c r="I84" t="s">
        <v>345</v>
      </c>
      <c r="J84" t="s">
        <v>41</v>
      </c>
      <c r="K84" s="9">
        <v>1.6923611111111112</v>
      </c>
      <c r="L84">
        <v>8</v>
      </c>
      <c r="M84">
        <v>19</v>
      </c>
      <c r="N84">
        <v>0.42099999999999999</v>
      </c>
      <c r="O84">
        <v>4</v>
      </c>
      <c r="P84">
        <v>8</v>
      </c>
      <c r="Q84">
        <v>0.5</v>
      </c>
      <c r="R84">
        <v>4</v>
      </c>
      <c r="S84">
        <v>11</v>
      </c>
      <c r="T84">
        <v>0.36399999999999999</v>
      </c>
      <c r="U84">
        <v>0.52600000000000002</v>
      </c>
      <c r="V84">
        <v>5</v>
      </c>
      <c r="W84">
        <v>6</v>
      </c>
      <c r="X84">
        <v>0.83299999999999996</v>
      </c>
      <c r="Y84">
        <v>0</v>
      </c>
      <c r="Z84">
        <v>4</v>
      </c>
      <c r="AA84">
        <v>4</v>
      </c>
      <c r="AB84">
        <v>8</v>
      </c>
      <c r="AC84">
        <v>1</v>
      </c>
      <c r="AD84">
        <v>0</v>
      </c>
      <c r="AE84">
        <v>1</v>
      </c>
      <c r="AF84">
        <v>2</v>
      </c>
      <c r="AG84">
        <v>25</v>
      </c>
      <c r="AH84">
        <v>20.5</v>
      </c>
      <c r="AI84">
        <v>7</v>
      </c>
    </row>
    <row r="85" spans="1:42" ht="21" x14ac:dyDescent="0.3">
      <c r="A85" t="s">
        <v>551</v>
      </c>
      <c r="B85" s="11">
        <v>2</v>
      </c>
      <c r="C85">
        <v>24</v>
      </c>
      <c r="D85">
        <v>2</v>
      </c>
      <c r="E85" s="4">
        <v>44670</v>
      </c>
      <c r="F85" t="s">
        <v>99</v>
      </c>
      <c r="H85" t="s">
        <v>74</v>
      </c>
      <c r="I85" t="s">
        <v>346</v>
      </c>
      <c r="J85" t="s">
        <v>41</v>
      </c>
      <c r="K85" s="9">
        <v>1.0326388888888889</v>
      </c>
      <c r="L85">
        <v>12</v>
      </c>
      <c r="M85">
        <v>19</v>
      </c>
      <c r="N85">
        <v>0.63200000000000001</v>
      </c>
      <c r="O85">
        <v>7</v>
      </c>
      <c r="P85">
        <v>11</v>
      </c>
      <c r="Q85">
        <v>0.63600000000000001</v>
      </c>
      <c r="R85">
        <v>5</v>
      </c>
      <c r="S85">
        <v>8</v>
      </c>
      <c r="T85">
        <v>0.625</v>
      </c>
      <c r="U85">
        <v>0.81599999999999995</v>
      </c>
      <c r="V85">
        <v>0</v>
      </c>
      <c r="W85">
        <v>0</v>
      </c>
      <c r="Y85">
        <v>1</v>
      </c>
      <c r="Z85">
        <v>1</v>
      </c>
      <c r="AA85">
        <v>2</v>
      </c>
      <c r="AB85">
        <v>1</v>
      </c>
      <c r="AC85">
        <v>0</v>
      </c>
      <c r="AD85">
        <v>0</v>
      </c>
      <c r="AE85">
        <v>2</v>
      </c>
      <c r="AF85">
        <v>3</v>
      </c>
      <c r="AG85">
        <v>31</v>
      </c>
      <c r="AH85">
        <v>21</v>
      </c>
      <c r="AI85">
        <v>-6</v>
      </c>
    </row>
    <row r="86" spans="1:42" ht="21" x14ac:dyDescent="0.3">
      <c r="A86" t="s">
        <v>551</v>
      </c>
      <c r="B86" s="11">
        <v>2</v>
      </c>
      <c r="D86">
        <v>3</v>
      </c>
      <c r="E86" s="4">
        <v>44673</v>
      </c>
      <c r="F86" t="s">
        <v>99</v>
      </c>
      <c r="G86" t="s">
        <v>37</v>
      </c>
      <c r="H86" t="s">
        <v>74</v>
      </c>
      <c r="I86" t="s">
        <v>347</v>
      </c>
      <c r="J86" t="s">
        <v>210</v>
      </c>
      <c r="K86" t="s">
        <v>210</v>
      </c>
      <c r="L86" t="s">
        <v>210</v>
      </c>
      <c r="M86" t="s">
        <v>210</v>
      </c>
      <c r="N86" t="s">
        <v>210</v>
      </c>
      <c r="O86" t="s">
        <v>210</v>
      </c>
      <c r="P86" t="s">
        <v>357</v>
      </c>
      <c r="AJ86" t="s">
        <v>356</v>
      </c>
      <c r="AK86" t="s">
        <v>355</v>
      </c>
      <c r="AL86" t="s">
        <v>356</v>
      </c>
      <c r="AM86" t="s">
        <v>355</v>
      </c>
      <c r="AN86" t="s">
        <v>356</v>
      </c>
      <c r="AO86" t="s">
        <v>355</v>
      </c>
      <c r="AP86" t="s">
        <v>363</v>
      </c>
    </row>
    <row r="87" spans="1:42" ht="21" x14ac:dyDescent="0.3">
      <c r="A87" t="s">
        <v>551</v>
      </c>
      <c r="B87" s="11">
        <v>2</v>
      </c>
      <c r="D87">
        <v>4</v>
      </c>
      <c r="E87" s="4">
        <v>44675</v>
      </c>
      <c r="F87" t="s">
        <v>99</v>
      </c>
      <c r="G87" t="s">
        <v>37</v>
      </c>
      <c r="H87" t="s">
        <v>74</v>
      </c>
      <c r="I87" t="s">
        <v>348</v>
      </c>
      <c r="J87" t="s">
        <v>210</v>
      </c>
      <c r="K87" t="s">
        <v>210</v>
      </c>
      <c r="L87" t="s">
        <v>210</v>
      </c>
      <c r="M87" t="s">
        <v>210</v>
      </c>
      <c r="N87" t="s">
        <v>210</v>
      </c>
      <c r="O87" t="s">
        <v>210</v>
      </c>
      <c r="P87" t="s">
        <v>357</v>
      </c>
      <c r="AJ87" t="s">
        <v>356</v>
      </c>
      <c r="AK87" t="s">
        <v>355</v>
      </c>
      <c r="AL87" t="s">
        <v>356</v>
      </c>
      <c r="AM87" t="s">
        <v>355</v>
      </c>
      <c r="AN87" t="s">
        <v>356</v>
      </c>
      <c r="AO87" t="s">
        <v>355</v>
      </c>
      <c r="AP87" t="s">
        <v>363</v>
      </c>
    </row>
    <row r="88" spans="1:42" ht="21" x14ac:dyDescent="0.3">
      <c r="A88" t="s">
        <v>551</v>
      </c>
      <c r="B88" s="11">
        <v>2</v>
      </c>
      <c r="D88">
        <v>5</v>
      </c>
      <c r="E88" s="4">
        <v>44677</v>
      </c>
      <c r="F88" t="s">
        <v>99</v>
      </c>
      <c r="H88" t="s">
        <v>74</v>
      </c>
      <c r="I88" t="s">
        <v>152</v>
      </c>
      <c r="J88" t="s">
        <v>210</v>
      </c>
      <c r="K88" t="s">
        <v>210</v>
      </c>
      <c r="L88" t="s">
        <v>210</v>
      </c>
      <c r="M88" t="s">
        <v>210</v>
      </c>
      <c r="N88" t="s">
        <v>210</v>
      </c>
      <c r="O88" t="s">
        <v>210</v>
      </c>
      <c r="P88" t="s">
        <v>367</v>
      </c>
      <c r="AJ88" t="s">
        <v>365</v>
      </c>
      <c r="AK88" t="s">
        <v>364</v>
      </c>
      <c r="AL88" t="s">
        <v>365</v>
      </c>
      <c r="AM88" t="s">
        <v>364</v>
      </c>
      <c r="AN88" t="s">
        <v>365</v>
      </c>
      <c r="AO88" t="s">
        <v>364</v>
      </c>
      <c r="AP88" t="s">
        <v>366</v>
      </c>
    </row>
    <row r="89" spans="1:42" ht="21" x14ac:dyDescent="0.3">
      <c r="A89" t="s">
        <v>551</v>
      </c>
      <c r="B89" s="11">
        <v>3</v>
      </c>
      <c r="C89">
        <v>25</v>
      </c>
      <c r="D89">
        <v>6</v>
      </c>
      <c r="E89" s="4">
        <v>44679</v>
      </c>
      <c r="F89" t="s">
        <v>99</v>
      </c>
      <c r="G89" t="s">
        <v>37</v>
      </c>
      <c r="H89" t="s">
        <v>74</v>
      </c>
      <c r="I89" t="s">
        <v>309</v>
      </c>
      <c r="J89" t="s">
        <v>41</v>
      </c>
      <c r="K89" s="9">
        <v>1.3430555555555554</v>
      </c>
      <c r="L89">
        <v>5</v>
      </c>
      <c r="M89">
        <v>12</v>
      </c>
      <c r="N89">
        <v>0.41699999999999998</v>
      </c>
      <c r="O89">
        <v>1</v>
      </c>
      <c r="P89">
        <v>6</v>
      </c>
      <c r="Q89">
        <v>0.16700000000000001</v>
      </c>
      <c r="R89">
        <v>4</v>
      </c>
      <c r="S89">
        <v>6</v>
      </c>
      <c r="T89">
        <v>0.66700000000000004</v>
      </c>
      <c r="U89">
        <v>0.45800000000000002</v>
      </c>
      <c r="V89">
        <v>2</v>
      </c>
      <c r="W89">
        <v>2</v>
      </c>
      <c r="X89">
        <v>1</v>
      </c>
      <c r="Y89">
        <v>0</v>
      </c>
      <c r="Z89">
        <v>5</v>
      </c>
      <c r="AA89">
        <v>5</v>
      </c>
      <c r="AB89">
        <v>3</v>
      </c>
      <c r="AC89">
        <v>0</v>
      </c>
      <c r="AD89">
        <v>0</v>
      </c>
      <c r="AE89">
        <v>2</v>
      </c>
      <c r="AF89">
        <v>0</v>
      </c>
      <c r="AG89">
        <v>13</v>
      </c>
      <c r="AH89">
        <v>8.1999999999999993</v>
      </c>
      <c r="AI89">
        <v>9</v>
      </c>
    </row>
    <row r="90" spans="1:42" ht="21" x14ac:dyDescent="0.3">
      <c r="A90" t="s">
        <v>551</v>
      </c>
      <c r="B90" s="11">
        <v>4</v>
      </c>
      <c r="C90">
        <v>26</v>
      </c>
      <c r="D90">
        <v>7</v>
      </c>
      <c r="E90" s="4">
        <v>44683</v>
      </c>
      <c r="F90" t="s">
        <v>99</v>
      </c>
      <c r="H90" t="s">
        <v>49</v>
      </c>
      <c r="I90" t="s">
        <v>63</v>
      </c>
      <c r="J90" t="s">
        <v>41</v>
      </c>
      <c r="K90" s="9">
        <v>1.5923611111111111</v>
      </c>
      <c r="L90">
        <v>7</v>
      </c>
      <c r="M90">
        <v>20</v>
      </c>
      <c r="N90">
        <v>0.35</v>
      </c>
      <c r="O90">
        <v>1</v>
      </c>
      <c r="P90">
        <v>5</v>
      </c>
      <c r="Q90">
        <v>0.2</v>
      </c>
      <c r="R90">
        <v>6</v>
      </c>
      <c r="S90">
        <v>15</v>
      </c>
      <c r="T90">
        <v>0.4</v>
      </c>
      <c r="U90">
        <v>0.375</v>
      </c>
      <c r="V90">
        <v>8</v>
      </c>
      <c r="W90">
        <v>8</v>
      </c>
      <c r="X90">
        <v>1</v>
      </c>
      <c r="Y90">
        <v>3</v>
      </c>
      <c r="Z90">
        <v>6</v>
      </c>
      <c r="AA90">
        <v>9</v>
      </c>
      <c r="AB90">
        <v>8</v>
      </c>
      <c r="AC90">
        <v>0</v>
      </c>
      <c r="AD90">
        <v>1</v>
      </c>
      <c r="AE90">
        <v>1</v>
      </c>
      <c r="AF90">
        <v>1</v>
      </c>
      <c r="AG90">
        <v>23</v>
      </c>
      <c r="AH90">
        <v>20.6</v>
      </c>
      <c r="AI90">
        <v>6</v>
      </c>
    </row>
    <row r="91" spans="1:42" ht="21" x14ac:dyDescent="0.3">
      <c r="A91" t="s">
        <v>551</v>
      </c>
      <c r="B91" s="11">
        <v>5</v>
      </c>
      <c r="C91">
        <v>27</v>
      </c>
      <c r="D91">
        <v>8</v>
      </c>
      <c r="E91" s="4">
        <v>44685</v>
      </c>
      <c r="F91" t="s">
        <v>99</v>
      </c>
      <c r="H91" t="s">
        <v>49</v>
      </c>
      <c r="I91" t="s">
        <v>349</v>
      </c>
      <c r="J91" t="s">
        <v>41</v>
      </c>
      <c r="K91" s="9">
        <v>1.4805555555555556</v>
      </c>
      <c r="L91">
        <v>11</v>
      </c>
      <c r="M91">
        <v>19</v>
      </c>
      <c r="N91">
        <v>0.57899999999999996</v>
      </c>
      <c r="O91">
        <v>5</v>
      </c>
      <c r="P91">
        <v>8</v>
      </c>
      <c r="Q91">
        <v>0.625</v>
      </c>
      <c r="R91">
        <v>6</v>
      </c>
      <c r="S91">
        <v>11</v>
      </c>
      <c r="T91">
        <v>0.54500000000000004</v>
      </c>
      <c r="U91">
        <v>0.71099999999999997</v>
      </c>
      <c r="V91">
        <v>3</v>
      </c>
      <c r="W91">
        <v>3</v>
      </c>
      <c r="X91">
        <v>1</v>
      </c>
      <c r="Y91">
        <v>1</v>
      </c>
      <c r="Z91">
        <v>3</v>
      </c>
      <c r="AA91">
        <v>4</v>
      </c>
      <c r="AB91">
        <v>4</v>
      </c>
      <c r="AC91">
        <v>0</v>
      </c>
      <c r="AD91">
        <v>1</v>
      </c>
      <c r="AE91">
        <v>2</v>
      </c>
      <c r="AF91">
        <v>4</v>
      </c>
      <c r="AG91">
        <v>30</v>
      </c>
      <c r="AH91">
        <v>22.6</v>
      </c>
      <c r="AI91">
        <v>21</v>
      </c>
    </row>
    <row r="92" spans="1:42" ht="21" x14ac:dyDescent="0.3">
      <c r="A92" t="s">
        <v>551</v>
      </c>
      <c r="B92" s="11">
        <v>6</v>
      </c>
      <c r="C92">
        <v>28</v>
      </c>
      <c r="D92">
        <v>9</v>
      </c>
      <c r="E92" s="4">
        <v>44687</v>
      </c>
      <c r="F92" t="s">
        <v>99</v>
      </c>
      <c r="G92" t="s">
        <v>37</v>
      </c>
      <c r="H92" t="s">
        <v>49</v>
      </c>
      <c r="I92" t="s">
        <v>350</v>
      </c>
      <c r="J92" t="s">
        <v>41</v>
      </c>
      <c r="K92" s="9">
        <v>1.6680555555555556</v>
      </c>
      <c r="L92">
        <v>6</v>
      </c>
      <c r="M92">
        <v>13</v>
      </c>
      <c r="N92">
        <v>0.46200000000000002</v>
      </c>
      <c r="O92">
        <v>4</v>
      </c>
      <c r="P92">
        <v>6</v>
      </c>
      <c r="Q92">
        <v>0.66700000000000004</v>
      </c>
      <c r="R92">
        <v>2</v>
      </c>
      <c r="S92">
        <v>7</v>
      </c>
      <c r="T92">
        <v>0.28599999999999998</v>
      </c>
      <c r="U92">
        <v>0.61499999999999999</v>
      </c>
      <c r="V92">
        <v>2</v>
      </c>
      <c r="W92">
        <v>4</v>
      </c>
      <c r="X92">
        <v>0.5</v>
      </c>
      <c r="Y92">
        <v>0</v>
      </c>
      <c r="Z92">
        <v>2</v>
      </c>
      <c r="AA92">
        <v>2</v>
      </c>
      <c r="AB92">
        <v>6</v>
      </c>
      <c r="AC92">
        <v>0</v>
      </c>
      <c r="AD92">
        <v>0</v>
      </c>
      <c r="AE92">
        <v>5</v>
      </c>
      <c r="AF92">
        <v>1</v>
      </c>
      <c r="AG92">
        <v>18</v>
      </c>
      <c r="AH92">
        <v>9.9</v>
      </c>
      <c r="AI92">
        <v>-12</v>
      </c>
    </row>
    <row r="93" spans="1:42" ht="21" x14ac:dyDescent="0.3">
      <c r="A93" t="s">
        <v>551</v>
      </c>
      <c r="B93" s="11">
        <v>7</v>
      </c>
      <c r="C93">
        <v>29</v>
      </c>
      <c r="D93">
        <v>10</v>
      </c>
      <c r="E93" s="4">
        <v>44689</v>
      </c>
      <c r="F93" t="s">
        <v>99</v>
      </c>
      <c r="G93" t="s">
        <v>37</v>
      </c>
      <c r="H93" t="s">
        <v>49</v>
      </c>
      <c r="I93" t="s">
        <v>351</v>
      </c>
      <c r="J93" t="s">
        <v>41</v>
      </c>
      <c r="K93" s="9">
        <v>1.804861111111111</v>
      </c>
      <c r="L93">
        <v>10</v>
      </c>
      <c r="M93">
        <v>22</v>
      </c>
      <c r="N93">
        <v>0.45500000000000002</v>
      </c>
      <c r="O93">
        <v>3</v>
      </c>
      <c r="P93">
        <v>6</v>
      </c>
      <c r="Q93">
        <v>0.5</v>
      </c>
      <c r="R93">
        <v>7</v>
      </c>
      <c r="S93">
        <v>16</v>
      </c>
      <c r="T93">
        <v>0.438</v>
      </c>
      <c r="U93">
        <v>0.52300000000000002</v>
      </c>
      <c r="V93">
        <v>12</v>
      </c>
      <c r="W93">
        <v>13</v>
      </c>
      <c r="X93">
        <v>0.92300000000000004</v>
      </c>
      <c r="Y93">
        <v>1</v>
      </c>
      <c r="Z93">
        <v>3</v>
      </c>
      <c r="AA93">
        <v>4</v>
      </c>
      <c r="AB93">
        <v>7</v>
      </c>
      <c r="AC93">
        <v>0</v>
      </c>
      <c r="AD93">
        <v>1</v>
      </c>
      <c r="AE93">
        <v>5</v>
      </c>
      <c r="AF93">
        <v>4</v>
      </c>
      <c r="AG93">
        <v>35</v>
      </c>
      <c r="AH93">
        <v>23.8</v>
      </c>
      <c r="AI93">
        <v>-12</v>
      </c>
    </row>
    <row r="94" spans="1:42" ht="21" x14ac:dyDescent="0.3">
      <c r="A94" t="s">
        <v>551</v>
      </c>
      <c r="B94" s="11">
        <v>8</v>
      </c>
      <c r="C94">
        <v>30</v>
      </c>
      <c r="D94">
        <v>11</v>
      </c>
      <c r="E94" s="4">
        <v>44691</v>
      </c>
      <c r="F94" t="s">
        <v>99</v>
      </c>
      <c r="H94" t="s">
        <v>49</v>
      </c>
      <c r="I94" t="s">
        <v>352</v>
      </c>
      <c r="J94" t="s">
        <v>41</v>
      </c>
      <c r="K94" s="9">
        <v>1.4666666666666666</v>
      </c>
      <c r="L94">
        <v>11</v>
      </c>
      <c r="M94">
        <v>20</v>
      </c>
      <c r="N94">
        <v>0.55000000000000004</v>
      </c>
      <c r="O94">
        <v>3</v>
      </c>
      <c r="P94">
        <v>7</v>
      </c>
      <c r="Q94">
        <v>0.42899999999999999</v>
      </c>
      <c r="R94">
        <v>8</v>
      </c>
      <c r="S94">
        <v>13</v>
      </c>
      <c r="T94">
        <v>0.61499999999999999</v>
      </c>
      <c r="U94">
        <v>0.625</v>
      </c>
      <c r="V94">
        <v>3</v>
      </c>
      <c r="W94">
        <v>4</v>
      </c>
      <c r="X94">
        <v>0.75</v>
      </c>
      <c r="Y94">
        <v>1</v>
      </c>
      <c r="Z94">
        <v>6</v>
      </c>
      <c r="AA94">
        <v>7</v>
      </c>
      <c r="AB94">
        <v>2</v>
      </c>
      <c r="AC94">
        <v>2</v>
      </c>
      <c r="AD94">
        <v>0</v>
      </c>
      <c r="AE94">
        <v>2</v>
      </c>
      <c r="AF94">
        <v>3</v>
      </c>
      <c r="AG94">
        <v>28</v>
      </c>
      <c r="AH94">
        <v>20.7</v>
      </c>
      <c r="AI94">
        <v>25</v>
      </c>
    </row>
    <row r="95" spans="1:42" ht="21" x14ac:dyDescent="0.3">
      <c r="A95" t="s">
        <v>551</v>
      </c>
      <c r="B95" s="11">
        <v>9</v>
      </c>
      <c r="C95">
        <v>31</v>
      </c>
      <c r="D95">
        <v>12</v>
      </c>
      <c r="E95" s="4">
        <v>44693</v>
      </c>
      <c r="F95" t="s">
        <v>99</v>
      </c>
      <c r="G95" t="s">
        <v>37</v>
      </c>
      <c r="H95" t="s">
        <v>49</v>
      </c>
      <c r="I95" t="s">
        <v>353</v>
      </c>
      <c r="J95" t="s">
        <v>41</v>
      </c>
      <c r="K95" s="9">
        <v>1.625</v>
      </c>
      <c r="L95">
        <v>6</v>
      </c>
      <c r="M95">
        <v>17</v>
      </c>
      <c r="N95">
        <v>0.35299999999999998</v>
      </c>
      <c r="O95">
        <v>0</v>
      </c>
      <c r="P95">
        <v>4</v>
      </c>
      <c r="Q95">
        <v>0</v>
      </c>
      <c r="R95">
        <v>6</v>
      </c>
      <c r="S95">
        <v>13</v>
      </c>
      <c r="T95">
        <v>0.46200000000000002</v>
      </c>
      <c r="U95">
        <v>0.35299999999999998</v>
      </c>
      <c r="V95">
        <v>7</v>
      </c>
      <c r="W95">
        <v>7</v>
      </c>
      <c r="X95">
        <v>1</v>
      </c>
      <c r="Y95">
        <v>2</v>
      </c>
      <c r="Z95">
        <v>6</v>
      </c>
      <c r="AA95">
        <v>8</v>
      </c>
      <c r="AB95">
        <v>3</v>
      </c>
      <c r="AC95">
        <v>1</v>
      </c>
      <c r="AD95">
        <v>1</v>
      </c>
      <c r="AE95">
        <v>8</v>
      </c>
      <c r="AF95">
        <v>4</v>
      </c>
      <c r="AG95">
        <v>19</v>
      </c>
      <c r="AH95">
        <v>6.9</v>
      </c>
      <c r="AI95">
        <v>-19</v>
      </c>
    </row>
    <row r="96" spans="1:42" ht="21" x14ac:dyDescent="0.3">
      <c r="A96" t="s">
        <v>551</v>
      </c>
      <c r="B96" s="11">
        <v>10</v>
      </c>
      <c r="C96">
        <v>32</v>
      </c>
      <c r="D96">
        <v>13</v>
      </c>
      <c r="E96" s="4">
        <v>44696</v>
      </c>
      <c r="F96" t="s">
        <v>99</v>
      </c>
      <c r="H96" t="s">
        <v>49</v>
      </c>
      <c r="I96" t="s">
        <v>354</v>
      </c>
      <c r="J96" t="s">
        <v>41</v>
      </c>
      <c r="K96" s="9">
        <v>1.5409722222222222</v>
      </c>
      <c r="L96">
        <v>3</v>
      </c>
      <c r="M96">
        <v>14</v>
      </c>
      <c r="N96">
        <v>0.214</v>
      </c>
      <c r="O96">
        <v>0</v>
      </c>
      <c r="P96">
        <v>4</v>
      </c>
      <c r="Q96">
        <v>0</v>
      </c>
      <c r="R96">
        <v>3</v>
      </c>
      <c r="S96">
        <v>10</v>
      </c>
      <c r="T96">
        <v>0.3</v>
      </c>
      <c r="U96">
        <v>0.214</v>
      </c>
      <c r="V96">
        <v>5</v>
      </c>
      <c r="W96">
        <v>6</v>
      </c>
      <c r="X96">
        <v>0.83299999999999996</v>
      </c>
      <c r="Y96">
        <v>1</v>
      </c>
      <c r="Z96">
        <v>2</v>
      </c>
      <c r="AA96">
        <v>3</v>
      </c>
      <c r="AB96">
        <v>2</v>
      </c>
      <c r="AC96">
        <v>1</v>
      </c>
      <c r="AD96">
        <v>0</v>
      </c>
      <c r="AE96">
        <v>4</v>
      </c>
      <c r="AF96">
        <v>3</v>
      </c>
      <c r="AG96">
        <v>11</v>
      </c>
      <c r="AH96">
        <v>0.5</v>
      </c>
      <c r="AI96">
        <v>-41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CD0B-A154-9C41-BCFA-6C5DF70595A0}">
  <dimension ref="A1:AI105"/>
  <sheetViews>
    <sheetView workbookViewId="0">
      <selection activeCell="H2" sqref="H2:H105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550</v>
      </c>
      <c r="B2" s="11">
        <v>1</v>
      </c>
      <c r="C2">
        <v>640</v>
      </c>
      <c r="D2">
        <v>1</v>
      </c>
      <c r="E2" s="4">
        <v>44488</v>
      </c>
      <c r="F2" t="s">
        <v>33</v>
      </c>
      <c r="G2" t="s">
        <v>37</v>
      </c>
      <c r="H2" t="s">
        <v>62</v>
      </c>
      <c r="I2" t="s">
        <v>63</v>
      </c>
      <c r="J2" t="s">
        <v>41</v>
      </c>
      <c r="K2" s="9">
        <v>1.2472222222222222</v>
      </c>
      <c r="L2">
        <v>2</v>
      </c>
      <c r="M2">
        <v>5</v>
      </c>
      <c r="N2">
        <v>0.4</v>
      </c>
      <c r="O2">
        <v>0</v>
      </c>
      <c r="P2">
        <v>0</v>
      </c>
      <c r="R2">
        <v>2</v>
      </c>
      <c r="S2">
        <v>5</v>
      </c>
      <c r="T2">
        <v>0.4</v>
      </c>
      <c r="U2">
        <v>0.4</v>
      </c>
      <c r="V2">
        <v>2</v>
      </c>
      <c r="W2">
        <v>4</v>
      </c>
      <c r="X2">
        <v>0.5</v>
      </c>
      <c r="Y2">
        <v>3</v>
      </c>
      <c r="Z2">
        <v>5</v>
      </c>
      <c r="AA2">
        <v>8</v>
      </c>
      <c r="AB2">
        <v>6</v>
      </c>
      <c r="AC2">
        <v>1</v>
      </c>
      <c r="AD2">
        <v>0</v>
      </c>
      <c r="AE2">
        <v>5</v>
      </c>
      <c r="AF2">
        <v>3</v>
      </c>
      <c r="AG2">
        <v>6</v>
      </c>
      <c r="AH2">
        <v>5.0999999999999996</v>
      </c>
      <c r="AI2">
        <v>-2</v>
      </c>
    </row>
    <row r="3" spans="1:35" ht="21" x14ac:dyDescent="0.3">
      <c r="A3" t="s">
        <v>550</v>
      </c>
      <c r="B3" s="11">
        <v>2</v>
      </c>
      <c r="C3">
        <v>641</v>
      </c>
      <c r="D3">
        <v>2</v>
      </c>
      <c r="E3" s="4">
        <v>44490</v>
      </c>
      <c r="F3" t="s">
        <v>33</v>
      </c>
      <c r="H3" t="s">
        <v>64</v>
      </c>
      <c r="I3" t="s">
        <v>65</v>
      </c>
      <c r="J3" t="s">
        <v>41</v>
      </c>
      <c r="K3" s="9">
        <v>1.4048611111111111</v>
      </c>
      <c r="L3">
        <v>4</v>
      </c>
      <c r="M3">
        <v>5</v>
      </c>
      <c r="N3">
        <v>0.8</v>
      </c>
      <c r="O3">
        <v>0</v>
      </c>
      <c r="P3">
        <v>0</v>
      </c>
      <c r="R3">
        <v>4</v>
      </c>
      <c r="S3">
        <v>5</v>
      </c>
      <c r="T3">
        <v>0.8</v>
      </c>
      <c r="U3">
        <v>0.8</v>
      </c>
      <c r="V3">
        <v>2</v>
      </c>
      <c r="W3">
        <v>9</v>
      </c>
      <c r="X3">
        <v>0.222</v>
      </c>
      <c r="Y3">
        <v>0</v>
      </c>
      <c r="Z3">
        <v>6</v>
      </c>
      <c r="AA3">
        <v>6</v>
      </c>
      <c r="AB3">
        <v>7</v>
      </c>
      <c r="AC3">
        <v>1</v>
      </c>
      <c r="AD3">
        <v>0</v>
      </c>
      <c r="AE3">
        <v>1</v>
      </c>
      <c r="AF3">
        <v>3</v>
      </c>
      <c r="AG3">
        <v>10</v>
      </c>
      <c r="AH3">
        <v>10.8</v>
      </c>
      <c r="AI3">
        <v>-7</v>
      </c>
    </row>
    <row r="4" spans="1:35" ht="21" x14ac:dyDescent="0.3">
      <c r="A4" t="s">
        <v>550</v>
      </c>
      <c r="B4" s="11">
        <v>3</v>
      </c>
      <c r="C4">
        <v>642</v>
      </c>
      <c r="D4">
        <v>3</v>
      </c>
      <c r="E4" s="4">
        <v>44493</v>
      </c>
      <c r="F4" t="s">
        <v>33</v>
      </c>
      <c r="G4" t="s">
        <v>37</v>
      </c>
      <c r="H4" t="s">
        <v>66</v>
      </c>
      <c r="I4" t="s">
        <v>67</v>
      </c>
      <c r="J4" t="s">
        <v>41</v>
      </c>
      <c r="K4" s="9">
        <v>1.4326388888888888</v>
      </c>
      <c r="L4">
        <v>6</v>
      </c>
      <c r="M4">
        <v>12</v>
      </c>
      <c r="N4">
        <v>0.5</v>
      </c>
      <c r="O4">
        <v>1</v>
      </c>
      <c r="P4">
        <v>2</v>
      </c>
      <c r="Q4">
        <v>0.5</v>
      </c>
      <c r="R4">
        <v>5</v>
      </c>
      <c r="S4">
        <v>10</v>
      </c>
      <c r="T4">
        <v>0.5</v>
      </c>
      <c r="U4">
        <v>0.54200000000000004</v>
      </c>
      <c r="V4">
        <v>1</v>
      </c>
      <c r="W4">
        <v>2</v>
      </c>
      <c r="X4">
        <v>0.5</v>
      </c>
      <c r="Y4">
        <v>2</v>
      </c>
      <c r="Z4">
        <v>4</v>
      </c>
      <c r="AA4">
        <v>6</v>
      </c>
      <c r="AB4">
        <v>6</v>
      </c>
      <c r="AC4">
        <v>0</v>
      </c>
      <c r="AD4">
        <v>0</v>
      </c>
      <c r="AE4">
        <v>1</v>
      </c>
      <c r="AF4">
        <v>1</v>
      </c>
      <c r="AG4">
        <v>14</v>
      </c>
      <c r="AH4">
        <v>13</v>
      </c>
      <c r="AI4">
        <v>10</v>
      </c>
    </row>
    <row r="5" spans="1:35" ht="21" x14ac:dyDescent="0.3">
      <c r="A5" t="s">
        <v>550</v>
      </c>
      <c r="B5" s="11">
        <v>4</v>
      </c>
      <c r="C5">
        <v>643</v>
      </c>
      <c r="D5">
        <v>4</v>
      </c>
      <c r="E5" s="4">
        <v>44495</v>
      </c>
      <c r="F5" t="s">
        <v>33</v>
      </c>
      <c r="G5" t="s">
        <v>37</v>
      </c>
      <c r="H5" t="s">
        <v>68</v>
      </c>
      <c r="I5" t="s">
        <v>69</v>
      </c>
      <c r="J5" t="s">
        <v>41</v>
      </c>
      <c r="K5" s="9">
        <v>1.3368055555555556</v>
      </c>
      <c r="L5">
        <v>3</v>
      </c>
      <c r="M5">
        <v>4</v>
      </c>
      <c r="N5">
        <v>0.75</v>
      </c>
      <c r="O5">
        <v>1</v>
      </c>
      <c r="P5">
        <v>1</v>
      </c>
      <c r="Q5">
        <v>1</v>
      </c>
      <c r="R5">
        <v>2</v>
      </c>
      <c r="S5">
        <v>3</v>
      </c>
      <c r="T5">
        <v>0.66700000000000004</v>
      </c>
      <c r="U5">
        <v>0.875</v>
      </c>
      <c r="V5">
        <v>1</v>
      </c>
      <c r="W5">
        <v>2</v>
      </c>
      <c r="X5">
        <v>0.5</v>
      </c>
      <c r="Y5">
        <v>1</v>
      </c>
      <c r="Z5">
        <v>8</v>
      </c>
      <c r="AA5">
        <v>9</v>
      </c>
      <c r="AB5">
        <v>8</v>
      </c>
      <c r="AC5">
        <v>3</v>
      </c>
      <c r="AD5">
        <v>1</v>
      </c>
      <c r="AE5">
        <v>4</v>
      </c>
      <c r="AF5">
        <v>5</v>
      </c>
      <c r="AG5">
        <v>8</v>
      </c>
      <c r="AH5">
        <v>12.4</v>
      </c>
      <c r="AI5">
        <v>0</v>
      </c>
    </row>
    <row r="6" spans="1:35" ht="21" x14ac:dyDescent="0.3">
      <c r="A6" t="s">
        <v>550</v>
      </c>
      <c r="B6" s="11">
        <v>5</v>
      </c>
      <c r="C6">
        <v>644</v>
      </c>
      <c r="D6">
        <v>5</v>
      </c>
      <c r="E6" s="4">
        <v>44497</v>
      </c>
      <c r="F6" t="s">
        <v>33</v>
      </c>
      <c r="H6" t="s">
        <v>42</v>
      </c>
      <c r="I6" t="s">
        <v>70</v>
      </c>
      <c r="J6" t="s">
        <v>41</v>
      </c>
      <c r="K6" s="9">
        <v>1.5673611111111112</v>
      </c>
      <c r="L6">
        <v>2</v>
      </c>
      <c r="M6">
        <v>5</v>
      </c>
      <c r="N6">
        <v>0.4</v>
      </c>
      <c r="O6">
        <v>0</v>
      </c>
      <c r="P6">
        <v>0</v>
      </c>
      <c r="R6">
        <v>2</v>
      </c>
      <c r="S6">
        <v>5</v>
      </c>
      <c r="T6">
        <v>0.4</v>
      </c>
      <c r="U6">
        <v>0.4</v>
      </c>
      <c r="V6">
        <v>0</v>
      </c>
      <c r="W6">
        <v>0</v>
      </c>
      <c r="Y6">
        <v>1</v>
      </c>
      <c r="Z6">
        <v>11</v>
      </c>
      <c r="AA6">
        <v>12</v>
      </c>
      <c r="AB6">
        <v>7</v>
      </c>
      <c r="AC6">
        <v>3</v>
      </c>
      <c r="AD6">
        <v>5</v>
      </c>
      <c r="AE6">
        <v>5</v>
      </c>
      <c r="AF6">
        <v>2</v>
      </c>
      <c r="AG6">
        <v>4</v>
      </c>
      <c r="AH6">
        <v>10.9</v>
      </c>
      <c r="AI6">
        <v>3</v>
      </c>
    </row>
    <row r="7" spans="1:35" ht="21" x14ac:dyDescent="0.3">
      <c r="A7" t="s">
        <v>550</v>
      </c>
      <c r="B7" s="11">
        <v>6</v>
      </c>
      <c r="C7">
        <v>645</v>
      </c>
      <c r="D7">
        <v>6</v>
      </c>
      <c r="E7" s="4">
        <v>44499</v>
      </c>
      <c r="F7" t="s">
        <v>33</v>
      </c>
      <c r="H7" t="s">
        <v>68</v>
      </c>
      <c r="I7" t="s">
        <v>71</v>
      </c>
      <c r="J7" t="s">
        <v>41</v>
      </c>
      <c r="K7" s="9">
        <v>1.0625</v>
      </c>
      <c r="L7">
        <v>6</v>
      </c>
      <c r="M7">
        <v>8</v>
      </c>
      <c r="N7">
        <v>0.75</v>
      </c>
      <c r="O7">
        <v>1</v>
      </c>
      <c r="P7">
        <v>2</v>
      </c>
      <c r="Q7">
        <v>0.5</v>
      </c>
      <c r="R7">
        <v>5</v>
      </c>
      <c r="S7">
        <v>6</v>
      </c>
      <c r="T7">
        <v>0.83299999999999996</v>
      </c>
      <c r="U7">
        <v>0.81299999999999994</v>
      </c>
      <c r="V7">
        <v>1</v>
      </c>
      <c r="W7">
        <v>2</v>
      </c>
      <c r="X7">
        <v>0.5</v>
      </c>
      <c r="Y7">
        <v>0</v>
      </c>
      <c r="Z7">
        <v>11</v>
      </c>
      <c r="AA7">
        <v>11</v>
      </c>
      <c r="AB7">
        <v>8</v>
      </c>
      <c r="AC7">
        <v>0</v>
      </c>
      <c r="AD7">
        <v>1</v>
      </c>
      <c r="AE7">
        <v>2</v>
      </c>
      <c r="AF7">
        <v>2</v>
      </c>
      <c r="AG7">
        <v>14</v>
      </c>
      <c r="AH7">
        <v>17.2</v>
      </c>
      <c r="AI7">
        <v>16</v>
      </c>
    </row>
    <row r="8" spans="1:35" ht="21" x14ac:dyDescent="0.3">
      <c r="A8" t="s">
        <v>550</v>
      </c>
      <c r="B8" s="11">
        <v>7</v>
      </c>
      <c r="C8">
        <v>646</v>
      </c>
      <c r="D8">
        <v>7</v>
      </c>
      <c r="E8" s="4">
        <v>44503</v>
      </c>
      <c r="F8" t="s">
        <v>33</v>
      </c>
      <c r="H8" t="s">
        <v>72</v>
      </c>
      <c r="I8" t="s">
        <v>73</v>
      </c>
      <c r="J8" t="s">
        <v>41</v>
      </c>
      <c r="K8" s="9">
        <v>1.45</v>
      </c>
      <c r="L8">
        <v>2</v>
      </c>
      <c r="M8">
        <v>5</v>
      </c>
      <c r="N8">
        <v>0.4</v>
      </c>
      <c r="O8">
        <v>0</v>
      </c>
      <c r="P8">
        <v>0</v>
      </c>
      <c r="R8">
        <v>2</v>
      </c>
      <c r="S8">
        <v>5</v>
      </c>
      <c r="T8">
        <v>0.4</v>
      </c>
      <c r="U8">
        <v>0.4</v>
      </c>
      <c r="V8">
        <v>1</v>
      </c>
      <c r="W8">
        <v>3</v>
      </c>
      <c r="X8">
        <v>0.33300000000000002</v>
      </c>
      <c r="Y8">
        <v>1</v>
      </c>
      <c r="Z8">
        <v>9</v>
      </c>
      <c r="AA8">
        <v>10</v>
      </c>
      <c r="AB8">
        <v>8</v>
      </c>
      <c r="AC8">
        <v>1</v>
      </c>
      <c r="AD8">
        <v>0</v>
      </c>
      <c r="AE8">
        <v>3</v>
      </c>
      <c r="AF8">
        <v>2</v>
      </c>
      <c r="AG8">
        <v>5</v>
      </c>
      <c r="AH8">
        <v>7.7</v>
      </c>
      <c r="AI8">
        <v>26</v>
      </c>
    </row>
    <row r="9" spans="1:35" ht="21" x14ac:dyDescent="0.3">
      <c r="A9" t="s">
        <v>550</v>
      </c>
      <c r="B9" s="11">
        <v>8</v>
      </c>
      <c r="C9">
        <v>647</v>
      </c>
      <c r="D9">
        <v>8</v>
      </c>
      <c r="E9" s="4">
        <v>44505</v>
      </c>
      <c r="F9" t="s">
        <v>33</v>
      </c>
      <c r="H9" t="s">
        <v>74</v>
      </c>
      <c r="I9" t="s">
        <v>75</v>
      </c>
      <c r="J9" t="s">
        <v>41</v>
      </c>
      <c r="K9" s="9">
        <v>1.0208333333333333</v>
      </c>
      <c r="L9">
        <v>3</v>
      </c>
      <c r="M9">
        <v>5</v>
      </c>
      <c r="N9">
        <v>0.6</v>
      </c>
      <c r="O9">
        <v>0</v>
      </c>
      <c r="P9">
        <v>2</v>
      </c>
      <c r="Q9">
        <v>0</v>
      </c>
      <c r="R9">
        <v>3</v>
      </c>
      <c r="S9">
        <v>3</v>
      </c>
      <c r="T9">
        <v>1</v>
      </c>
      <c r="U9">
        <v>0.6</v>
      </c>
      <c r="V9">
        <v>2</v>
      </c>
      <c r="W9">
        <v>2</v>
      </c>
      <c r="X9">
        <v>1</v>
      </c>
      <c r="Y9">
        <v>4</v>
      </c>
      <c r="Z9">
        <v>4</v>
      </c>
      <c r="AA9">
        <v>8</v>
      </c>
      <c r="AB9">
        <v>5</v>
      </c>
      <c r="AC9">
        <v>1</v>
      </c>
      <c r="AD9">
        <v>1</v>
      </c>
      <c r="AE9">
        <v>0</v>
      </c>
      <c r="AF9">
        <v>4</v>
      </c>
      <c r="AG9">
        <v>8</v>
      </c>
      <c r="AH9">
        <v>13.3</v>
      </c>
      <c r="AI9">
        <v>10</v>
      </c>
    </row>
    <row r="10" spans="1:35" ht="21" x14ac:dyDescent="0.3">
      <c r="A10" t="s">
        <v>550</v>
      </c>
      <c r="B10" s="11">
        <v>9</v>
      </c>
      <c r="C10">
        <v>648</v>
      </c>
      <c r="D10">
        <v>9</v>
      </c>
      <c r="E10" s="4">
        <v>44507</v>
      </c>
      <c r="F10" t="s">
        <v>33</v>
      </c>
      <c r="H10" t="s">
        <v>76</v>
      </c>
      <c r="I10" t="s">
        <v>77</v>
      </c>
      <c r="J10" t="s">
        <v>41</v>
      </c>
      <c r="K10" s="7">
        <v>0.93194444444444446</v>
      </c>
      <c r="L10">
        <v>3</v>
      </c>
      <c r="M10">
        <v>5</v>
      </c>
      <c r="N10">
        <v>0.6</v>
      </c>
      <c r="O10">
        <v>0</v>
      </c>
      <c r="P10">
        <v>1</v>
      </c>
      <c r="Q10">
        <v>0</v>
      </c>
      <c r="R10">
        <v>3</v>
      </c>
      <c r="S10">
        <v>4</v>
      </c>
      <c r="T10">
        <v>0.75</v>
      </c>
      <c r="U10">
        <v>0.6</v>
      </c>
      <c r="V10">
        <v>0</v>
      </c>
      <c r="W10">
        <v>0</v>
      </c>
      <c r="Y10">
        <v>1</v>
      </c>
      <c r="Z10">
        <v>7</v>
      </c>
      <c r="AA10">
        <v>8</v>
      </c>
      <c r="AB10">
        <v>9</v>
      </c>
      <c r="AC10">
        <v>0</v>
      </c>
      <c r="AD10">
        <v>1</v>
      </c>
      <c r="AE10">
        <v>6</v>
      </c>
      <c r="AF10">
        <v>4</v>
      </c>
      <c r="AG10">
        <v>6</v>
      </c>
      <c r="AH10">
        <v>5.9</v>
      </c>
      <c r="AI10">
        <v>8</v>
      </c>
    </row>
    <row r="11" spans="1:35" ht="21" x14ac:dyDescent="0.3">
      <c r="A11" t="s">
        <v>550</v>
      </c>
      <c r="B11" s="11">
        <v>10</v>
      </c>
      <c r="C11">
        <v>649</v>
      </c>
      <c r="D11">
        <v>10</v>
      </c>
      <c r="E11" s="4">
        <v>44508</v>
      </c>
      <c r="F11" t="s">
        <v>33</v>
      </c>
      <c r="H11" t="s">
        <v>78</v>
      </c>
      <c r="I11" t="s">
        <v>79</v>
      </c>
      <c r="J11" t="s">
        <v>41</v>
      </c>
      <c r="K11" s="9">
        <v>1.2437499999999999</v>
      </c>
      <c r="L11">
        <v>2</v>
      </c>
      <c r="M11">
        <v>8</v>
      </c>
      <c r="N11">
        <v>0.25</v>
      </c>
      <c r="O11">
        <v>0</v>
      </c>
      <c r="P11">
        <v>1</v>
      </c>
      <c r="Q11">
        <v>0</v>
      </c>
      <c r="R11">
        <v>2</v>
      </c>
      <c r="S11">
        <v>7</v>
      </c>
      <c r="T11">
        <v>0.28599999999999998</v>
      </c>
      <c r="U11">
        <v>0.25</v>
      </c>
      <c r="V11">
        <v>0</v>
      </c>
      <c r="W11">
        <v>0</v>
      </c>
      <c r="Y11">
        <v>4</v>
      </c>
      <c r="Z11">
        <v>3</v>
      </c>
      <c r="AA11">
        <v>7</v>
      </c>
      <c r="AB11">
        <v>9</v>
      </c>
      <c r="AC11">
        <v>2</v>
      </c>
      <c r="AD11">
        <v>0</v>
      </c>
      <c r="AE11">
        <v>3</v>
      </c>
      <c r="AF11">
        <v>3</v>
      </c>
      <c r="AG11">
        <v>4</v>
      </c>
      <c r="AH11">
        <v>7</v>
      </c>
      <c r="AI11">
        <v>13</v>
      </c>
    </row>
    <row r="12" spans="1:35" ht="21" x14ac:dyDescent="0.3">
      <c r="A12" t="s">
        <v>550</v>
      </c>
      <c r="B12" s="11">
        <v>11</v>
      </c>
      <c r="C12">
        <v>650</v>
      </c>
      <c r="D12">
        <v>11</v>
      </c>
      <c r="E12" s="4">
        <v>44510</v>
      </c>
      <c r="F12" t="s">
        <v>33</v>
      </c>
      <c r="H12" t="s">
        <v>80</v>
      </c>
      <c r="I12" t="s">
        <v>81</v>
      </c>
      <c r="J12" t="s">
        <v>41</v>
      </c>
      <c r="K12" s="7">
        <v>0.88472222222222219</v>
      </c>
      <c r="L12">
        <v>0</v>
      </c>
      <c r="M12">
        <v>3</v>
      </c>
      <c r="N12">
        <v>0</v>
      </c>
      <c r="O12">
        <v>0</v>
      </c>
      <c r="P12">
        <v>1</v>
      </c>
      <c r="Q12">
        <v>0</v>
      </c>
      <c r="R12">
        <v>0</v>
      </c>
      <c r="S12">
        <v>2</v>
      </c>
      <c r="T12">
        <v>0</v>
      </c>
      <c r="U12">
        <v>0</v>
      </c>
      <c r="V12">
        <v>7</v>
      </c>
      <c r="W12">
        <v>8</v>
      </c>
      <c r="X12">
        <v>0.875</v>
      </c>
      <c r="Y12">
        <v>2</v>
      </c>
      <c r="Z12">
        <v>3</v>
      </c>
      <c r="AA12">
        <v>5</v>
      </c>
      <c r="AB12">
        <v>6</v>
      </c>
      <c r="AC12">
        <v>2</v>
      </c>
      <c r="AD12">
        <v>1</v>
      </c>
      <c r="AE12">
        <v>3</v>
      </c>
      <c r="AF12">
        <v>0</v>
      </c>
      <c r="AG12">
        <v>7</v>
      </c>
      <c r="AH12">
        <v>10.7</v>
      </c>
      <c r="AI12">
        <v>1</v>
      </c>
    </row>
    <row r="13" spans="1:35" ht="21" x14ac:dyDescent="0.3">
      <c r="A13" t="s">
        <v>550</v>
      </c>
      <c r="B13" s="11">
        <v>12</v>
      </c>
      <c r="C13">
        <v>651</v>
      </c>
      <c r="D13">
        <v>12</v>
      </c>
      <c r="E13" s="4">
        <v>44512</v>
      </c>
      <c r="F13" t="s">
        <v>33</v>
      </c>
      <c r="H13" t="s">
        <v>82</v>
      </c>
      <c r="I13" t="s">
        <v>83</v>
      </c>
      <c r="J13" t="s">
        <v>41</v>
      </c>
      <c r="K13" s="9">
        <v>1.1673611111111111</v>
      </c>
      <c r="L13">
        <v>4</v>
      </c>
      <c r="M13">
        <v>6</v>
      </c>
      <c r="N13">
        <v>0.66700000000000004</v>
      </c>
      <c r="O13">
        <v>1</v>
      </c>
      <c r="P13">
        <v>1</v>
      </c>
      <c r="Q13">
        <v>1</v>
      </c>
      <c r="R13">
        <v>3</v>
      </c>
      <c r="S13">
        <v>5</v>
      </c>
      <c r="T13">
        <v>0.6</v>
      </c>
      <c r="U13">
        <v>0.75</v>
      </c>
      <c r="V13">
        <v>0</v>
      </c>
      <c r="W13">
        <v>0</v>
      </c>
      <c r="Y13">
        <v>1</v>
      </c>
      <c r="Z13">
        <v>8</v>
      </c>
      <c r="AA13">
        <v>9</v>
      </c>
      <c r="AB13">
        <v>7</v>
      </c>
      <c r="AC13">
        <v>1</v>
      </c>
      <c r="AD13">
        <v>0</v>
      </c>
      <c r="AE13">
        <v>2</v>
      </c>
      <c r="AF13">
        <v>3</v>
      </c>
      <c r="AG13">
        <v>9</v>
      </c>
      <c r="AH13">
        <v>12.2</v>
      </c>
      <c r="AI13">
        <v>10</v>
      </c>
    </row>
    <row r="14" spans="1:35" ht="21" x14ac:dyDescent="0.3">
      <c r="A14" t="s">
        <v>550</v>
      </c>
      <c r="B14" s="11">
        <v>13</v>
      </c>
      <c r="C14">
        <v>652</v>
      </c>
      <c r="D14">
        <v>13</v>
      </c>
      <c r="E14" s="4">
        <v>44514</v>
      </c>
      <c r="F14" t="s">
        <v>33</v>
      </c>
      <c r="G14" t="s">
        <v>37</v>
      </c>
      <c r="H14" t="s">
        <v>72</v>
      </c>
      <c r="I14" t="s">
        <v>84</v>
      </c>
      <c r="J14" t="s">
        <v>41</v>
      </c>
      <c r="K14" s="9">
        <v>1.3520833333333333</v>
      </c>
      <c r="L14">
        <v>5</v>
      </c>
      <c r="M14">
        <v>7</v>
      </c>
      <c r="N14">
        <v>0.71399999999999997</v>
      </c>
      <c r="O14">
        <v>1</v>
      </c>
      <c r="P14">
        <v>2</v>
      </c>
      <c r="Q14">
        <v>0.5</v>
      </c>
      <c r="R14">
        <v>4</v>
      </c>
      <c r="S14">
        <v>5</v>
      </c>
      <c r="T14">
        <v>0.8</v>
      </c>
      <c r="U14">
        <v>0.78600000000000003</v>
      </c>
      <c r="V14">
        <v>0</v>
      </c>
      <c r="W14">
        <v>0</v>
      </c>
      <c r="Y14">
        <v>0</v>
      </c>
      <c r="Z14">
        <v>6</v>
      </c>
      <c r="AA14">
        <v>6</v>
      </c>
      <c r="AB14">
        <v>6</v>
      </c>
      <c r="AC14">
        <v>0</v>
      </c>
      <c r="AD14">
        <v>2</v>
      </c>
      <c r="AE14">
        <v>3</v>
      </c>
      <c r="AF14">
        <v>3</v>
      </c>
      <c r="AG14">
        <v>11</v>
      </c>
      <c r="AH14">
        <v>11.3</v>
      </c>
      <c r="AI14">
        <v>-8</v>
      </c>
    </row>
    <row r="15" spans="1:35" ht="21" x14ac:dyDescent="0.3">
      <c r="A15" t="s">
        <v>550</v>
      </c>
      <c r="B15" s="11">
        <v>14</v>
      </c>
      <c r="C15">
        <v>653</v>
      </c>
      <c r="D15">
        <v>14</v>
      </c>
      <c r="E15" s="4">
        <v>44516</v>
      </c>
      <c r="F15" t="s">
        <v>33</v>
      </c>
      <c r="G15" t="s">
        <v>37</v>
      </c>
      <c r="H15" t="s">
        <v>85</v>
      </c>
      <c r="I15" t="s">
        <v>86</v>
      </c>
      <c r="J15" t="s">
        <v>41</v>
      </c>
      <c r="K15" s="9">
        <v>1.1965277777777779</v>
      </c>
      <c r="L15">
        <v>5</v>
      </c>
      <c r="M15">
        <v>6</v>
      </c>
      <c r="N15">
        <v>0.83299999999999996</v>
      </c>
      <c r="O15">
        <v>1</v>
      </c>
      <c r="P15">
        <v>2</v>
      </c>
      <c r="Q15">
        <v>0.5</v>
      </c>
      <c r="R15">
        <v>4</v>
      </c>
      <c r="S15">
        <v>4</v>
      </c>
      <c r="T15">
        <v>1</v>
      </c>
      <c r="U15">
        <v>0.91700000000000004</v>
      </c>
      <c r="V15">
        <v>0</v>
      </c>
      <c r="W15">
        <v>0</v>
      </c>
      <c r="Y15">
        <v>0</v>
      </c>
      <c r="Z15">
        <v>6</v>
      </c>
      <c r="AA15">
        <v>6</v>
      </c>
      <c r="AB15">
        <v>8</v>
      </c>
      <c r="AC15">
        <v>1</v>
      </c>
      <c r="AD15">
        <v>0</v>
      </c>
      <c r="AE15">
        <v>3</v>
      </c>
      <c r="AF15">
        <v>3</v>
      </c>
      <c r="AG15">
        <v>11</v>
      </c>
      <c r="AH15">
        <v>13</v>
      </c>
      <c r="AI15">
        <v>17</v>
      </c>
    </row>
    <row r="16" spans="1:35" ht="21" x14ac:dyDescent="0.3">
      <c r="A16" t="s">
        <v>550</v>
      </c>
      <c r="B16" s="11">
        <v>15</v>
      </c>
      <c r="C16">
        <v>654</v>
      </c>
      <c r="D16">
        <v>15</v>
      </c>
      <c r="E16" s="4">
        <v>44518</v>
      </c>
      <c r="F16" t="s">
        <v>33</v>
      </c>
      <c r="G16" t="s">
        <v>37</v>
      </c>
      <c r="H16" t="s">
        <v>87</v>
      </c>
      <c r="I16" t="s">
        <v>88</v>
      </c>
      <c r="J16" t="s">
        <v>41</v>
      </c>
      <c r="K16" s="9">
        <v>1.242361111111111</v>
      </c>
      <c r="L16">
        <v>2</v>
      </c>
      <c r="M16">
        <v>3</v>
      </c>
      <c r="N16">
        <v>0.66700000000000004</v>
      </c>
      <c r="O16">
        <v>0</v>
      </c>
      <c r="P16">
        <v>1</v>
      </c>
      <c r="Q16">
        <v>0</v>
      </c>
      <c r="R16">
        <v>2</v>
      </c>
      <c r="S16">
        <v>2</v>
      </c>
      <c r="T16">
        <v>1</v>
      </c>
      <c r="U16">
        <v>0.66700000000000004</v>
      </c>
      <c r="V16">
        <v>0</v>
      </c>
      <c r="W16">
        <v>0</v>
      </c>
      <c r="Y16">
        <v>1</v>
      </c>
      <c r="Z16">
        <v>1</v>
      </c>
      <c r="AA16">
        <v>2</v>
      </c>
      <c r="AB16">
        <v>14</v>
      </c>
      <c r="AC16">
        <v>1</v>
      </c>
      <c r="AD16">
        <v>1</v>
      </c>
      <c r="AE16">
        <v>2</v>
      </c>
      <c r="AF16">
        <v>1</v>
      </c>
      <c r="AG16">
        <v>4</v>
      </c>
      <c r="AH16">
        <v>12.8</v>
      </c>
      <c r="AI16">
        <v>0</v>
      </c>
    </row>
    <row r="17" spans="1:35" ht="21" x14ac:dyDescent="0.3">
      <c r="A17" t="s">
        <v>550</v>
      </c>
      <c r="B17" s="11">
        <v>15</v>
      </c>
      <c r="D17">
        <v>16</v>
      </c>
      <c r="E17" s="4">
        <v>44519</v>
      </c>
      <c r="F17" t="s">
        <v>33</v>
      </c>
      <c r="G17" t="s">
        <v>37</v>
      </c>
      <c r="H17" t="s">
        <v>89</v>
      </c>
      <c r="I17" t="s">
        <v>90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</row>
    <row r="18" spans="1:35" ht="21" x14ac:dyDescent="0.3">
      <c r="A18" t="s">
        <v>550</v>
      </c>
      <c r="B18" s="11">
        <v>16</v>
      </c>
      <c r="C18">
        <v>655</v>
      </c>
      <c r="D18">
        <v>17</v>
      </c>
      <c r="E18" s="4">
        <v>44521</v>
      </c>
      <c r="F18" t="s">
        <v>33</v>
      </c>
      <c r="H18" t="s">
        <v>92</v>
      </c>
      <c r="I18" t="s">
        <v>93</v>
      </c>
      <c r="J18" t="s">
        <v>41</v>
      </c>
      <c r="K18" s="9">
        <v>1.3326388888888889</v>
      </c>
      <c r="L18">
        <v>1</v>
      </c>
      <c r="M18">
        <v>3</v>
      </c>
      <c r="N18">
        <v>0.33300000000000002</v>
      </c>
      <c r="O18">
        <v>0</v>
      </c>
      <c r="P18">
        <v>1</v>
      </c>
      <c r="Q18">
        <v>0</v>
      </c>
      <c r="R18">
        <v>1</v>
      </c>
      <c r="S18">
        <v>2</v>
      </c>
      <c r="T18">
        <v>0.5</v>
      </c>
      <c r="U18">
        <v>0.33300000000000002</v>
      </c>
      <c r="V18">
        <v>2</v>
      </c>
      <c r="W18">
        <v>2</v>
      </c>
      <c r="X18">
        <v>1</v>
      </c>
      <c r="Y18">
        <v>0</v>
      </c>
      <c r="Z18">
        <v>14</v>
      </c>
      <c r="AA18">
        <v>14</v>
      </c>
      <c r="AB18">
        <v>8</v>
      </c>
      <c r="AC18">
        <v>0</v>
      </c>
      <c r="AD18">
        <v>1</v>
      </c>
      <c r="AE18">
        <v>1</v>
      </c>
      <c r="AF18">
        <v>1</v>
      </c>
      <c r="AG18">
        <v>4</v>
      </c>
      <c r="AH18">
        <v>11.4</v>
      </c>
      <c r="AI18">
        <v>24</v>
      </c>
    </row>
    <row r="19" spans="1:35" ht="21" x14ac:dyDescent="0.3">
      <c r="A19" t="s">
        <v>550</v>
      </c>
      <c r="B19" s="11">
        <v>17</v>
      </c>
      <c r="C19">
        <v>656</v>
      </c>
      <c r="D19">
        <v>18</v>
      </c>
      <c r="E19" s="4">
        <v>44524</v>
      </c>
      <c r="F19" t="s">
        <v>33</v>
      </c>
      <c r="H19" t="s">
        <v>94</v>
      </c>
      <c r="I19" t="s">
        <v>95</v>
      </c>
      <c r="J19" t="s">
        <v>41</v>
      </c>
      <c r="K19" s="9">
        <v>1.1826388888888888</v>
      </c>
      <c r="L19">
        <v>3</v>
      </c>
      <c r="M19">
        <v>5</v>
      </c>
      <c r="N19">
        <v>0.6</v>
      </c>
      <c r="O19">
        <v>0</v>
      </c>
      <c r="P19">
        <v>1</v>
      </c>
      <c r="Q19">
        <v>0</v>
      </c>
      <c r="R19">
        <v>3</v>
      </c>
      <c r="S19">
        <v>4</v>
      </c>
      <c r="T19">
        <v>0.75</v>
      </c>
      <c r="U19">
        <v>0.6</v>
      </c>
      <c r="V19">
        <v>4</v>
      </c>
      <c r="W19">
        <v>4</v>
      </c>
      <c r="X19">
        <v>1</v>
      </c>
      <c r="Y19">
        <v>0</v>
      </c>
      <c r="Z19">
        <v>9</v>
      </c>
      <c r="AA19">
        <v>9</v>
      </c>
      <c r="AB19">
        <v>7</v>
      </c>
      <c r="AC19">
        <v>1</v>
      </c>
      <c r="AD19">
        <v>0</v>
      </c>
      <c r="AE19">
        <v>4</v>
      </c>
      <c r="AF19">
        <v>4</v>
      </c>
      <c r="AG19">
        <v>10</v>
      </c>
      <c r="AH19">
        <v>10.7</v>
      </c>
      <c r="AI19">
        <v>11</v>
      </c>
    </row>
    <row r="20" spans="1:35" ht="21" x14ac:dyDescent="0.3">
      <c r="A20" t="s">
        <v>550</v>
      </c>
      <c r="B20" s="11">
        <v>18</v>
      </c>
      <c r="C20">
        <v>657</v>
      </c>
      <c r="D20">
        <v>19</v>
      </c>
      <c r="E20" s="4">
        <v>44526</v>
      </c>
      <c r="F20" t="s">
        <v>33</v>
      </c>
      <c r="H20" t="s">
        <v>96</v>
      </c>
      <c r="I20" t="s">
        <v>97</v>
      </c>
      <c r="J20" t="s">
        <v>41</v>
      </c>
      <c r="K20" s="9">
        <v>1.4291666666666667</v>
      </c>
      <c r="L20">
        <v>5</v>
      </c>
      <c r="M20">
        <v>8</v>
      </c>
      <c r="N20">
        <v>0.625</v>
      </c>
      <c r="O20">
        <v>0</v>
      </c>
      <c r="P20">
        <v>1</v>
      </c>
      <c r="Q20">
        <v>0</v>
      </c>
      <c r="R20">
        <v>5</v>
      </c>
      <c r="S20">
        <v>7</v>
      </c>
      <c r="T20">
        <v>0.71399999999999997</v>
      </c>
      <c r="U20">
        <v>0.625</v>
      </c>
      <c r="V20">
        <v>2</v>
      </c>
      <c r="W20">
        <v>3</v>
      </c>
      <c r="X20">
        <v>0.66700000000000004</v>
      </c>
      <c r="Y20">
        <v>1</v>
      </c>
      <c r="Z20">
        <v>7</v>
      </c>
      <c r="AA20">
        <v>8</v>
      </c>
      <c r="AB20">
        <v>12</v>
      </c>
      <c r="AC20">
        <v>2</v>
      </c>
      <c r="AD20">
        <v>3</v>
      </c>
      <c r="AE20">
        <v>6</v>
      </c>
      <c r="AF20">
        <v>3</v>
      </c>
      <c r="AG20">
        <v>12</v>
      </c>
      <c r="AH20">
        <v>16.100000000000001</v>
      </c>
      <c r="AI20">
        <v>17</v>
      </c>
    </row>
    <row r="21" spans="1:35" ht="21" x14ac:dyDescent="0.3">
      <c r="A21" t="s">
        <v>550</v>
      </c>
      <c r="B21" s="11">
        <v>19</v>
      </c>
      <c r="C21">
        <v>658</v>
      </c>
      <c r="D21">
        <v>20</v>
      </c>
      <c r="E21" s="4">
        <v>44528</v>
      </c>
      <c r="F21" t="s">
        <v>33</v>
      </c>
      <c r="G21" t="s">
        <v>37</v>
      </c>
      <c r="H21" t="s">
        <v>64</v>
      </c>
      <c r="I21" t="s">
        <v>98</v>
      </c>
      <c r="J21" t="s">
        <v>41</v>
      </c>
      <c r="K21" s="9">
        <v>1.2527777777777778</v>
      </c>
      <c r="L21">
        <v>3</v>
      </c>
      <c r="M21">
        <v>7</v>
      </c>
      <c r="N21">
        <v>0.42899999999999999</v>
      </c>
      <c r="O21">
        <v>0</v>
      </c>
      <c r="P21">
        <v>0</v>
      </c>
      <c r="R21">
        <v>3</v>
      </c>
      <c r="S21">
        <v>7</v>
      </c>
      <c r="T21">
        <v>0.42899999999999999</v>
      </c>
      <c r="U21">
        <v>0.42899999999999999</v>
      </c>
      <c r="V21">
        <v>2</v>
      </c>
      <c r="W21">
        <v>4</v>
      </c>
      <c r="X21">
        <v>0.5</v>
      </c>
      <c r="Y21">
        <v>0</v>
      </c>
      <c r="Z21">
        <v>4</v>
      </c>
      <c r="AA21">
        <v>4</v>
      </c>
      <c r="AB21">
        <v>7</v>
      </c>
      <c r="AC21">
        <v>2</v>
      </c>
      <c r="AD21">
        <v>0</v>
      </c>
      <c r="AE21">
        <v>4</v>
      </c>
      <c r="AF21">
        <v>4</v>
      </c>
      <c r="AG21">
        <v>8</v>
      </c>
      <c r="AH21">
        <v>6</v>
      </c>
      <c r="AI21">
        <v>-3</v>
      </c>
    </row>
    <row r="22" spans="1:35" ht="21" x14ac:dyDescent="0.3">
      <c r="A22" t="s">
        <v>550</v>
      </c>
      <c r="B22" s="11">
        <v>20</v>
      </c>
      <c r="C22">
        <v>659</v>
      </c>
      <c r="D22">
        <v>21</v>
      </c>
      <c r="E22" s="4">
        <v>44530</v>
      </c>
      <c r="F22" t="s">
        <v>33</v>
      </c>
      <c r="G22" t="s">
        <v>37</v>
      </c>
      <c r="H22" t="s">
        <v>99</v>
      </c>
      <c r="I22" t="s">
        <v>100</v>
      </c>
      <c r="J22" t="s">
        <v>41</v>
      </c>
      <c r="K22" s="9">
        <v>1.3506944444444444</v>
      </c>
      <c r="L22">
        <v>4</v>
      </c>
      <c r="M22">
        <v>8</v>
      </c>
      <c r="N22">
        <v>0.5</v>
      </c>
      <c r="O22">
        <v>0</v>
      </c>
      <c r="P22">
        <v>0</v>
      </c>
      <c r="R22">
        <v>4</v>
      </c>
      <c r="S22">
        <v>8</v>
      </c>
      <c r="T22">
        <v>0.5</v>
      </c>
      <c r="U22">
        <v>0.5</v>
      </c>
      <c r="V22">
        <v>0</v>
      </c>
      <c r="W22">
        <v>0</v>
      </c>
      <c r="Y22">
        <v>3</v>
      </c>
      <c r="Z22">
        <v>8</v>
      </c>
      <c r="AA22">
        <v>11</v>
      </c>
      <c r="AB22">
        <v>5</v>
      </c>
      <c r="AC22">
        <v>0</v>
      </c>
      <c r="AD22">
        <v>1</v>
      </c>
      <c r="AE22">
        <v>5</v>
      </c>
      <c r="AF22">
        <v>3</v>
      </c>
      <c r="AG22">
        <v>8</v>
      </c>
      <c r="AH22">
        <v>6.5</v>
      </c>
      <c r="AI22">
        <v>-7</v>
      </c>
    </row>
    <row r="23" spans="1:35" ht="21" x14ac:dyDescent="0.3">
      <c r="A23" t="s">
        <v>550</v>
      </c>
      <c r="B23" s="11">
        <v>21</v>
      </c>
      <c r="C23">
        <v>660</v>
      </c>
      <c r="D23">
        <v>22</v>
      </c>
      <c r="E23" s="4">
        <v>44533</v>
      </c>
      <c r="F23" t="s">
        <v>33</v>
      </c>
      <c r="H23" t="s">
        <v>99</v>
      </c>
      <c r="I23" t="s">
        <v>101</v>
      </c>
      <c r="J23" t="s">
        <v>41</v>
      </c>
      <c r="K23" s="9">
        <v>1.26875</v>
      </c>
      <c r="L23">
        <v>4</v>
      </c>
      <c r="M23">
        <v>6</v>
      </c>
      <c r="N23">
        <v>0.66700000000000004</v>
      </c>
      <c r="O23">
        <v>1</v>
      </c>
      <c r="P23">
        <v>1</v>
      </c>
      <c r="Q23">
        <v>1</v>
      </c>
      <c r="R23">
        <v>3</v>
      </c>
      <c r="S23">
        <v>5</v>
      </c>
      <c r="T23">
        <v>0.6</v>
      </c>
      <c r="U23">
        <v>0.75</v>
      </c>
      <c r="V23">
        <v>0</v>
      </c>
      <c r="W23">
        <v>0</v>
      </c>
      <c r="Y23">
        <v>0</v>
      </c>
      <c r="Z23">
        <v>9</v>
      </c>
      <c r="AA23">
        <v>9</v>
      </c>
      <c r="AB23">
        <v>9</v>
      </c>
      <c r="AC23">
        <v>6</v>
      </c>
      <c r="AD23">
        <v>3</v>
      </c>
      <c r="AE23">
        <v>2</v>
      </c>
      <c r="AF23">
        <v>2</v>
      </c>
      <c r="AG23">
        <v>9</v>
      </c>
      <c r="AH23">
        <v>20.7</v>
      </c>
      <c r="AI23">
        <v>25</v>
      </c>
    </row>
    <row r="24" spans="1:35" ht="21" x14ac:dyDescent="0.3">
      <c r="A24" t="s">
        <v>550</v>
      </c>
      <c r="B24" s="11">
        <v>22</v>
      </c>
      <c r="C24">
        <v>661</v>
      </c>
      <c r="D24">
        <v>23</v>
      </c>
      <c r="E24" s="4">
        <v>44534</v>
      </c>
      <c r="F24" t="s">
        <v>33</v>
      </c>
      <c r="H24" t="s">
        <v>102</v>
      </c>
      <c r="I24" t="s">
        <v>103</v>
      </c>
      <c r="J24" t="s">
        <v>41</v>
      </c>
      <c r="K24" s="9">
        <v>1.3680555555555556</v>
      </c>
      <c r="L24">
        <v>4</v>
      </c>
      <c r="M24">
        <v>7</v>
      </c>
      <c r="N24">
        <v>0.57099999999999995</v>
      </c>
      <c r="O24">
        <v>0</v>
      </c>
      <c r="P24">
        <v>2</v>
      </c>
      <c r="Q24">
        <v>0</v>
      </c>
      <c r="R24">
        <v>4</v>
      </c>
      <c r="S24">
        <v>5</v>
      </c>
      <c r="T24">
        <v>0.8</v>
      </c>
      <c r="U24">
        <v>0.57099999999999995</v>
      </c>
      <c r="V24">
        <v>1</v>
      </c>
      <c r="W24">
        <v>2</v>
      </c>
      <c r="X24">
        <v>0.5</v>
      </c>
      <c r="Y24">
        <v>1</v>
      </c>
      <c r="Z24">
        <v>7</v>
      </c>
      <c r="AA24">
        <v>8</v>
      </c>
      <c r="AB24">
        <v>9</v>
      </c>
      <c r="AC24">
        <v>1</v>
      </c>
      <c r="AD24">
        <v>1</v>
      </c>
      <c r="AE24">
        <v>4</v>
      </c>
      <c r="AF24">
        <v>1</v>
      </c>
      <c r="AG24">
        <v>9</v>
      </c>
      <c r="AH24">
        <v>11.7</v>
      </c>
      <c r="AI24">
        <v>-14</v>
      </c>
    </row>
    <row r="25" spans="1:35" ht="21" x14ac:dyDescent="0.3">
      <c r="A25" t="s">
        <v>550</v>
      </c>
      <c r="B25" s="11">
        <v>23</v>
      </c>
      <c r="C25">
        <v>662</v>
      </c>
      <c r="D25">
        <v>24</v>
      </c>
      <c r="E25" s="4">
        <v>44536</v>
      </c>
      <c r="F25" t="s">
        <v>33</v>
      </c>
      <c r="H25" t="s">
        <v>104</v>
      </c>
      <c r="I25" t="s">
        <v>105</v>
      </c>
      <c r="J25" t="s">
        <v>41</v>
      </c>
      <c r="K25" s="9">
        <v>1.1875</v>
      </c>
      <c r="L25">
        <v>3</v>
      </c>
      <c r="M25">
        <v>4</v>
      </c>
      <c r="N25">
        <v>0.75</v>
      </c>
      <c r="O25">
        <v>0</v>
      </c>
      <c r="P25">
        <v>0</v>
      </c>
      <c r="R25">
        <v>3</v>
      </c>
      <c r="S25">
        <v>4</v>
      </c>
      <c r="T25">
        <v>0.75</v>
      </c>
      <c r="U25">
        <v>0.75</v>
      </c>
      <c r="V25">
        <v>1</v>
      </c>
      <c r="W25">
        <v>2</v>
      </c>
      <c r="X25">
        <v>0.5</v>
      </c>
      <c r="Y25">
        <v>1</v>
      </c>
      <c r="Z25">
        <v>6</v>
      </c>
      <c r="AA25">
        <v>7</v>
      </c>
      <c r="AB25">
        <v>3</v>
      </c>
      <c r="AC25">
        <v>3</v>
      </c>
      <c r="AD25">
        <v>1</v>
      </c>
      <c r="AE25">
        <v>3</v>
      </c>
      <c r="AF25">
        <v>3</v>
      </c>
      <c r="AG25">
        <v>7</v>
      </c>
      <c r="AH25">
        <v>9.1</v>
      </c>
      <c r="AI25">
        <v>18</v>
      </c>
    </row>
    <row r="26" spans="1:35" ht="21" x14ac:dyDescent="0.3">
      <c r="A26" t="s">
        <v>550</v>
      </c>
      <c r="B26" s="11">
        <v>24</v>
      </c>
      <c r="C26">
        <v>663</v>
      </c>
      <c r="D26">
        <v>25</v>
      </c>
      <c r="E26" s="4">
        <v>44538</v>
      </c>
      <c r="F26" t="s">
        <v>33</v>
      </c>
      <c r="H26" t="s">
        <v>96</v>
      </c>
      <c r="I26" t="s">
        <v>106</v>
      </c>
      <c r="J26" t="s">
        <v>41</v>
      </c>
      <c r="K26" s="9">
        <v>1.3520833333333333</v>
      </c>
      <c r="L26">
        <v>1</v>
      </c>
      <c r="M26">
        <v>5</v>
      </c>
      <c r="N26">
        <v>0.2</v>
      </c>
      <c r="O26">
        <v>0</v>
      </c>
      <c r="P26">
        <v>1</v>
      </c>
      <c r="Q26">
        <v>0</v>
      </c>
      <c r="R26">
        <v>1</v>
      </c>
      <c r="S26">
        <v>4</v>
      </c>
      <c r="T26">
        <v>0.25</v>
      </c>
      <c r="U26">
        <v>0.2</v>
      </c>
      <c r="V26">
        <v>3</v>
      </c>
      <c r="W26">
        <v>6</v>
      </c>
      <c r="X26">
        <v>0.5</v>
      </c>
      <c r="Y26">
        <v>2</v>
      </c>
      <c r="Z26">
        <v>8</v>
      </c>
      <c r="AA26">
        <v>10</v>
      </c>
      <c r="AB26">
        <v>8</v>
      </c>
      <c r="AC26">
        <v>1</v>
      </c>
      <c r="AD26">
        <v>1</v>
      </c>
      <c r="AE26">
        <v>3</v>
      </c>
      <c r="AF26">
        <v>2</v>
      </c>
      <c r="AG26">
        <v>5</v>
      </c>
      <c r="AH26">
        <v>8</v>
      </c>
      <c r="AI26">
        <v>6</v>
      </c>
    </row>
    <row r="27" spans="1:35" ht="21" x14ac:dyDescent="0.3">
      <c r="A27" t="s">
        <v>550</v>
      </c>
      <c r="B27" s="11">
        <v>25</v>
      </c>
      <c r="C27">
        <v>664</v>
      </c>
      <c r="D27">
        <v>26</v>
      </c>
      <c r="E27" s="4">
        <v>44541</v>
      </c>
      <c r="F27" t="s">
        <v>33</v>
      </c>
      <c r="G27" t="s">
        <v>37</v>
      </c>
      <c r="H27" t="s">
        <v>94</v>
      </c>
      <c r="I27" t="s">
        <v>107</v>
      </c>
      <c r="J27" t="s">
        <v>41</v>
      </c>
      <c r="K27" s="9">
        <v>1.1875</v>
      </c>
      <c r="L27">
        <v>2</v>
      </c>
      <c r="M27">
        <v>4</v>
      </c>
      <c r="N27">
        <v>0.5</v>
      </c>
      <c r="O27">
        <v>0</v>
      </c>
      <c r="P27">
        <v>1</v>
      </c>
      <c r="Q27">
        <v>0</v>
      </c>
      <c r="R27">
        <v>2</v>
      </c>
      <c r="S27">
        <v>3</v>
      </c>
      <c r="T27">
        <v>0.66700000000000004</v>
      </c>
      <c r="U27">
        <v>0.5</v>
      </c>
      <c r="V27">
        <v>3</v>
      </c>
      <c r="W27">
        <v>4</v>
      </c>
      <c r="X27">
        <v>0.75</v>
      </c>
      <c r="Y27">
        <v>0</v>
      </c>
      <c r="Z27">
        <v>4</v>
      </c>
      <c r="AA27">
        <v>4</v>
      </c>
      <c r="AB27">
        <v>2</v>
      </c>
      <c r="AC27">
        <v>3</v>
      </c>
      <c r="AD27">
        <v>0</v>
      </c>
      <c r="AE27">
        <v>2</v>
      </c>
      <c r="AF27">
        <v>5</v>
      </c>
      <c r="AG27">
        <v>7</v>
      </c>
      <c r="AH27">
        <v>6.2</v>
      </c>
      <c r="AI27">
        <v>-5</v>
      </c>
    </row>
    <row r="28" spans="1:35" ht="21" x14ac:dyDescent="0.3">
      <c r="A28" t="s">
        <v>550</v>
      </c>
      <c r="B28" s="11">
        <v>26</v>
      </c>
      <c r="C28">
        <v>665</v>
      </c>
      <c r="D28">
        <v>27</v>
      </c>
      <c r="E28" s="4">
        <v>44543</v>
      </c>
      <c r="F28" t="s">
        <v>33</v>
      </c>
      <c r="G28" t="s">
        <v>37</v>
      </c>
      <c r="H28" t="s">
        <v>108</v>
      </c>
      <c r="I28" t="s">
        <v>109</v>
      </c>
      <c r="J28" t="s">
        <v>41</v>
      </c>
      <c r="K28" s="9">
        <v>1.2930555555555556</v>
      </c>
      <c r="L28">
        <v>7</v>
      </c>
      <c r="M28">
        <v>10</v>
      </c>
      <c r="N28">
        <v>0.7</v>
      </c>
      <c r="O28">
        <v>0</v>
      </c>
      <c r="P28">
        <v>1</v>
      </c>
      <c r="Q28">
        <v>0</v>
      </c>
      <c r="R28">
        <v>7</v>
      </c>
      <c r="S28">
        <v>9</v>
      </c>
      <c r="T28">
        <v>0.77800000000000002</v>
      </c>
      <c r="U28">
        <v>0.7</v>
      </c>
      <c r="V28">
        <v>1</v>
      </c>
      <c r="W28">
        <v>2</v>
      </c>
      <c r="X28">
        <v>0.5</v>
      </c>
      <c r="Y28">
        <v>2</v>
      </c>
      <c r="Z28">
        <v>7</v>
      </c>
      <c r="AA28">
        <v>9</v>
      </c>
      <c r="AB28">
        <v>5</v>
      </c>
      <c r="AC28">
        <v>0</v>
      </c>
      <c r="AD28">
        <v>0</v>
      </c>
      <c r="AE28">
        <v>3</v>
      </c>
      <c r="AF28">
        <v>4</v>
      </c>
      <c r="AG28">
        <v>15</v>
      </c>
      <c r="AH28">
        <v>12.8</v>
      </c>
      <c r="AI28">
        <v>-4</v>
      </c>
    </row>
    <row r="29" spans="1:35" ht="21" x14ac:dyDescent="0.3">
      <c r="A29" t="s">
        <v>550</v>
      </c>
      <c r="B29" s="11">
        <v>27</v>
      </c>
      <c r="C29">
        <v>666</v>
      </c>
      <c r="D29">
        <v>28</v>
      </c>
      <c r="E29" s="4">
        <v>44544</v>
      </c>
      <c r="F29" t="s">
        <v>33</v>
      </c>
      <c r="G29" t="s">
        <v>37</v>
      </c>
      <c r="H29" t="s">
        <v>110</v>
      </c>
      <c r="I29" t="s">
        <v>111</v>
      </c>
      <c r="J29" t="s">
        <v>41</v>
      </c>
      <c r="K29" s="9">
        <v>1.325</v>
      </c>
      <c r="L29">
        <v>3</v>
      </c>
      <c r="M29">
        <v>6</v>
      </c>
      <c r="N29">
        <v>0.5</v>
      </c>
      <c r="O29">
        <v>1</v>
      </c>
      <c r="P29">
        <v>1</v>
      </c>
      <c r="Q29">
        <v>1</v>
      </c>
      <c r="R29">
        <v>2</v>
      </c>
      <c r="S29">
        <v>5</v>
      </c>
      <c r="T29">
        <v>0.4</v>
      </c>
      <c r="U29">
        <v>0.58299999999999996</v>
      </c>
      <c r="V29">
        <v>1</v>
      </c>
      <c r="W29">
        <v>2</v>
      </c>
      <c r="X29">
        <v>0.5</v>
      </c>
      <c r="Y29">
        <v>2</v>
      </c>
      <c r="Z29">
        <v>9</v>
      </c>
      <c r="AA29">
        <v>11</v>
      </c>
      <c r="AB29">
        <v>7</v>
      </c>
      <c r="AC29">
        <v>1</v>
      </c>
      <c r="AD29">
        <v>3</v>
      </c>
      <c r="AE29">
        <v>3</v>
      </c>
      <c r="AF29">
        <v>3</v>
      </c>
      <c r="AG29">
        <v>8</v>
      </c>
      <c r="AH29">
        <v>12.5</v>
      </c>
      <c r="AI29">
        <v>8</v>
      </c>
    </row>
    <row r="30" spans="1:35" ht="21" x14ac:dyDescent="0.3">
      <c r="A30" t="s">
        <v>550</v>
      </c>
      <c r="B30" s="11">
        <v>28</v>
      </c>
      <c r="C30">
        <v>667</v>
      </c>
      <c r="D30">
        <v>29</v>
      </c>
      <c r="E30" s="4">
        <v>44547</v>
      </c>
      <c r="F30" t="s">
        <v>33</v>
      </c>
      <c r="G30" t="s">
        <v>37</v>
      </c>
      <c r="H30" t="s">
        <v>55</v>
      </c>
      <c r="I30" t="s">
        <v>112</v>
      </c>
      <c r="J30" t="s">
        <v>41</v>
      </c>
      <c r="K30" s="9">
        <v>1.3027777777777778</v>
      </c>
      <c r="L30">
        <v>2</v>
      </c>
      <c r="M30">
        <v>6</v>
      </c>
      <c r="N30">
        <v>0.33300000000000002</v>
      </c>
      <c r="O30">
        <v>0</v>
      </c>
      <c r="P30">
        <v>3</v>
      </c>
      <c r="Q30">
        <v>0</v>
      </c>
      <c r="R30">
        <v>2</v>
      </c>
      <c r="S30">
        <v>3</v>
      </c>
      <c r="T30">
        <v>0.66700000000000004</v>
      </c>
      <c r="U30">
        <v>0.33300000000000002</v>
      </c>
      <c r="V30">
        <v>2</v>
      </c>
      <c r="W30">
        <v>2</v>
      </c>
      <c r="X30">
        <v>1</v>
      </c>
      <c r="Y30">
        <v>0</v>
      </c>
      <c r="Z30">
        <v>5</v>
      </c>
      <c r="AA30">
        <v>5</v>
      </c>
      <c r="AB30">
        <v>8</v>
      </c>
      <c r="AC30">
        <v>0</v>
      </c>
      <c r="AD30">
        <v>1</v>
      </c>
      <c r="AE30">
        <v>2</v>
      </c>
      <c r="AF30">
        <v>5</v>
      </c>
      <c r="AG30">
        <v>6</v>
      </c>
      <c r="AH30">
        <v>6.4</v>
      </c>
      <c r="AI30">
        <v>-7</v>
      </c>
    </row>
    <row r="31" spans="1:35" ht="21" x14ac:dyDescent="0.3">
      <c r="A31" t="s">
        <v>550</v>
      </c>
      <c r="B31" s="11">
        <v>28</v>
      </c>
      <c r="D31">
        <v>30</v>
      </c>
      <c r="E31" s="4">
        <v>44548</v>
      </c>
      <c r="F31" t="s">
        <v>33</v>
      </c>
      <c r="G31" t="s">
        <v>37</v>
      </c>
      <c r="H31" t="s">
        <v>92</v>
      </c>
      <c r="I31" t="s">
        <v>113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  <c r="O31" t="s">
        <v>91</v>
      </c>
      <c r="P31" t="s">
        <v>91</v>
      </c>
      <c r="Q31" t="s">
        <v>91</v>
      </c>
      <c r="R31" t="s">
        <v>91</v>
      </c>
      <c r="S31" t="s">
        <v>91</v>
      </c>
      <c r="T31" t="s">
        <v>91</v>
      </c>
      <c r="U31" t="s">
        <v>91</v>
      </c>
      <c r="V31" t="s">
        <v>91</v>
      </c>
      <c r="W31" t="s">
        <v>91</v>
      </c>
      <c r="X31" t="s">
        <v>91</v>
      </c>
      <c r="Y31" t="s">
        <v>91</v>
      </c>
      <c r="Z31" t="s">
        <v>91</v>
      </c>
      <c r="AA31" t="s">
        <v>91</v>
      </c>
      <c r="AB31" t="s">
        <v>91</v>
      </c>
      <c r="AC31" t="s">
        <v>91</v>
      </c>
      <c r="AD31" t="s">
        <v>91</v>
      </c>
      <c r="AE31" t="s">
        <v>91</v>
      </c>
      <c r="AF31" t="s">
        <v>91</v>
      </c>
      <c r="AG31" t="s">
        <v>91</v>
      </c>
      <c r="AH31" t="s">
        <v>91</v>
      </c>
      <c r="AI31" t="s">
        <v>91</v>
      </c>
    </row>
    <row r="32" spans="1:35" ht="21" x14ac:dyDescent="0.3">
      <c r="A32" t="s">
        <v>550</v>
      </c>
      <c r="B32" s="11">
        <v>29</v>
      </c>
      <c r="C32">
        <v>668</v>
      </c>
      <c r="D32">
        <v>31</v>
      </c>
      <c r="E32" s="4">
        <v>44550</v>
      </c>
      <c r="F32" t="s">
        <v>33</v>
      </c>
      <c r="H32" t="s">
        <v>66</v>
      </c>
      <c r="I32" t="s">
        <v>114</v>
      </c>
      <c r="J32" t="s">
        <v>41</v>
      </c>
      <c r="K32" s="9">
        <v>1.382638888888889</v>
      </c>
      <c r="L32">
        <v>7</v>
      </c>
      <c r="M32">
        <v>11</v>
      </c>
      <c r="N32">
        <v>0.63600000000000001</v>
      </c>
      <c r="O32">
        <v>1</v>
      </c>
      <c r="P32">
        <v>2</v>
      </c>
      <c r="Q32">
        <v>0.5</v>
      </c>
      <c r="R32">
        <v>6</v>
      </c>
      <c r="S32">
        <v>9</v>
      </c>
      <c r="T32">
        <v>0.66700000000000004</v>
      </c>
      <c r="U32">
        <v>0.68200000000000005</v>
      </c>
      <c r="V32">
        <v>1</v>
      </c>
      <c r="W32">
        <v>2</v>
      </c>
      <c r="X32">
        <v>0.5</v>
      </c>
      <c r="Y32">
        <v>1</v>
      </c>
      <c r="Z32">
        <v>10</v>
      </c>
      <c r="AA32">
        <v>11</v>
      </c>
      <c r="AB32">
        <v>10</v>
      </c>
      <c r="AC32">
        <v>2</v>
      </c>
      <c r="AD32">
        <v>2</v>
      </c>
      <c r="AE32">
        <v>5</v>
      </c>
      <c r="AF32">
        <v>3</v>
      </c>
      <c r="AG32">
        <v>16</v>
      </c>
      <c r="AH32">
        <v>18.600000000000001</v>
      </c>
      <c r="AI32">
        <v>7</v>
      </c>
    </row>
    <row r="33" spans="1:35" ht="21" x14ac:dyDescent="0.3">
      <c r="A33" t="s">
        <v>550</v>
      </c>
      <c r="B33" s="11">
        <v>30</v>
      </c>
      <c r="C33">
        <v>669</v>
      </c>
      <c r="D33">
        <v>32</v>
      </c>
      <c r="E33" s="4">
        <v>44553</v>
      </c>
      <c r="F33" t="s">
        <v>33</v>
      </c>
      <c r="H33" t="s">
        <v>42</v>
      </c>
      <c r="I33" t="s">
        <v>115</v>
      </c>
      <c r="J33" t="s">
        <v>41</v>
      </c>
      <c r="K33" s="9">
        <v>1.3993055555555556</v>
      </c>
      <c r="L33">
        <v>4</v>
      </c>
      <c r="M33">
        <v>8</v>
      </c>
      <c r="N33">
        <v>0.5</v>
      </c>
      <c r="O33">
        <v>0</v>
      </c>
      <c r="P33">
        <v>3</v>
      </c>
      <c r="Q33">
        <v>0</v>
      </c>
      <c r="R33">
        <v>4</v>
      </c>
      <c r="S33">
        <v>5</v>
      </c>
      <c r="T33">
        <v>0.8</v>
      </c>
      <c r="U33">
        <v>0.5</v>
      </c>
      <c r="V33">
        <v>0</v>
      </c>
      <c r="W33">
        <v>0</v>
      </c>
      <c r="Y33">
        <v>0</v>
      </c>
      <c r="Z33">
        <v>5</v>
      </c>
      <c r="AA33">
        <v>5</v>
      </c>
      <c r="AB33">
        <v>9</v>
      </c>
      <c r="AC33">
        <v>2</v>
      </c>
      <c r="AD33">
        <v>3</v>
      </c>
      <c r="AE33">
        <v>5</v>
      </c>
      <c r="AF33">
        <v>4</v>
      </c>
      <c r="AG33">
        <v>8</v>
      </c>
      <c r="AH33">
        <v>9.3000000000000007</v>
      </c>
      <c r="AI33">
        <v>7</v>
      </c>
    </row>
    <row r="34" spans="1:35" ht="21" x14ac:dyDescent="0.3">
      <c r="A34" t="s">
        <v>550</v>
      </c>
      <c r="B34" s="11">
        <v>31</v>
      </c>
      <c r="C34">
        <v>670</v>
      </c>
      <c r="D34">
        <v>33</v>
      </c>
      <c r="E34" s="4">
        <v>44555</v>
      </c>
      <c r="F34" t="s">
        <v>33</v>
      </c>
      <c r="G34" t="s">
        <v>37</v>
      </c>
      <c r="H34" t="s">
        <v>99</v>
      </c>
      <c r="I34" t="s">
        <v>116</v>
      </c>
      <c r="J34" t="s">
        <v>41</v>
      </c>
      <c r="K34" s="9">
        <v>1.4201388888888888</v>
      </c>
      <c r="L34">
        <v>3</v>
      </c>
      <c r="M34">
        <v>7</v>
      </c>
      <c r="N34">
        <v>0.42899999999999999</v>
      </c>
      <c r="O34">
        <v>2</v>
      </c>
      <c r="P34">
        <v>4</v>
      </c>
      <c r="Q34">
        <v>0.5</v>
      </c>
      <c r="R34">
        <v>1</v>
      </c>
      <c r="S34">
        <v>3</v>
      </c>
      <c r="T34">
        <v>0.33300000000000002</v>
      </c>
      <c r="U34">
        <v>0.57099999999999995</v>
      </c>
      <c r="V34">
        <v>0</v>
      </c>
      <c r="W34">
        <v>0</v>
      </c>
      <c r="Y34">
        <v>2</v>
      </c>
      <c r="Z34">
        <v>6</v>
      </c>
      <c r="AA34">
        <v>8</v>
      </c>
      <c r="AB34">
        <v>10</v>
      </c>
      <c r="AC34">
        <v>3</v>
      </c>
      <c r="AD34">
        <v>3</v>
      </c>
      <c r="AE34">
        <v>4</v>
      </c>
      <c r="AF34">
        <v>1</v>
      </c>
      <c r="AG34">
        <v>8</v>
      </c>
      <c r="AH34">
        <v>15.2</v>
      </c>
      <c r="AI34">
        <v>8</v>
      </c>
    </row>
    <row r="35" spans="1:35" ht="21" x14ac:dyDescent="0.3">
      <c r="A35" t="s">
        <v>550</v>
      </c>
      <c r="B35" s="11">
        <v>31</v>
      </c>
      <c r="D35">
        <v>34</v>
      </c>
      <c r="E35" s="4">
        <v>44558</v>
      </c>
      <c r="F35" t="s">
        <v>33</v>
      </c>
      <c r="H35" t="s">
        <v>34</v>
      </c>
      <c r="I35" t="s">
        <v>117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  <c r="O35" t="s">
        <v>91</v>
      </c>
      <c r="P35" t="s">
        <v>91</v>
      </c>
      <c r="Q35" t="s">
        <v>91</v>
      </c>
      <c r="R35" t="s">
        <v>91</v>
      </c>
      <c r="S35" t="s">
        <v>91</v>
      </c>
      <c r="T35" t="s">
        <v>91</v>
      </c>
      <c r="U35" t="s">
        <v>91</v>
      </c>
      <c r="V35" t="s">
        <v>91</v>
      </c>
      <c r="W35" t="s">
        <v>91</v>
      </c>
      <c r="X35" t="s">
        <v>91</v>
      </c>
      <c r="Y35" t="s">
        <v>91</v>
      </c>
      <c r="Z35" t="s">
        <v>91</v>
      </c>
      <c r="AA35" t="s">
        <v>91</v>
      </c>
      <c r="AB35" t="s">
        <v>91</v>
      </c>
      <c r="AC35" t="s">
        <v>91</v>
      </c>
      <c r="AD35" t="s">
        <v>91</v>
      </c>
      <c r="AE35" t="s">
        <v>91</v>
      </c>
      <c r="AF35" t="s">
        <v>91</v>
      </c>
      <c r="AG35" t="s">
        <v>91</v>
      </c>
      <c r="AH35" t="s">
        <v>91</v>
      </c>
      <c r="AI35" t="s">
        <v>91</v>
      </c>
    </row>
    <row r="36" spans="1:35" ht="21" x14ac:dyDescent="0.3">
      <c r="A36" t="s">
        <v>550</v>
      </c>
      <c r="B36" s="11">
        <v>31</v>
      </c>
      <c r="D36">
        <v>35</v>
      </c>
      <c r="E36" s="4">
        <v>44562</v>
      </c>
      <c r="F36" t="s">
        <v>33</v>
      </c>
      <c r="G36" t="s">
        <v>37</v>
      </c>
      <c r="H36" t="s">
        <v>118</v>
      </c>
      <c r="I36" t="s">
        <v>119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  <c r="O36" t="s">
        <v>91</v>
      </c>
      <c r="P36" t="s">
        <v>91</v>
      </c>
      <c r="Q36" t="s">
        <v>91</v>
      </c>
      <c r="R36" t="s">
        <v>91</v>
      </c>
      <c r="S36" t="s">
        <v>91</v>
      </c>
      <c r="T36" t="s">
        <v>91</v>
      </c>
      <c r="U36" t="s">
        <v>91</v>
      </c>
      <c r="V36" t="s">
        <v>91</v>
      </c>
      <c r="W36" t="s">
        <v>91</v>
      </c>
      <c r="X36" t="s">
        <v>91</v>
      </c>
      <c r="Y36" t="s">
        <v>91</v>
      </c>
      <c r="Z36" t="s">
        <v>91</v>
      </c>
      <c r="AA36" t="s">
        <v>91</v>
      </c>
      <c r="AB36" t="s">
        <v>91</v>
      </c>
      <c r="AC36" t="s">
        <v>91</v>
      </c>
      <c r="AD36" t="s">
        <v>91</v>
      </c>
      <c r="AE36" t="s">
        <v>91</v>
      </c>
      <c r="AF36" t="s">
        <v>91</v>
      </c>
      <c r="AG36" t="s">
        <v>91</v>
      </c>
      <c r="AH36" t="s">
        <v>91</v>
      </c>
      <c r="AI36" t="s">
        <v>91</v>
      </c>
    </row>
    <row r="37" spans="1:35" ht="21" x14ac:dyDescent="0.3">
      <c r="A37" t="s">
        <v>550</v>
      </c>
      <c r="B37" s="11">
        <v>32</v>
      </c>
      <c r="C37">
        <v>671</v>
      </c>
      <c r="D37">
        <v>36</v>
      </c>
      <c r="E37" s="4">
        <v>44564</v>
      </c>
      <c r="F37" t="s">
        <v>33</v>
      </c>
      <c r="H37" t="s">
        <v>120</v>
      </c>
      <c r="I37" t="s">
        <v>121</v>
      </c>
      <c r="J37" t="s">
        <v>41</v>
      </c>
      <c r="K37" s="9">
        <v>1.5097222222222222</v>
      </c>
      <c r="L37">
        <v>2</v>
      </c>
      <c r="M37">
        <v>5</v>
      </c>
      <c r="N37">
        <v>0.4</v>
      </c>
      <c r="O37">
        <v>1</v>
      </c>
      <c r="P37">
        <v>3</v>
      </c>
      <c r="Q37">
        <v>0.33300000000000002</v>
      </c>
      <c r="R37">
        <v>1</v>
      </c>
      <c r="S37">
        <v>2</v>
      </c>
      <c r="T37">
        <v>0.5</v>
      </c>
      <c r="U37">
        <v>0.5</v>
      </c>
      <c r="V37">
        <v>0</v>
      </c>
      <c r="W37">
        <v>0</v>
      </c>
      <c r="Y37">
        <v>2</v>
      </c>
      <c r="Z37">
        <v>6</v>
      </c>
      <c r="AA37">
        <v>8</v>
      </c>
      <c r="AB37">
        <v>13</v>
      </c>
      <c r="AC37">
        <v>1</v>
      </c>
      <c r="AD37">
        <v>4</v>
      </c>
      <c r="AE37">
        <v>2</v>
      </c>
      <c r="AF37">
        <v>4</v>
      </c>
      <c r="AG37">
        <v>5</v>
      </c>
      <c r="AH37">
        <v>14.8</v>
      </c>
      <c r="AI37">
        <v>10</v>
      </c>
    </row>
    <row r="38" spans="1:35" ht="21" x14ac:dyDescent="0.3">
      <c r="A38" t="s">
        <v>550</v>
      </c>
      <c r="B38" s="11">
        <v>33</v>
      </c>
      <c r="C38">
        <v>672</v>
      </c>
      <c r="D38">
        <v>37</v>
      </c>
      <c r="E38" s="4">
        <v>44566</v>
      </c>
      <c r="F38" t="s">
        <v>33</v>
      </c>
      <c r="G38" t="s">
        <v>37</v>
      </c>
      <c r="H38" t="s">
        <v>49</v>
      </c>
      <c r="I38" t="s">
        <v>122</v>
      </c>
      <c r="J38" t="s">
        <v>41</v>
      </c>
      <c r="K38" s="9">
        <v>1.325</v>
      </c>
      <c r="L38">
        <v>1</v>
      </c>
      <c r="M38">
        <v>4</v>
      </c>
      <c r="N38">
        <v>0.25</v>
      </c>
      <c r="O38">
        <v>0</v>
      </c>
      <c r="P38">
        <v>1</v>
      </c>
      <c r="Q38">
        <v>0</v>
      </c>
      <c r="R38">
        <v>1</v>
      </c>
      <c r="S38">
        <v>3</v>
      </c>
      <c r="T38">
        <v>0.33300000000000002</v>
      </c>
      <c r="U38">
        <v>0.25</v>
      </c>
      <c r="V38">
        <v>0</v>
      </c>
      <c r="W38">
        <v>0</v>
      </c>
      <c r="Y38">
        <v>0</v>
      </c>
      <c r="Z38">
        <v>3</v>
      </c>
      <c r="AA38">
        <v>3</v>
      </c>
      <c r="AB38">
        <v>4</v>
      </c>
      <c r="AC38">
        <v>2</v>
      </c>
      <c r="AD38">
        <v>1</v>
      </c>
      <c r="AE38">
        <v>5</v>
      </c>
      <c r="AF38">
        <v>2</v>
      </c>
      <c r="AG38">
        <v>2</v>
      </c>
      <c r="AH38">
        <v>0.2</v>
      </c>
      <c r="AI38">
        <v>-3</v>
      </c>
    </row>
    <row r="39" spans="1:35" ht="21" x14ac:dyDescent="0.3">
      <c r="A39" t="s">
        <v>550</v>
      </c>
      <c r="B39" s="11">
        <v>33</v>
      </c>
      <c r="D39">
        <v>38</v>
      </c>
      <c r="E39" s="4">
        <v>44567</v>
      </c>
      <c r="F39" t="s">
        <v>33</v>
      </c>
      <c r="G39" t="s">
        <v>37</v>
      </c>
      <c r="H39" t="s">
        <v>74</v>
      </c>
      <c r="I39" t="s">
        <v>123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  <c r="O39" t="s">
        <v>91</v>
      </c>
      <c r="P39" t="s">
        <v>91</v>
      </c>
      <c r="Q39" t="s">
        <v>91</v>
      </c>
      <c r="R39" t="s">
        <v>91</v>
      </c>
      <c r="S39" t="s">
        <v>91</v>
      </c>
      <c r="T39" t="s">
        <v>91</v>
      </c>
      <c r="U39" t="s">
        <v>91</v>
      </c>
      <c r="V39" t="s">
        <v>91</v>
      </c>
      <c r="W39" t="s">
        <v>91</v>
      </c>
      <c r="X39" t="s">
        <v>91</v>
      </c>
      <c r="Y39" t="s">
        <v>91</v>
      </c>
      <c r="Z39" t="s">
        <v>91</v>
      </c>
      <c r="AA39" t="s">
        <v>91</v>
      </c>
      <c r="AB39" t="s">
        <v>91</v>
      </c>
      <c r="AC39" t="s">
        <v>91</v>
      </c>
      <c r="AD39" t="s">
        <v>91</v>
      </c>
      <c r="AE39" t="s">
        <v>91</v>
      </c>
      <c r="AF39" t="s">
        <v>91</v>
      </c>
      <c r="AG39" t="s">
        <v>91</v>
      </c>
      <c r="AH39" t="s">
        <v>91</v>
      </c>
      <c r="AI39" t="s">
        <v>91</v>
      </c>
    </row>
    <row r="40" spans="1:35" ht="21" x14ac:dyDescent="0.3">
      <c r="A40" t="s">
        <v>550</v>
      </c>
      <c r="B40" s="11">
        <v>34</v>
      </c>
      <c r="C40">
        <v>673</v>
      </c>
      <c r="D40">
        <v>39</v>
      </c>
      <c r="E40" s="4">
        <v>44570</v>
      </c>
      <c r="F40" t="s">
        <v>33</v>
      </c>
      <c r="H40" t="s">
        <v>87</v>
      </c>
      <c r="I40" t="s">
        <v>124</v>
      </c>
      <c r="J40" t="s">
        <v>41</v>
      </c>
      <c r="K40" s="7">
        <v>4.8611111111111112E-3</v>
      </c>
      <c r="L40">
        <v>0</v>
      </c>
      <c r="M40">
        <v>0</v>
      </c>
      <c r="O40">
        <v>0</v>
      </c>
      <c r="P40">
        <v>0</v>
      </c>
      <c r="R40">
        <v>0</v>
      </c>
      <c r="S40">
        <v>0</v>
      </c>
      <c r="V40">
        <v>0</v>
      </c>
      <c r="W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-0.4</v>
      </c>
      <c r="AI40">
        <v>0</v>
      </c>
    </row>
    <row r="41" spans="1:35" ht="21" x14ac:dyDescent="0.3">
      <c r="A41" t="s">
        <v>550</v>
      </c>
      <c r="B41" s="11">
        <v>34</v>
      </c>
      <c r="D41">
        <v>40</v>
      </c>
      <c r="E41" s="4">
        <v>44572</v>
      </c>
      <c r="F41" t="s">
        <v>33</v>
      </c>
      <c r="G41" t="s">
        <v>37</v>
      </c>
      <c r="H41" t="s">
        <v>42</v>
      </c>
      <c r="I41" t="s">
        <v>125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  <c r="O41" t="s">
        <v>91</v>
      </c>
      <c r="P41" t="s">
        <v>91</v>
      </c>
      <c r="Q41" t="s">
        <v>91</v>
      </c>
      <c r="R41" t="s">
        <v>91</v>
      </c>
      <c r="S41" t="s">
        <v>91</v>
      </c>
      <c r="T41" t="s">
        <v>91</v>
      </c>
      <c r="U41" t="s">
        <v>91</v>
      </c>
      <c r="V41" t="s">
        <v>91</v>
      </c>
      <c r="W41" t="s">
        <v>91</v>
      </c>
      <c r="X41" t="s">
        <v>91</v>
      </c>
      <c r="Y41" t="s">
        <v>91</v>
      </c>
      <c r="Z41" t="s">
        <v>91</v>
      </c>
      <c r="AA41" t="s">
        <v>91</v>
      </c>
      <c r="AB41" t="s">
        <v>91</v>
      </c>
      <c r="AC41" t="s">
        <v>91</v>
      </c>
      <c r="AD41" t="s">
        <v>91</v>
      </c>
      <c r="AE41" t="s">
        <v>91</v>
      </c>
      <c r="AF41" t="s">
        <v>91</v>
      </c>
      <c r="AG41" t="s">
        <v>91</v>
      </c>
      <c r="AH41" t="s">
        <v>91</v>
      </c>
      <c r="AI41" t="s">
        <v>91</v>
      </c>
    </row>
    <row r="42" spans="1:35" ht="21" x14ac:dyDescent="0.3">
      <c r="A42" t="s">
        <v>550</v>
      </c>
      <c r="B42" s="11">
        <v>34</v>
      </c>
      <c r="D42">
        <v>41</v>
      </c>
      <c r="E42" s="4">
        <v>44574</v>
      </c>
      <c r="F42" t="s">
        <v>33</v>
      </c>
      <c r="G42" t="s">
        <v>37</v>
      </c>
      <c r="H42" t="s">
        <v>126</v>
      </c>
      <c r="I42" t="s">
        <v>127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  <c r="O42" t="s">
        <v>91</v>
      </c>
      <c r="P42" t="s">
        <v>91</v>
      </c>
      <c r="Q42" t="s">
        <v>91</v>
      </c>
      <c r="R42" t="s">
        <v>91</v>
      </c>
      <c r="S42" t="s">
        <v>91</v>
      </c>
      <c r="T42" t="s">
        <v>91</v>
      </c>
      <c r="U42" t="s">
        <v>91</v>
      </c>
      <c r="V42" t="s">
        <v>91</v>
      </c>
      <c r="W42" t="s">
        <v>91</v>
      </c>
      <c r="X42" t="s">
        <v>91</v>
      </c>
      <c r="Y42" t="s">
        <v>91</v>
      </c>
      <c r="Z42" t="s">
        <v>91</v>
      </c>
      <c r="AA42" t="s">
        <v>91</v>
      </c>
      <c r="AB42" t="s">
        <v>91</v>
      </c>
      <c r="AC42" t="s">
        <v>91</v>
      </c>
      <c r="AD42" t="s">
        <v>91</v>
      </c>
      <c r="AE42" t="s">
        <v>91</v>
      </c>
      <c r="AF42" t="s">
        <v>91</v>
      </c>
      <c r="AG42" t="s">
        <v>91</v>
      </c>
      <c r="AH42" t="s">
        <v>91</v>
      </c>
      <c r="AI42" t="s">
        <v>91</v>
      </c>
    </row>
    <row r="43" spans="1:35" ht="21" x14ac:dyDescent="0.3">
      <c r="A43" t="s">
        <v>550</v>
      </c>
      <c r="B43" s="11">
        <v>34</v>
      </c>
      <c r="D43">
        <v>42</v>
      </c>
      <c r="E43" s="4">
        <v>44575</v>
      </c>
      <c r="F43" t="s">
        <v>33</v>
      </c>
      <c r="G43" t="s">
        <v>37</v>
      </c>
      <c r="H43" t="s">
        <v>82</v>
      </c>
      <c r="I43" t="s">
        <v>128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  <c r="O43" t="s">
        <v>91</v>
      </c>
      <c r="P43" t="s">
        <v>91</v>
      </c>
      <c r="Q43" t="s">
        <v>91</v>
      </c>
      <c r="R43" t="s">
        <v>91</v>
      </c>
      <c r="S43" t="s">
        <v>91</v>
      </c>
      <c r="T43" t="s">
        <v>91</v>
      </c>
      <c r="U43" t="s">
        <v>91</v>
      </c>
      <c r="V43" t="s">
        <v>91</v>
      </c>
      <c r="W43" t="s">
        <v>91</v>
      </c>
      <c r="X43" t="s">
        <v>91</v>
      </c>
      <c r="Y43" t="s">
        <v>91</v>
      </c>
      <c r="Z43" t="s">
        <v>91</v>
      </c>
      <c r="AA43" t="s">
        <v>91</v>
      </c>
      <c r="AB43" t="s">
        <v>91</v>
      </c>
      <c r="AC43" t="s">
        <v>91</v>
      </c>
      <c r="AD43" t="s">
        <v>91</v>
      </c>
      <c r="AE43" t="s">
        <v>91</v>
      </c>
      <c r="AF43" t="s">
        <v>91</v>
      </c>
      <c r="AG43" t="s">
        <v>91</v>
      </c>
      <c r="AH43" t="s">
        <v>91</v>
      </c>
      <c r="AI43" t="s">
        <v>91</v>
      </c>
    </row>
    <row r="44" spans="1:35" ht="21" x14ac:dyDescent="0.3">
      <c r="A44" t="s">
        <v>550</v>
      </c>
      <c r="B44" s="11">
        <v>34</v>
      </c>
      <c r="D44">
        <v>43</v>
      </c>
      <c r="E44" s="4">
        <v>44577</v>
      </c>
      <c r="F44" t="s">
        <v>33</v>
      </c>
      <c r="G44" t="s">
        <v>37</v>
      </c>
      <c r="H44" t="s">
        <v>80</v>
      </c>
      <c r="I44" t="s">
        <v>129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  <c r="O44" t="s">
        <v>91</v>
      </c>
      <c r="P44" t="s">
        <v>91</v>
      </c>
      <c r="Q44" t="s">
        <v>91</v>
      </c>
      <c r="R44" t="s">
        <v>91</v>
      </c>
      <c r="S44" t="s">
        <v>91</v>
      </c>
      <c r="T44" t="s">
        <v>91</v>
      </c>
      <c r="U44" t="s">
        <v>91</v>
      </c>
      <c r="V44" t="s">
        <v>91</v>
      </c>
      <c r="W44" t="s">
        <v>91</v>
      </c>
      <c r="X44" t="s">
        <v>91</v>
      </c>
      <c r="Y44" t="s">
        <v>91</v>
      </c>
      <c r="Z44" t="s">
        <v>91</v>
      </c>
      <c r="AA44" t="s">
        <v>91</v>
      </c>
      <c r="AB44" t="s">
        <v>91</v>
      </c>
      <c r="AC44" t="s">
        <v>91</v>
      </c>
      <c r="AD44" t="s">
        <v>91</v>
      </c>
      <c r="AE44" t="s">
        <v>91</v>
      </c>
      <c r="AF44" t="s">
        <v>91</v>
      </c>
      <c r="AG44" t="s">
        <v>91</v>
      </c>
      <c r="AH44" t="s">
        <v>91</v>
      </c>
      <c r="AI44" t="s">
        <v>91</v>
      </c>
    </row>
    <row r="45" spans="1:35" ht="21" x14ac:dyDescent="0.3">
      <c r="A45" t="s">
        <v>550</v>
      </c>
      <c r="B45" s="11">
        <v>34</v>
      </c>
      <c r="D45">
        <v>44</v>
      </c>
      <c r="E45" s="4">
        <v>44579</v>
      </c>
      <c r="F45" t="s">
        <v>33</v>
      </c>
      <c r="H45" t="s">
        <v>89</v>
      </c>
      <c r="I45" t="s">
        <v>130</v>
      </c>
      <c r="J45" t="s">
        <v>91</v>
      </c>
      <c r="K45" t="s">
        <v>91</v>
      </c>
      <c r="L45" t="s">
        <v>91</v>
      </c>
      <c r="M45" t="s">
        <v>91</v>
      </c>
      <c r="N45" t="s">
        <v>91</v>
      </c>
      <c r="O45" t="s">
        <v>91</v>
      </c>
      <c r="P45" t="s">
        <v>91</v>
      </c>
      <c r="Q45" t="s">
        <v>91</v>
      </c>
      <c r="R45" t="s">
        <v>91</v>
      </c>
      <c r="S45" t="s">
        <v>91</v>
      </c>
      <c r="T45" t="s">
        <v>91</v>
      </c>
      <c r="U45" t="s">
        <v>91</v>
      </c>
      <c r="V45" t="s">
        <v>91</v>
      </c>
      <c r="W45" t="s">
        <v>91</v>
      </c>
      <c r="X45" t="s">
        <v>91</v>
      </c>
      <c r="Y45" t="s">
        <v>91</v>
      </c>
      <c r="Z45" t="s">
        <v>91</v>
      </c>
      <c r="AA45" t="s">
        <v>91</v>
      </c>
      <c r="AB45" t="s">
        <v>91</v>
      </c>
      <c r="AC45" t="s">
        <v>91</v>
      </c>
      <c r="AD45" t="s">
        <v>91</v>
      </c>
      <c r="AE45" t="s">
        <v>91</v>
      </c>
      <c r="AF45" t="s">
        <v>91</v>
      </c>
      <c r="AG45" t="s">
        <v>91</v>
      </c>
      <c r="AH45" t="s">
        <v>91</v>
      </c>
      <c r="AI45" t="s">
        <v>91</v>
      </c>
    </row>
    <row r="46" spans="1:35" ht="21" x14ac:dyDescent="0.3">
      <c r="A46" t="s">
        <v>550</v>
      </c>
      <c r="B46" s="11">
        <v>34</v>
      </c>
      <c r="D46">
        <v>45</v>
      </c>
      <c r="E46" s="4">
        <v>44581</v>
      </c>
      <c r="F46" t="s">
        <v>33</v>
      </c>
      <c r="H46" t="s">
        <v>108</v>
      </c>
      <c r="I46" t="s">
        <v>131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  <c r="O46" t="s">
        <v>91</v>
      </c>
      <c r="P46" t="s">
        <v>91</v>
      </c>
      <c r="Q46" t="s">
        <v>91</v>
      </c>
      <c r="R46" t="s">
        <v>91</v>
      </c>
      <c r="S46" t="s">
        <v>91</v>
      </c>
      <c r="T46" t="s">
        <v>91</v>
      </c>
      <c r="U46" t="s">
        <v>91</v>
      </c>
      <c r="V46" t="s">
        <v>91</v>
      </c>
      <c r="W46" t="s">
        <v>91</v>
      </c>
      <c r="X46" t="s">
        <v>91</v>
      </c>
      <c r="Y46" t="s">
        <v>91</v>
      </c>
      <c r="Z46" t="s">
        <v>91</v>
      </c>
      <c r="AA46" t="s">
        <v>91</v>
      </c>
      <c r="AB46" t="s">
        <v>91</v>
      </c>
      <c r="AC46" t="s">
        <v>91</v>
      </c>
      <c r="AD46" t="s">
        <v>91</v>
      </c>
      <c r="AE46" t="s">
        <v>91</v>
      </c>
      <c r="AF46" t="s">
        <v>91</v>
      </c>
      <c r="AG46" t="s">
        <v>91</v>
      </c>
      <c r="AH46" t="s">
        <v>91</v>
      </c>
      <c r="AI46" t="s">
        <v>91</v>
      </c>
    </row>
    <row r="47" spans="1:35" ht="21" x14ac:dyDescent="0.3">
      <c r="A47" t="s">
        <v>550</v>
      </c>
      <c r="B47" s="11">
        <v>34</v>
      </c>
      <c r="D47">
        <v>46</v>
      </c>
      <c r="E47" s="4">
        <v>44582</v>
      </c>
      <c r="F47" t="s">
        <v>33</v>
      </c>
      <c r="H47" t="s">
        <v>76</v>
      </c>
      <c r="I47" t="s">
        <v>132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  <c r="O47" t="s">
        <v>91</v>
      </c>
      <c r="P47" t="s">
        <v>91</v>
      </c>
      <c r="Q47" t="s">
        <v>91</v>
      </c>
      <c r="R47" t="s">
        <v>91</v>
      </c>
      <c r="S47" t="s">
        <v>91</v>
      </c>
      <c r="T47" t="s">
        <v>91</v>
      </c>
      <c r="U47" t="s">
        <v>91</v>
      </c>
      <c r="V47" t="s">
        <v>91</v>
      </c>
      <c r="W47" t="s">
        <v>91</v>
      </c>
      <c r="X47" t="s">
        <v>91</v>
      </c>
      <c r="Y47" t="s">
        <v>91</v>
      </c>
      <c r="Z47" t="s">
        <v>91</v>
      </c>
      <c r="AA47" t="s">
        <v>91</v>
      </c>
      <c r="AB47" t="s">
        <v>91</v>
      </c>
      <c r="AC47" t="s">
        <v>91</v>
      </c>
      <c r="AD47" t="s">
        <v>91</v>
      </c>
      <c r="AE47" t="s">
        <v>91</v>
      </c>
      <c r="AF47" t="s">
        <v>91</v>
      </c>
      <c r="AG47" t="s">
        <v>91</v>
      </c>
      <c r="AH47" t="s">
        <v>91</v>
      </c>
      <c r="AI47" t="s">
        <v>91</v>
      </c>
    </row>
    <row r="48" spans="1:35" ht="21" x14ac:dyDescent="0.3">
      <c r="A48" t="s">
        <v>550</v>
      </c>
      <c r="B48" s="11">
        <v>34</v>
      </c>
      <c r="D48">
        <v>47</v>
      </c>
      <c r="E48" s="4">
        <v>44584</v>
      </c>
      <c r="F48" t="s">
        <v>33</v>
      </c>
      <c r="H48" t="s">
        <v>118</v>
      </c>
      <c r="I48" t="s">
        <v>133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  <c r="O48" t="s">
        <v>91</v>
      </c>
      <c r="P48" t="s">
        <v>91</v>
      </c>
      <c r="Q48" t="s">
        <v>91</v>
      </c>
      <c r="R48" t="s">
        <v>91</v>
      </c>
      <c r="S48" t="s">
        <v>91</v>
      </c>
      <c r="T48" t="s">
        <v>91</v>
      </c>
      <c r="U48" t="s">
        <v>91</v>
      </c>
      <c r="V48" t="s">
        <v>91</v>
      </c>
      <c r="W48" t="s">
        <v>91</v>
      </c>
      <c r="X48" t="s">
        <v>91</v>
      </c>
      <c r="Y48" t="s">
        <v>91</v>
      </c>
      <c r="Z48" t="s">
        <v>91</v>
      </c>
      <c r="AA48" t="s">
        <v>91</v>
      </c>
      <c r="AB48" t="s">
        <v>91</v>
      </c>
      <c r="AC48" t="s">
        <v>91</v>
      </c>
      <c r="AD48" t="s">
        <v>91</v>
      </c>
      <c r="AE48" t="s">
        <v>91</v>
      </c>
      <c r="AF48" t="s">
        <v>91</v>
      </c>
      <c r="AG48" t="s">
        <v>91</v>
      </c>
      <c r="AH48" t="s">
        <v>91</v>
      </c>
      <c r="AI48" t="s">
        <v>91</v>
      </c>
    </row>
    <row r="49" spans="1:35" ht="21" x14ac:dyDescent="0.3">
      <c r="A49" t="s">
        <v>550</v>
      </c>
      <c r="B49" s="11">
        <v>34</v>
      </c>
      <c r="D49">
        <v>48</v>
      </c>
      <c r="E49" s="4">
        <v>44586</v>
      </c>
      <c r="F49" t="s">
        <v>33</v>
      </c>
      <c r="H49" t="s">
        <v>49</v>
      </c>
      <c r="I49" t="s">
        <v>134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  <c r="O49" t="s">
        <v>91</v>
      </c>
      <c r="P49" t="s">
        <v>91</v>
      </c>
      <c r="Q49" t="s">
        <v>91</v>
      </c>
      <c r="R49" t="s">
        <v>91</v>
      </c>
      <c r="S49" t="s">
        <v>91</v>
      </c>
      <c r="T49" t="s">
        <v>91</v>
      </c>
      <c r="U49" t="s">
        <v>91</v>
      </c>
      <c r="V49" t="s">
        <v>91</v>
      </c>
      <c r="W49" t="s">
        <v>91</v>
      </c>
      <c r="X49" t="s">
        <v>91</v>
      </c>
      <c r="Y49" t="s">
        <v>91</v>
      </c>
      <c r="Z49" t="s">
        <v>91</v>
      </c>
      <c r="AA49" t="s">
        <v>91</v>
      </c>
      <c r="AB49" t="s">
        <v>91</v>
      </c>
      <c r="AC49" t="s">
        <v>91</v>
      </c>
      <c r="AD49" t="s">
        <v>91</v>
      </c>
      <c r="AE49" t="s">
        <v>91</v>
      </c>
      <c r="AF49" t="s">
        <v>91</v>
      </c>
      <c r="AG49" t="s">
        <v>91</v>
      </c>
      <c r="AH49" t="s">
        <v>91</v>
      </c>
      <c r="AI49" t="s">
        <v>91</v>
      </c>
    </row>
    <row r="50" spans="1:35" ht="21" x14ac:dyDescent="0.3">
      <c r="A50" t="s">
        <v>550</v>
      </c>
      <c r="B50" s="11">
        <v>34</v>
      </c>
      <c r="D50">
        <v>49</v>
      </c>
      <c r="E50" s="4">
        <v>44588</v>
      </c>
      <c r="F50" t="s">
        <v>33</v>
      </c>
      <c r="H50" t="s">
        <v>80</v>
      </c>
      <c r="I50" t="s">
        <v>135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  <c r="O50" t="s">
        <v>91</v>
      </c>
      <c r="P50" t="s">
        <v>91</v>
      </c>
      <c r="Q50" t="s">
        <v>91</v>
      </c>
      <c r="R50" t="s">
        <v>91</v>
      </c>
      <c r="S50" t="s">
        <v>91</v>
      </c>
      <c r="T50" t="s">
        <v>91</v>
      </c>
      <c r="U50" t="s">
        <v>91</v>
      </c>
      <c r="V50" t="s">
        <v>91</v>
      </c>
      <c r="W50" t="s">
        <v>91</v>
      </c>
      <c r="X50" t="s">
        <v>91</v>
      </c>
      <c r="Y50" t="s">
        <v>91</v>
      </c>
      <c r="Z50" t="s">
        <v>91</v>
      </c>
      <c r="AA50" t="s">
        <v>91</v>
      </c>
      <c r="AB50" t="s">
        <v>91</v>
      </c>
      <c r="AC50" t="s">
        <v>91</v>
      </c>
      <c r="AD50" t="s">
        <v>91</v>
      </c>
      <c r="AE50" t="s">
        <v>91</v>
      </c>
      <c r="AF50" t="s">
        <v>91</v>
      </c>
      <c r="AG50" t="s">
        <v>91</v>
      </c>
      <c r="AH50" t="s">
        <v>91</v>
      </c>
      <c r="AI50" t="s">
        <v>91</v>
      </c>
    </row>
    <row r="51" spans="1:35" ht="21" x14ac:dyDescent="0.3">
      <c r="A51" t="s">
        <v>550</v>
      </c>
      <c r="B51" s="11">
        <v>34</v>
      </c>
      <c r="D51">
        <v>50</v>
      </c>
      <c r="E51" s="4">
        <v>44590</v>
      </c>
      <c r="F51" t="s">
        <v>33</v>
      </c>
      <c r="H51" t="s">
        <v>85</v>
      </c>
      <c r="I51" t="s">
        <v>136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  <c r="O51" t="s">
        <v>91</v>
      </c>
      <c r="P51" t="s">
        <v>91</v>
      </c>
      <c r="Q51" t="s">
        <v>91</v>
      </c>
      <c r="R51" t="s">
        <v>91</v>
      </c>
      <c r="S51" t="s">
        <v>91</v>
      </c>
      <c r="T51" t="s">
        <v>91</v>
      </c>
      <c r="U51" t="s">
        <v>91</v>
      </c>
      <c r="V51" t="s">
        <v>91</v>
      </c>
      <c r="W51" t="s">
        <v>91</v>
      </c>
      <c r="X51" t="s">
        <v>91</v>
      </c>
      <c r="Y51" t="s">
        <v>91</v>
      </c>
      <c r="Z51" t="s">
        <v>91</v>
      </c>
      <c r="AA51" t="s">
        <v>91</v>
      </c>
      <c r="AB51" t="s">
        <v>91</v>
      </c>
      <c r="AC51" t="s">
        <v>91</v>
      </c>
      <c r="AD51" t="s">
        <v>91</v>
      </c>
      <c r="AE51" t="s">
        <v>91</v>
      </c>
      <c r="AF51" t="s">
        <v>91</v>
      </c>
      <c r="AG51" t="s">
        <v>91</v>
      </c>
      <c r="AH51" t="s">
        <v>91</v>
      </c>
      <c r="AI51" t="s">
        <v>91</v>
      </c>
    </row>
    <row r="52" spans="1:35" ht="21" x14ac:dyDescent="0.3">
      <c r="A52" t="s">
        <v>550</v>
      </c>
      <c r="B52" s="11">
        <v>34</v>
      </c>
      <c r="D52">
        <v>51</v>
      </c>
      <c r="E52" s="4">
        <v>44592</v>
      </c>
      <c r="F52" t="s">
        <v>33</v>
      </c>
      <c r="G52" t="s">
        <v>37</v>
      </c>
      <c r="H52" t="s">
        <v>76</v>
      </c>
      <c r="I52" t="s">
        <v>137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  <c r="O52" t="s">
        <v>91</v>
      </c>
      <c r="P52" t="s">
        <v>91</v>
      </c>
      <c r="Q52" t="s">
        <v>91</v>
      </c>
      <c r="R52" t="s">
        <v>91</v>
      </c>
      <c r="S52" t="s">
        <v>91</v>
      </c>
      <c r="T52" t="s">
        <v>91</v>
      </c>
      <c r="U52" t="s">
        <v>91</v>
      </c>
      <c r="V52" t="s">
        <v>91</v>
      </c>
      <c r="W52" t="s">
        <v>91</v>
      </c>
      <c r="X52" t="s">
        <v>91</v>
      </c>
      <c r="Y52" t="s">
        <v>91</v>
      </c>
      <c r="Z52" t="s">
        <v>91</v>
      </c>
      <c r="AA52" t="s">
        <v>91</v>
      </c>
      <c r="AB52" t="s">
        <v>91</v>
      </c>
      <c r="AC52" t="s">
        <v>91</v>
      </c>
      <c r="AD52" t="s">
        <v>91</v>
      </c>
      <c r="AE52" t="s">
        <v>91</v>
      </c>
      <c r="AF52" t="s">
        <v>91</v>
      </c>
      <c r="AG52" t="s">
        <v>91</v>
      </c>
      <c r="AH52" t="s">
        <v>91</v>
      </c>
      <c r="AI52" t="s">
        <v>91</v>
      </c>
    </row>
    <row r="53" spans="1:35" ht="21" x14ac:dyDescent="0.3">
      <c r="A53" t="s">
        <v>550</v>
      </c>
      <c r="B53" s="11">
        <v>34</v>
      </c>
      <c r="D53">
        <v>52</v>
      </c>
      <c r="E53" s="4">
        <v>44593</v>
      </c>
      <c r="F53" t="s">
        <v>33</v>
      </c>
      <c r="G53" t="s">
        <v>37</v>
      </c>
      <c r="H53" t="s">
        <v>102</v>
      </c>
      <c r="I53" t="s">
        <v>138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  <c r="O53" t="s">
        <v>91</v>
      </c>
      <c r="P53" t="s">
        <v>91</v>
      </c>
      <c r="Q53" t="s">
        <v>91</v>
      </c>
      <c r="R53" t="s">
        <v>91</v>
      </c>
      <c r="S53" t="s">
        <v>91</v>
      </c>
      <c r="T53" t="s">
        <v>91</v>
      </c>
      <c r="U53" t="s">
        <v>91</v>
      </c>
      <c r="V53" t="s">
        <v>91</v>
      </c>
      <c r="W53" t="s">
        <v>91</v>
      </c>
      <c r="X53" t="s">
        <v>91</v>
      </c>
      <c r="Y53" t="s">
        <v>91</v>
      </c>
      <c r="Z53" t="s">
        <v>91</v>
      </c>
      <c r="AA53" t="s">
        <v>91</v>
      </c>
      <c r="AB53" t="s">
        <v>91</v>
      </c>
      <c r="AC53" t="s">
        <v>91</v>
      </c>
      <c r="AD53" t="s">
        <v>91</v>
      </c>
      <c r="AE53" t="s">
        <v>91</v>
      </c>
      <c r="AF53" t="s">
        <v>91</v>
      </c>
      <c r="AG53" t="s">
        <v>91</v>
      </c>
      <c r="AH53" t="s">
        <v>91</v>
      </c>
      <c r="AI53" t="s">
        <v>91</v>
      </c>
    </row>
    <row r="54" spans="1:35" ht="21" x14ac:dyDescent="0.3">
      <c r="A54" t="s">
        <v>550</v>
      </c>
      <c r="B54" s="11">
        <v>34</v>
      </c>
      <c r="D54">
        <v>53</v>
      </c>
      <c r="E54" s="4">
        <v>44595</v>
      </c>
      <c r="F54" t="s">
        <v>33</v>
      </c>
      <c r="H54" t="s">
        <v>66</v>
      </c>
      <c r="I54" t="s">
        <v>139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  <c r="O54" t="s">
        <v>91</v>
      </c>
      <c r="P54" t="s">
        <v>91</v>
      </c>
      <c r="Q54" t="s">
        <v>91</v>
      </c>
      <c r="R54" t="s">
        <v>91</v>
      </c>
      <c r="S54" t="s">
        <v>91</v>
      </c>
      <c r="T54" t="s">
        <v>91</v>
      </c>
      <c r="U54" t="s">
        <v>91</v>
      </c>
      <c r="V54" t="s">
        <v>91</v>
      </c>
      <c r="W54" t="s">
        <v>91</v>
      </c>
      <c r="X54" t="s">
        <v>91</v>
      </c>
      <c r="Y54" t="s">
        <v>91</v>
      </c>
      <c r="Z54" t="s">
        <v>91</v>
      </c>
      <c r="AA54" t="s">
        <v>91</v>
      </c>
      <c r="AB54" t="s">
        <v>91</v>
      </c>
      <c r="AC54" t="s">
        <v>91</v>
      </c>
      <c r="AD54" t="s">
        <v>91</v>
      </c>
      <c r="AE54" t="s">
        <v>91</v>
      </c>
      <c r="AF54" t="s">
        <v>91</v>
      </c>
      <c r="AG54" t="s">
        <v>91</v>
      </c>
      <c r="AH54" t="s">
        <v>91</v>
      </c>
      <c r="AI54" t="s">
        <v>91</v>
      </c>
    </row>
    <row r="55" spans="1:35" ht="21" x14ac:dyDescent="0.3">
      <c r="A55" t="s">
        <v>550</v>
      </c>
      <c r="B55" s="11">
        <v>34</v>
      </c>
      <c r="D55">
        <v>54</v>
      </c>
      <c r="E55" s="4">
        <v>44599</v>
      </c>
      <c r="F55" t="s">
        <v>33</v>
      </c>
      <c r="G55" t="s">
        <v>37</v>
      </c>
      <c r="H55" t="s">
        <v>68</v>
      </c>
      <c r="I55" t="s">
        <v>140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  <c r="O55" t="s">
        <v>91</v>
      </c>
      <c r="P55" t="s">
        <v>91</v>
      </c>
      <c r="Q55" t="s">
        <v>91</v>
      </c>
      <c r="R55" t="s">
        <v>91</v>
      </c>
      <c r="S55" t="s">
        <v>91</v>
      </c>
      <c r="T55" t="s">
        <v>91</v>
      </c>
      <c r="U55" t="s">
        <v>91</v>
      </c>
      <c r="V55" t="s">
        <v>91</v>
      </c>
      <c r="W55" t="s">
        <v>91</v>
      </c>
      <c r="X55" t="s">
        <v>91</v>
      </c>
      <c r="Y55" t="s">
        <v>91</v>
      </c>
      <c r="Z55" t="s">
        <v>91</v>
      </c>
      <c r="AA55" t="s">
        <v>91</v>
      </c>
      <c r="AB55" t="s">
        <v>91</v>
      </c>
      <c r="AC55" t="s">
        <v>91</v>
      </c>
      <c r="AD55" t="s">
        <v>91</v>
      </c>
      <c r="AE55" t="s">
        <v>91</v>
      </c>
      <c r="AF55" t="s">
        <v>91</v>
      </c>
      <c r="AG55" t="s">
        <v>91</v>
      </c>
      <c r="AH55" t="s">
        <v>91</v>
      </c>
      <c r="AI55" t="s">
        <v>91</v>
      </c>
    </row>
    <row r="56" spans="1:35" ht="21" x14ac:dyDescent="0.3">
      <c r="A56" t="s">
        <v>550</v>
      </c>
      <c r="B56" s="11">
        <v>34</v>
      </c>
      <c r="D56">
        <v>55</v>
      </c>
      <c r="E56" s="4">
        <v>44601</v>
      </c>
      <c r="F56" t="s">
        <v>33</v>
      </c>
      <c r="G56" t="s">
        <v>37</v>
      </c>
      <c r="H56" t="s">
        <v>118</v>
      </c>
      <c r="I56" t="s">
        <v>141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  <c r="O56" t="s">
        <v>91</v>
      </c>
      <c r="P56" t="s">
        <v>91</v>
      </c>
      <c r="Q56" t="s">
        <v>91</v>
      </c>
      <c r="R56" t="s">
        <v>91</v>
      </c>
      <c r="S56" t="s">
        <v>91</v>
      </c>
      <c r="T56" t="s">
        <v>91</v>
      </c>
      <c r="U56" t="s">
        <v>91</v>
      </c>
      <c r="V56" t="s">
        <v>91</v>
      </c>
      <c r="W56" t="s">
        <v>91</v>
      </c>
      <c r="X56" t="s">
        <v>91</v>
      </c>
      <c r="Y56" t="s">
        <v>91</v>
      </c>
      <c r="Z56" t="s">
        <v>91</v>
      </c>
      <c r="AA56" t="s">
        <v>91</v>
      </c>
      <c r="AB56" t="s">
        <v>91</v>
      </c>
      <c r="AC56" t="s">
        <v>91</v>
      </c>
      <c r="AD56" t="s">
        <v>91</v>
      </c>
      <c r="AE56" t="s">
        <v>91</v>
      </c>
      <c r="AF56" t="s">
        <v>91</v>
      </c>
      <c r="AG56" t="s">
        <v>91</v>
      </c>
      <c r="AH56" t="s">
        <v>91</v>
      </c>
      <c r="AI56" t="s">
        <v>91</v>
      </c>
    </row>
    <row r="57" spans="1:35" ht="21" x14ac:dyDescent="0.3">
      <c r="A57" t="s">
        <v>550</v>
      </c>
      <c r="B57" s="11">
        <v>34</v>
      </c>
      <c r="D57">
        <v>56</v>
      </c>
      <c r="E57" s="4">
        <v>44602</v>
      </c>
      <c r="F57" t="s">
        <v>33</v>
      </c>
      <c r="H57" t="s">
        <v>110</v>
      </c>
      <c r="I57" t="s">
        <v>142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  <c r="O57" t="s">
        <v>91</v>
      </c>
      <c r="P57" t="s">
        <v>91</v>
      </c>
      <c r="Q57" t="s">
        <v>91</v>
      </c>
      <c r="R57" t="s">
        <v>91</v>
      </c>
      <c r="S57" t="s">
        <v>91</v>
      </c>
      <c r="T57" t="s">
        <v>91</v>
      </c>
      <c r="U57" t="s">
        <v>91</v>
      </c>
      <c r="V57" t="s">
        <v>91</v>
      </c>
      <c r="W57" t="s">
        <v>91</v>
      </c>
      <c r="X57" t="s">
        <v>91</v>
      </c>
      <c r="Y57" t="s">
        <v>91</v>
      </c>
      <c r="Z57" t="s">
        <v>91</v>
      </c>
      <c r="AA57" t="s">
        <v>91</v>
      </c>
      <c r="AB57" t="s">
        <v>91</v>
      </c>
      <c r="AC57" t="s">
        <v>91</v>
      </c>
      <c r="AD57" t="s">
        <v>91</v>
      </c>
      <c r="AE57" t="s">
        <v>91</v>
      </c>
      <c r="AF57" t="s">
        <v>91</v>
      </c>
      <c r="AG57" t="s">
        <v>91</v>
      </c>
      <c r="AH57" t="s">
        <v>91</v>
      </c>
      <c r="AI57" t="s">
        <v>91</v>
      </c>
    </row>
    <row r="58" spans="1:35" ht="21" x14ac:dyDescent="0.3">
      <c r="A58" t="s">
        <v>550</v>
      </c>
      <c r="B58" s="11">
        <v>34</v>
      </c>
      <c r="D58">
        <v>57</v>
      </c>
      <c r="E58" s="4">
        <v>44604</v>
      </c>
      <c r="F58" t="s">
        <v>33</v>
      </c>
      <c r="H58" t="s">
        <v>62</v>
      </c>
      <c r="I58" t="s">
        <v>143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  <c r="O58" t="s">
        <v>91</v>
      </c>
      <c r="P58" t="s">
        <v>91</v>
      </c>
      <c r="Q58" t="s">
        <v>91</v>
      </c>
      <c r="R58" t="s">
        <v>91</v>
      </c>
      <c r="S58" t="s">
        <v>91</v>
      </c>
      <c r="T58" t="s">
        <v>91</v>
      </c>
      <c r="U58" t="s">
        <v>91</v>
      </c>
      <c r="V58" t="s">
        <v>91</v>
      </c>
      <c r="W58" t="s">
        <v>91</v>
      </c>
      <c r="X58" t="s">
        <v>91</v>
      </c>
      <c r="Y58" t="s">
        <v>91</v>
      </c>
      <c r="Z58" t="s">
        <v>91</v>
      </c>
      <c r="AA58" t="s">
        <v>91</v>
      </c>
      <c r="AB58" t="s">
        <v>91</v>
      </c>
      <c r="AC58" t="s">
        <v>91</v>
      </c>
      <c r="AD58" t="s">
        <v>91</v>
      </c>
      <c r="AE58" t="s">
        <v>91</v>
      </c>
      <c r="AF58" t="s">
        <v>91</v>
      </c>
      <c r="AG58" t="s">
        <v>91</v>
      </c>
      <c r="AH58" t="s">
        <v>91</v>
      </c>
      <c r="AI58" t="s">
        <v>91</v>
      </c>
    </row>
    <row r="59" spans="1:35" ht="21" x14ac:dyDescent="0.3">
      <c r="A59" t="s">
        <v>550</v>
      </c>
      <c r="B59" s="11">
        <v>34</v>
      </c>
      <c r="D59">
        <v>58</v>
      </c>
      <c r="E59" s="4">
        <v>44606</v>
      </c>
      <c r="F59" t="s">
        <v>33</v>
      </c>
      <c r="G59" t="s">
        <v>37</v>
      </c>
      <c r="H59" t="s">
        <v>64</v>
      </c>
      <c r="I59" t="s">
        <v>144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  <c r="O59" t="s">
        <v>91</v>
      </c>
      <c r="P59" t="s">
        <v>91</v>
      </c>
      <c r="Q59" t="s">
        <v>91</v>
      </c>
      <c r="R59" t="s">
        <v>91</v>
      </c>
      <c r="S59" t="s">
        <v>91</v>
      </c>
      <c r="T59" t="s">
        <v>91</v>
      </c>
      <c r="U59" t="s">
        <v>91</v>
      </c>
      <c r="V59" t="s">
        <v>91</v>
      </c>
      <c r="W59" t="s">
        <v>91</v>
      </c>
      <c r="X59" t="s">
        <v>91</v>
      </c>
      <c r="Y59" t="s">
        <v>91</v>
      </c>
      <c r="Z59" t="s">
        <v>91</v>
      </c>
      <c r="AA59" t="s">
        <v>91</v>
      </c>
      <c r="AB59" t="s">
        <v>91</v>
      </c>
      <c r="AC59" t="s">
        <v>91</v>
      </c>
      <c r="AD59" t="s">
        <v>91</v>
      </c>
      <c r="AE59" t="s">
        <v>91</v>
      </c>
      <c r="AF59" t="s">
        <v>91</v>
      </c>
      <c r="AG59" t="s">
        <v>91</v>
      </c>
      <c r="AH59" t="s">
        <v>91</v>
      </c>
      <c r="AI59" t="s">
        <v>91</v>
      </c>
    </row>
    <row r="60" spans="1:35" ht="21" x14ac:dyDescent="0.3">
      <c r="A60" t="s">
        <v>550</v>
      </c>
      <c r="B60" s="11">
        <v>34</v>
      </c>
      <c r="D60">
        <v>59</v>
      </c>
      <c r="E60" s="4">
        <v>44608</v>
      </c>
      <c r="F60" t="s">
        <v>33</v>
      </c>
      <c r="H60" t="s">
        <v>34</v>
      </c>
      <c r="I60" t="s">
        <v>145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  <c r="O60" t="s">
        <v>91</v>
      </c>
      <c r="P60" t="s">
        <v>91</v>
      </c>
      <c r="Q60" t="s">
        <v>91</v>
      </c>
      <c r="R60" t="s">
        <v>91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91</v>
      </c>
      <c r="Y60" t="s">
        <v>91</v>
      </c>
      <c r="Z60" t="s">
        <v>91</v>
      </c>
      <c r="AA60" t="s">
        <v>91</v>
      </c>
      <c r="AB60" t="s">
        <v>91</v>
      </c>
      <c r="AC60" t="s">
        <v>91</v>
      </c>
      <c r="AD60" t="s">
        <v>91</v>
      </c>
      <c r="AE60" t="s">
        <v>91</v>
      </c>
      <c r="AF60" t="s">
        <v>91</v>
      </c>
      <c r="AG60" t="s">
        <v>91</v>
      </c>
      <c r="AH60" t="s">
        <v>91</v>
      </c>
      <c r="AI60" t="s">
        <v>91</v>
      </c>
    </row>
    <row r="61" spans="1:35" ht="21" x14ac:dyDescent="0.3">
      <c r="A61" t="s">
        <v>550</v>
      </c>
      <c r="B61" s="11">
        <v>34</v>
      </c>
      <c r="D61">
        <v>60</v>
      </c>
      <c r="E61" s="4">
        <v>44616</v>
      </c>
      <c r="F61" t="s">
        <v>33</v>
      </c>
      <c r="G61" t="s">
        <v>37</v>
      </c>
      <c r="H61" t="s">
        <v>96</v>
      </c>
      <c r="I61" t="s">
        <v>146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  <c r="O61" t="s">
        <v>91</v>
      </c>
      <c r="P61" t="s">
        <v>91</v>
      </c>
      <c r="Q61" t="s">
        <v>91</v>
      </c>
      <c r="R61" t="s">
        <v>91</v>
      </c>
      <c r="S61" t="s">
        <v>91</v>
      </c>
      <c r="T61" t="s">
        <v>91</v>
      </c>
      <c r="U61" t="s">
        <v>91</v>
      </c>
      <c r="V61" t="s">
        <v>91</v>
      </c>
      <c r="W61" t="s">
        <v>91</v>
      </c>
      <c r="X61" t="s">
        <v>91</v>
      </c>
      <c r="Y61" t="s">
        <v>91</v>
      </c>
      <c r="Z61" t="s">
        <v>91</v>
      </c>
      <c r="AA61" t="s">
        <v>91</v>
      </c>
      <c r="AB61" t="s">
        <v>91</v>
      </c>
      <c r="AC61" t="s">
        <v>91</v>
      </c>
      <c r="AD61" t="s">
        <v>91</v>
      </c>
      <c r="AE61" t="s">
        <v>91</v>
      </c>
      <c r="AF61" t="s">
        <v>91</v>
      </c>
      <c r="AG61" t="s">
        <v>91</v>
      </c>
      <c r="AH61" t="s">
        <v>91</v>
      </c>
      <c r="AI61" t="s">
        <v>91</v>
      </c>
    </row>
    <row r="62" spans="1:35" ht="21" x14ac:dyDescent="0.3">
      <c r="A62" t="s">
        <v>550</v>
      </c>
      <c r="B62" s="11">
        <v>34</v>
      </c>
      <c r="D62">
        <v>61</v>
      </c>
      <c r="E62" s="4">
        <v>44619</v>
      </c>
      <c r="F62" t="s">
        <v>33</v>
      </c>
      <c r="H62" t="s">
        <v>49</v>
      </c>
      <c r="I62" t="s">
        <v>147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  <c r="O62" t="s">
        <v>91</v>
      </c>
      <c r="P62" t="s">
        <v>91</v>
      </c>
      <c r="Q62" t="s">
        <v>91</v>
      </c>
      <c r="R62" t="s">
        <v>91</v>
      </c>
      <c r="S62" t="s">
        <v>91</v>
      </c>
      <c r="T62" t="s">
        <v>91</v>
      </c>
      <c r="U62" t="s">
        <v>91</v>
      </c>
      <c r="V62" t="s">
        <v>91</v>
      </c>
      <c r="W62" t="s">
        <v>91</v>
      </c>
      <c r="X62" t="s">
        <v>91</v>
      </c>
      <c r="Y62" t="s">
        <v>91</v>
      </c>
      <c r="Z62" t="s">
        <v>91</v>
      </c>
      <c r="AA62" t="s">
        <v>91</v>
      </c>
      <c r="AB62" t="s">
        <v>91</v>
      </c>
      <c r="AC62" t="s">
        <v>91</v>
      </c>
      <c r="AD62" t="s">
        <v>91</v>
      </c>
      <c r="AE62" t="s">
        <v>91</v>
      </c>
      <c r="AF62" t="s">
        <v>91</v>
      </c>
      <c r="AG62" t="s">
        <v>91</v>
      </c>
      <c r="AH62" t="s">
        <v>91</v>
      </c>
      <c r="AI62" t="s">
        <v>91</v>
      </c>
    </row>
    <row r="63" spans="1:35" ht="21" x14ac:dyDescent="0.3">
      <c r="A63" t="s">
        <v>550</v>
      </c>
      <c r="B63" s="11">
        <v>34</v>
      </c>
      <c r="D63">
        <v>62</v>
      </c>
      <c r="E63" s="4">
        <v>44621</v>
      </c>
      <c r="F63" t="s">
        <v>33</v>
      </c>
      <c r="G63" t="s">
        <v>37</v>
      </c>
      <c r="H63" t="s">
        <v>80</v>
      </c>
      <c r="I63" t="s">
        <v>148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  <c r="O63" t="s">
        <v>91</v>
      </c>
      <c r="P63" t="s">
        <v>91</v>
      </c>
      <c r="Q63" t="s">
        <v>91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t="s">
        <v>91</v>
      </c>
      <c r="X63" t="s">
        <v>91</v>
      </c>
      <c r="Y63" t="s">
        <v>91</v>
      </c>
      <c r="Z63" t="s">
        <v>91</v>
      </c>
      <c r="AA63" t="s">
        <v>91</v>
      </c>
      <c r="AB63" t="s">
        <v>91</v>
      </c>
      <c r="AC63" t="s">
        <v>91</v>
      </c>
      <c r="AD63" t="s">
        <v>91</v>
      </c>
      <c r="AE63" t="s">
        <v>91</v>
      </c>
      <c r="AF63" t="s">
        <v>91</v>
      </c>
      <c r="AG63" t="s">
        <v>91</v>
      </c>
      <c r="AH63" t="s">
        <v>91</v>
      </c>
      <c r="AI63" t="s">
        <v>91</v>
      </c>
    </row>
    <row r="64" spans="1:35" ht="21" x14ac:dyDescent="0.3">
      <c r="A64" t="s">
        <v>550</v>
      </c>
      <c r="B64" s="11">
        <v>34</v>
      </c>
      <c r="D64">
        <v>63</v>
      </c>
      <c r="E64" s="4">
        <v>44623</v>
      </c>
      <c r="F64" t="s">
        <v>33</v>
      </c>
      <c r="G64" t="s">
        <v>37</v>
      </c>
      <c r="H64" t="s">
        <v>49</v>
      </c>
      <c r="I64" t="s">
        <v>149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  <c r="O64" t="s">
        <v>91</v>
      </c>
      <c r="P64" t="s">
        <v>91</v>
      </c>
      <c r="Q64" t="s">
        <v>91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t="s">
        <v>91</v>
      </c>
      <c r="X64" t="s">
        <v>91</v>
      </c>
      <c r="Y64" t="s">
        <v>91</v>
      </c>
      <c r="Z64" t="s">
        <v>91</v>
      </c>
      <c r="AA64" t="s">
        <v>91</v>
      </c>
      <c r="AB64" t="s">
        <v>91</v>
      </c>
      <c r="AC64" t="s">
        <v>91</v>
      </c>
      <c r="AD64" t="s">
        <v>91</v>
      </c>
      <c r="AE64" t="s">
        <v>91</v>
      </c>
      <c r="AF64" t="s">
        <v>91</v>
      </c>
      <c r="AG64" t="s">
        <v>91</v>
      </c>
      <c r="AH64" t="s">
        <v>91</v>
      </c>
      <c r="AI64" t="s">
        <v>91</v>
      </c>
    </row>
    <row r="65" spans="1:35" ht="21" x14ac:dyDescent="0.3">
      <c r="A65" t="s">
        <v>550</v>
      </c>
      <c r="B65" s="11">
        <v>34</v>
      </c>
      <c r="D65">
        <v>64</v>
      </c>
      <c r="E65" s="4">
        <v>44625</v>
      </c>
      <c r="F65" t="s">
        <v>33</v>
      </c>
      <c r="G65" t="s">
        <v>37</v>
      </c>
      <c r="H65" t="s">
        <v>62</v>
      </c>
      <c r="I65" t="s">
        <v>150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  <c r="O65" t="s">
        <v>91</v>
      </c>
      <c r="P65" t="s">
        <v>91</v>
      </c>
      <c r="Q65" t="s">
        <v>91</v>
      </c>
      <c r="R65" t="s">
        <v>91</v>
      </c>
      <c r="S65" t="s">
        <v>91</v>
      </c>
      <c r="T65" t="s">
        <v>91</v>
      </c>
      <c r="U65" t="s">
        <v>91</v>
      </c>
      <c r="V65" t="s">
        <v>91</v>
      </c>
      <c r="W65" t="s">
        <v>91</v>
      </c>
      <c r="X65" t="s">
        <v>91</v>
      </c>
      <c r="Y65" t="s">
        <v>91</v>
      </c>
      <c r="Z65" t="s">
        <v>91</v>
      </c>
      <c r="AA65" t="s">
        <v>91</v>
      </c>
      <c r="AB65" t="s">
        <v>91</v>
      </c>
      <c r="AC65" t="s">
        <v>91</v>
      </c>
      <c r="AD65" t="s">
        <v>91</v>
      </c>
      <c r="AE65" t="s">
        <v>91</v>
      </c>
      <c r="AF65" t="s">
        <v>91</v>
      </c>
      <c r="AG65" t="s">
        <v>91</v>
      </c>
      <c r="AH65" t="s">
        <v>91</v>
      </c>
      <c r="AI65" t="s">
        <v>91</v>
      </c>
    </row>
    <row r="66" spans="1:35" ht="21" x14ac:dyDescent="0.3">
      <c r="A66" t="s">
        <v>550</v>
      </c>
      <c r="B66" s="11">
        <v>34</v>
      </c>
      <c r="D66">
        <v>65</v>
      </c>
      <c r="E66" s="4">
        <v>44627</v>
      </c>
      <c r="F66" t="s">
        <v>33</v>
      </c>
      <c r="G66" t="s">
        <v>37</v>
      </c>
      <c r="H66" t="s">
        <v>34</v>
      </c>
      <c r="I66" t="s">
        <v>151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  <c r="O66" t="s">
        <v>91</v>
      </c>
      <c r="P66" t="s">
        <v>91</v>
      </c>
      <c r="Q66" t="s">
        <v>91</v>
      </c>
      <c r="R66" t="s">
        <v>91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91</v>
      </c>
      <c r="Y66" t="s">
        <v>91</v>
      </c>
      <c r="Z66" t="s">
        <v>91</v>
      </c>
      <c r="AA66" t="s">
        <v>91</v>
      </c>
      <c r="AB66" t="s">
        <v>91</v>
      </c>
      <c r="AC66" t="s">
        <v>91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 t="s">
        <v>91</v>
      </c>
    </row>
    <row r="67" spans="1:35" ht="21" x14ac:dyDescent="0.3">
      <c r="A67" t="s">
        <v>550</v>
      </c>
      <c r="B67" s="11">
        <v>34</v>
      </c>
      <c r="D67">
        <v>66</v>
      </c>
      <c r="E67" s="4">
        <v>44628</v>
      </c>
      <c r="F67" t="s">
        <v>33</v>
      </c>
      <c r="H67" t="s">
        <v>64</v>
      </c>
      <c r="I67" t="s">
        <v>152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  <c r="O67" t="s">
        <v>91</v>
      </c>
      <c r="P67" t="s">
        <v>91</v>
      </c>
      <c r="Q67" t="s">
        <v>91</v>
      </c>
      <c r="R67" t="s">
        <v>91</v>
      </c>
      <c r="S67" t="s">
        <v>91</v>
      </c>
      <c r="T67" t="s">
        <v>91</v>
      </c>
      <c r="U67" t="s">
        <v>91</v>
      </c>
      <c r="V67" t="s">
        <v>91</v>
      </c>
      <c r="W67" t="s">
        <v>91</v>
      </c>
      <c r="X67" t="s">
        <v>91</v>
      </c>
      <c r="Y67" t="s">
        <v>91</v>
      </c>
      <c r="Z67" t="s">
        <v>91</v>
      </c>
      <c r="AA67" t="s">
        <v>91</v>
      </c>
      <c r="AB67" t="s">
        <v>91</v>
      </c>
      <c r="AC67" t="s">
        <v>91</v>
      </c>
      <c r="AD67" t="s">
        <v>91</v>
      </c>
      <c r="AE67" t="s">
        <v>91</v>
      </c>
      <c r="AF67" t="s">
        <v>91</v>
      </c>
      <c r="AG67" t="s">
        <v>91</v>
      </c>
      <c r="AH67" t="s">
        <v>91</v>
      </c>
      <c r="AI67" t="s">
        <v>91</v>
      </c>
    </row>
    <row r="68" spans="1:35" ht="21" x14ac:dyDescent="0.3">
      <c r="A68" t="s">
        <v>550</v>
      </c>
      <c r="B68" s="11">
        <v>34</v>
      </c>
      <c r="D68">
        <v>67</v>
      </c>
      <c r="E68" s="4">
        <v>44630</v>
      </c>
      <c r="F68" t="s">
        <v>33</v>
      </c>
      <c r="G68" t="s">
        <v>37</v>
      </c>
      <c r="H68" t="s">
        <v>34</v>
      </c>
      <c r="I68" t="s">
        <v>153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  <c r="O68" t="s">
        <v>91</v>
      </c>
      <c r="P68" t="s">
        <v>91</v>
      </c>
      <c r="Q68" t="s">
        <v>91</v>
      </c>
      <c r="R68" t="s">
        <v>91</v>
      </c>
      <c r="S68" t="s">
        <v>91</v>
      </c>
      <c r="T68" t="s">
        <v>91</v>
      </c>
      <c r="U68" t="s">
        <v>91</v>
      </c>
      <c r="V68" t="s">
        <v>91</v>
      </c>
      <c r="W68" t="s">
        <v>91</v>
      </c>
      <c r="X68" t="s">
        <v>91</v>
      </c>
      <c r="Y68" t="s">
        <v>91</v>
      </c>
      <c r="Z68" t="s">
        <v>91</v>
      </c>
      <c r="AA68" t="s">
        <v>91</v>
      </c>
      <c r="AB68" t="s">
        <v>91</v>
      </c>
      <c r="AC68" t="s">
        <v>91</v>
      </c>
      <c r="AD68" t="s">
        <v>91</v>
      </c>
      <c r="AE68" t="s">
        <v>91</v>
      </c>
      <c r="AF68" t="s">
        <v>91</v>
      </c>
      <c r="AG68" t="s">
        <v>91</v>
      </c>
      <c r="AH68" t="s">
        <v>91</v>
      </c>
      <c r="AI68" t="s">
        <v>91</v>
      </c>
    </row>
    <row r="69" spans="1:35" ht="21" x14ac:dyDescent="0.3">
      <c r="A69" t="s">
        <v>550</v>
      </c>
      <c r="B69" s="11">
        <v>34</v>
      </c>
      <c r="D69">
        <v>68</v>
      </c>
      <c r="E69" s="4">
        <v>44632</v>
      </c>
      <c r="F69" t="s">
        <v>33</v>
      </c>
      <c r="H69" t="s">
        <v>126</v>
      </c>
      <c r="I69" t="s">
        <v>154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  <c r="O69" t="s">
        <v>91</v>
      </c>
      <c r="P69" t="s">
        <v>91</v>
      </c>
      <c r="Q69" t="s">
        <v>91</v>
      </c>
      <c r="R69" t="s">
        <v>91</v>
      </c>
      <c r="S69" t="s">
        <v>91</v>
      </c>
      <c r="T69" t="s">
        <v>91</v>
      </c>
      <c r="U69" t="s">
        <v>91</v>
      </c>
      <c r="V69" t="s">
        <v>91</v>
      </c>
      <c r="W69" t="s">
        <v>91</v>
      </c>
      <c r="X69" t="s">
        <v>91</v>
      </c>
      <c r="Y69" t="s">
        <v>91</v>
      </c>
      <c r="Z69" t="s">
        <v>91</v>
      </c>
      <c r="AA69" t="s">
        <v>91</v>
      </c>
      <c r="AB69" t="s">
        <v>91</v>
      </c>
      <c r="AC69" t="s">
        <v>91</v>
      </c>
      <c r="AD69" t="s">
        <v>91</v>
      </c>
      <c r="AE69" t="s">
        <v>91</v>
      </c>
      <c r="AF69" t="s">
        <v>91</v>
      </c>
      <c r="AG69" t="s">
        <v>91</v>
      </c>
      <c r="AH69" t="s">
        <v>91</v>
      </c>
      <c r="AI69" t="s">
        <v>91</v>
      </c>
    </row>
    <row r="70" spans="1:35" ht="21" x14ac:dyDescent="0.3">
      <c r="A70" t="s">
        <v>550</v>
      </c>
      <c r="B70" s="11">
        <v>35</v>
      </c>
      <c r="C70">
        <v>674</v>
      </c>
      <c r="D70">
        <v>69</v>
      </c>
      <c r="E70" s="4">
        <v>44634</v>
      </c>
      <c r="F70" t="s">
        <v>33</v>
      </c>
      <c r="H70" t="s">
        <v>155</v>
      </c>
      <c r="I70" t="s">
        <v>156</v>
      </c>
      <c r="K70" s="7">
        <v>0.83819444444444446</v>
      </c>
      <c r="L70">
        <v>2</v>
      </c>
      <c r="M70">
        <v>4</v>
      </c>
      <c r="N70">
        <v>0.5</v>
      </c>
      <c r="O70">
        <v>1</v>
      </c>
      <c r="P70">
        <v>3</v>
      </c>
      <c r="Q70">
        <v>0.33300000000000002</v>
      </c>
      <c r="R70">
        <v>1</v>
      </c>
      <c r="S70">
        <v>1</v>
      </c>
      <c r="T70">
        <v>1</v>
      </c>
      <c r="U70">
        <v>0.625</v>
      </c>
      <c r="V70">
        <v>1</v>
      </c>
      <c r="W70">
        <v>2</v>
      </c>
      <c r="X70">
        <v>0.5</v>
      </c>
      <c r="Y70">
        <v>0</v>
      </c>
      <c r="Z70">
        <v>7</v>
      </c>
      <c r="AA70">
        <v>7</v>
      </c>
      <c r="AB70">
        <v>6</v>
      </c>
      <c r="AC70">
        <v>1</v>
      </c>
      <c r="AD70">
        <v>0</v>
      </c>
      <c r="AE70">
        <v>3</v>
      </c>
      <c r="AF70">
        <v>2</v>
      </c>
      <c r="AG70">
        <v>6</v>
      </c>
      <c r="AH70">
        <v>7.1</v>
      </c>
      <c r="AI70">
        <v>24</v>
      </c>
    </row>
    <row r="71" spans="1:35" ht="21" x14ac:dyDescent="0.3">
      <c r="A71" t="s">
        <v>550</v>
      </c>
      <c r="B71" s="11">
        <v>36</v>
      </c>
      <c r="C71">
        <v>675</v>
      </c>
      <c r="D71">
        <v>70</v>
      </c>
      <c r="E71" s="4">
        <v>44636</v>
      </c>
      <c r="F71" t="s">
        <v>33</v>
      </c>
      <c r="H71" t="s">
        <v>55</v>
      </c>
      <c r="I71" t="s">
        <v>157</v>
      </c>
      <c r="K71" s="7">
        <v>0.92847222222222225</v>
      </c>
      <c r="L71">
        <v>0</v>
      </c>
      <c r="M71">
        <v>2</v>
      </c>
      <c r="N71">
        <v>0</v>
      </c>
      <c r="O71">
        <v>0</v>
      </c>
      <c r="P71">
        <v>2</v>
      </c>
      <c r="Q71">
        <v>0</v>
      </c>
      <c r="R71">
        <v>0</v>
      </c>
      <c r="S71">
        <v>0</v>
      </c>
      <c r="U71">
        <v>0</v>
      </c>
      <c r="V71">
        <v>2</v>
      </c>
      <c r="W71">
        <v>2</v>
      </c>
      <c r="X71">
        <v>1</v>
      </c>
      <c r="Y71">
        <v>0</v>
      </c>
      <c r="Z71">
        <v>8</v>
      </c>
      <c r="AA71">
        <v>8</v>
      </c>
      <c r="AB71">
        <v>3</v>
      </c>
      <c r="AC71">
        <v>1</v>
      </c>
      <c r="AD71">
        <v>0</v>
      </c>
      <c r="AE71">
        <v>1</v>
      </c>
      <c r="AF71">
        <v>2</v>
      </c>
      <c r="AG71">
        <v>2</v>
      </c>
      <c r="AH71">
        <v>4.3</v>
      </c>
      <c r="AI71">
        <v>-15</v>
      </c>
    </row>
    <row r="72" spans="1:35" ht="21" x14ac:dyDescent="0.3">
      <c r="A72" t="s">
        <v>550</v>
      </c>
      <c r="B72" s="11">
        <v>37</v>
      </c>
      <c r="C72">
        <v>676</v>
      </c>
      <c r="D72">
        <v>71</v>
      </c>
      <c r="E72" s="4">
        <v>44640</v>
      </c>
      <c r="F72" t="s">
        <v>33</v>
      </c>
      <c r="H72" t="s">
        <v>102</v>
      </c>
      <c r="I72" t="s">
        <v>158</v>
      </c>
      <c r="J72" t="s">
        <v>41</v>
      </c>
      <c r="K72" s="7">
        <v>0.75902777777777775</v>
      </c>
      <c r="L72">
        <v>1</v>
      </c>
      <c r="M72">
        <v>3</v>
      </c>
      <c r="N72">
        <v>0.33300000000000002</v>
      </c>
      <c r="O72">
        <v>0</v>
      </c>
      <c r="P72">
        <v>1</v>
      </c>
      <c r="Q72">
        <v>0</v>
      </c>
      <c r="R72">
        <v>1</v>
      </c>
      <c r="S72">
        <v>2</v>
      </c>
      <c r="T72">
        <v>0.5</v>
      </c>
      <c r="U72">
        <v>0.33300000000000002</v>
      </c>
      <c r="V72">
        <v>2</v>
      </c>
      <c r="W72">
        <v>2</v>
      </c>
      <c r="X72">
        <v>1</v>
      </c>
      <c r="Y72">
        <v>1</v>
      </c>
      <c r="Z72">
        <v>5</v>
      </c>
      <c r="AA72">
        <v>6</v>
      </c>
      <c r="AB72">
        <v>5</v>
      </c>
      <c r="AC72">
        <v>0</v>
      </c>
      <c r="AD72">
        <v>0</v>
      </c>
      <c r="AE72">
        <v>2</v>
      </c>
      <c r="AF72">
        <v>4</v>
      </c>
      <c r="AG72">
        <v>4</v>
      </c>
      <c r="AH72">
        <v>4.4000000000000004</v>
      </c>
      <c r="AI72">
        <v>2</v>
      </c>
    </row>
    <row r="73" spans="1:35" ht="21" x14ac:dyDescent="0.3">
      <c r="A73" t="s">
        <v>550</v>
      </c>
      <c r="B73" s="11">
        <v>38</v>
      </c>
      <c r="C73">
        <v>677</v>
      </c>
      <c r="D73">
        <v>72</v>
      </c>
      <c r="E73" s="4">
        <v>44642</v>
      </c>
      <c r="F73" t="s">
        <v>33</v>
      </c>
      <c r="G73" t="s">
        <v>37</v>
      </c>
      <c r="H73" t="s">
        <v>104</v>
      </c>
      <c r="I73" t="s">
        <v>159</v>
      </c>
      <c r="J73" t="s">
        <v>41</v>
      </c>
      <c r="K73" s="9">
        <v>1.2243055555555555</v>
      </c>
      <c r="L73">
        <v>1</v>
      </c>
      <c r="M73">
        <v>3</v>
      </c>
      <c r="N73">
        <v>0.33300000000000002</v>
      </c>
      <c r="O73">
        <v>0</v>
      </c>
      <c r="P73">
        <v>0</v>
      </c>
      <c r="R73">
        <v>1</v>
      </c>
      <c r="S73">
        <v>3</v>
      </c>
      <c r="T73">
        <v>0.33300000000000002</v>
      </c>
      <c r="U73">
        <v>0.33300000000000002</v>
      </c>
      <c r="V73">
        <v>0</v>
      </c>
      <c r="W73">
        <v>0</v>
      </c>
      <c r="Y73">
        <v>0</v>
      </c>
      <c r="Z73">
        <v>3</v>
      </c>
      <c r="AA73">
        <v>3</v>
      </c>
      <c r="AB73">
        <v>7</v>
      </c>
      <c r="AC73">
        <v>2</v>
      </c>
      <c r="AD73">
        <v>0</v>
      </c>
      <c r="AE73">
        <v>1</v>
      </c>
      <c r="AF73">
        <v>3</v>
      </c>
      <c r="AG73">
        <v>2</v>
      </c>
      <c r="AH73">
        <v>5.9</v>
      </c>
      <c r="AI73">
        <v>-8</v>
      </c>
    </row>
    <row r="74" spans="1:35" ht="21" x14ac:dyDescent="0.3">
      <c r="A74" t="s">
        <v>550</v>
      </c>
      <c r="B74" s="11">
        <v>38</v>
      </c>
      <c r="D74">
        <v>73</v>
      </c>
      <c r="E74" s="4">
        <v>44643</v>
      </c>
      <c r="F74" t="s">
        <v>33</v>
      </c>
      <c r="G74" t="s">
        <v>37</v>
      </c>
      <c r="H74" t="s">
        <v>120</v>
      </c>
      <c r="I74" t="s">
        <v>160</v>
      </c>
      <c r="J74" t="s">
        <v>91</v>
      </c>
      <c r="K74" t="s">
        <v>91</v>
      </c>
      <c r="L74" t="s">
        <v>91</v>
      </c>
      <c r="M74" t="s">
        <v>91</v>
      </c>
      <c r="N74" t="s">
        <v>91</v>
      </c>
      <c r="O74" t="s">
        <v>91</v>
      </c>
      <c r="P74" t="s">
        <v>91</v>
      </c>
      <c r="Q74" t="s">
        <v>91</v>
      </c>
      <c r="R74" t="s">
        <v>91</v>
      </c>
      <c r="S74" t="s">
        <v>91</v>
      </c>
      <c r="T74" t="s">
        <v>91</v>
      </c>
      <c r="U74" t="s">
        <v>91</v>
      </c>
      <c r="V74" t="s">
        <v>91</v>
      </c>
      <c r="W74" t="s">
        <v>91</v>
      </c>
      <c r="X74" t="s">
        <v>91</v>
      </c>
      <c r="Y74" t="s">
        <v>91</v>
      </c>
      <c r="Z74" t="s">
        <v>91</v>
      </c>
      <c r="AA74" t="s">
        <v>91</v>
      </c>
      <c r="AB74" t="s">
        <v>91</v>
      </c>
      <c r="AC74" t="s">
        <v>91</v>
      </c>
      <c r="AD74" t="s">
        <v>91</v>
      </c>
      <c r="AE74" t="s">
        <v>91</v>
      </c>
      <c r="AF74" t="s">
        <v>91</v>
      </c>
      <c r="AG74" t="s">
        <v>91</v>
      </c>
      <c r="AH74" t="s">
        <v>91</v>
      </c>
      <c r="AI74" t="s">
        <v>91</v>
      </c>
    </row>
    <row r="75" spans="1:35" ht="21" x14ac:dyDescent="0.3">
      <c r="A75" t="s">
        <v>550</v>
      </c>
      <c r="B75" s="11">
        <v>39</v>
      </c>
      <c r="C75">
        <v>678</v>
      </c>
      <c r="D75">
        <v>74</v>
      </c>
      <c r="E75" s="4">
        <v>44645</v>
      </c>
      <c r="F75" t="s">
        <v>33</v>
      </c>
      <c r="G75" t="s">
        <v>37</v>
      </c>
      <c r="H75" t="s">
        <v>78</v>
      </c>
      <c r="I75" t="s">
        <v>161</v>
      </c>
      <c r="J75" t="s">
        <v>41</v>
      </c>
      <c r="K75" s="7">
        <v>0.99305555555555558</v>
      </c>
      <c r="L75">
        <v>1</v>
      </c>
      <c r="M75">
        <v>3</v>
      </c>
      <c r="N75">
        <v>0.33300000000000002</v>
      </c>
      <c r="O75">
        <v>0</v>
      </c>
      <c r="P75">
        <v>1</v>
      </c>
      <c r="Q75">
        <v>0</v>
      </c>
      <c r="R75">
        <v>1</v>
      </c>
      <c r="S75">
        <v>2</v>
      </c>
      <c r="T75">
        <v>0.5</v>
      </c>
      <c r="U75">
        <v>0.33300000000000002</v>
      </c>
      <c r="V75">
        <v>2</v>
      </c>
      <c r="W75">
        <v>3</v>
      </c>
      <c r="X75">
        <v>0.66700000000000004</v>
      </c>
      <c r="Y75">
        <v>2</v>
      </c>
      <c r="Z75">
        <v>3</v>
      </c>
      <c r="AA75">
        <v>5</v>
      </c>
      <c r="AB75">
        <v>3</v>
      </c>
      <c r="AC75">
        <v>0</v>
      </c>
      <c r="AD75">
        <v>0</v>
      </c>
      <c r="AE75">
        <v>5</v>
      </c>
      <c r="AF75">
        <v>3</v>
      </c>
      <c r="AG75">
        <v>4</v>
      </c>
      <c r="AH75">
        <v>0.1</v>
      </c>
      <c r="AI75">
        <v>-24</v>
      </c>
    </row>
    <row r="76" spans="1:35" ht="21" x14ac:dyDescent="0.3">
      <c r="A76" t="s">
        <v>550</v>
      </c>
      <c r="B76" s="11">
        <v>40</v>
      </c>
      <c r="C76">
        <v>679</v>
      </c>
      <c r="D76">
        <v>75</v>
      </c>
      <c r="E76" s="4">
        <v>44647</v>
      </c>
      <c r="F76" t="s">
        <v>33</v>
      </c>
      <c r="G76" t="s">
        <v>37</v>
      </c>
      <c r="H76" t="s">
        <v>155</v>
      </c>
      <c r="I76" t="s">
        <v>162</v>
      </c>
      <c r="J76" t="s">
        <v>41</v>
      </c>
      <c r="K76" s="9">
        <v>1.0631944444444446</v>
      </c>
      <c r="L76">
        <v>2</v>
      </c>
      <c r="M76">
        <v>6</v>
      </c>
      <c r="N76">
        <v>0.33300000000000002</v>
      </c>
      <c r="O76">
        <v>0</v>
      </c>
      <c r="P76">
        <v>1</v>
      </c>
      <c r="Q76">
        <v>0</v>
      </c>
      <c r="R76">
        <v>2</v>
      </c>
      <c r="S76">
        <v>5</v>
      </c>
      <c r="T76">
        <v>0.4</v>
      </c>
      <c r="U76">
        <v>0.33300000000000002</v>
      </c>
      <c r="V76">
        <v>3</v>
      </c>
      <c r="W76">
        <v>3</v>
      </c>
      <c r="X76">
        <v>1</v>
      </c>
      <c r="Y76">
        <v>2</v>
      </c>
      <c r="Z76">
        <v>3</v>
      </c>
      <c r="AA76">
        <v>5</v>
      </c>
      <c r="AB76">
        <v>6</v>
      </c>
      <c r="AC76">
        <v>3</v>
      </c>
      <c r="AD76">
        <v>0</v>
      </c>
      <c r="AE76">
        <v>3</v>
      </c>
      <c r="AF76">
        <v>4</v>
      </c>
      <c r="AG76">
        <v>7</v>
      </c>
      <c r="AH76">
        <v>8.5</v>
      </c>
      <c r="AI76">
        <v>-20</v>
      </c>
    </row>
    <row r="77" spans="1:35" ht="21" x14ac:dyDescent="0.3">
      <c r="A77" t="s">
        <v>550</v>
      </c>
      <c r="B77" s="11">
        <v>40</v>
      </c>
      <c r="D77">
        <v>76</v>
      </c>
      <c r="E77" s="4">
        <v>44648</v>
      </c>
      <c r="F77" t="s">
        <v>33</v>
      </c>
      <c r="G77" t="s">
        <v>37</v>
      </c>
      <c r="H77" t="s">
        <v>42</v>
      </c>
      <c r="I77" t="s">
        <v>163</v>
      </c>
      <c r="J77" t="s">
        <v>91</v>
      </c>
      <c r="K77" t="s">
        <v>91</v>
      </c>
      <c r="L77" t="s">
        <v>91</v>
      </c>
      <c r="M77" t="s">
        <v>91</v>
      </c>
      <c r="N77" t="s">
        <v>91</v>
      </c>
      <c r="O77" t="s">
        <v>91</v>
      </c>
      <c r="P77" t="s">
        <v>91</v>
      </c>
      <c r="Q77" t="s">
        <v>91</v>
      </c>
      <c r="R77" t="s">
        <v>91</v>
      </c>
      <c r="S77" t="s">
        <v>91</v>
      </c>
      <c r="T77" t="s">
        <v>91</v>
      </c>
      <c r="U77" t="s">
        <v>91</v>
      </c>
      <c r="V77" t="s">
        <v>91</v>
      </c>
      <c r="W77" t="s">
        <v>91</v>
      </c>
      <c r="X77" t="s">
        <v>91</v>
      </c>
      <c r="Y77" t="s">
        <v>91</v>
      </c>
      <c r="Z77" t="s">
        <v>91</v>
      </c>
      <c r="AA77" t="s">
        <v>91</v>
      </c>
      <c r="AB77" t="s">
        <v>91</v>
      </c>
      <c r="AC77" t="s">
        <v>91</v>
      </c>
      <c r="AD77" t="s">
        <v>91</v>
      </c>
      <c r="AE77" t="s">
        <v>91</v>
      </c>
      <c r="AF77" t="s">
        <v>91</v>
      </c>
      <c r="AG77" t="s">
        <v>91</v>
      </c>
      <c r="AH77" t="s">
        <v>91</v>
      </c>
      <c r="AI77" t="s">
        <v>91</v>
      </c>
    </row>
    <row r="78" spans="1:35" ht="21" x14ac:dyDescent="0.3">
      <c r="A78" t="s">
        <v>550</v>
      </c>
      <c r="B78" s="11">
        <v>41</v>
      </c>
      <c r="C78">
        <v>680</v>
      </c>
      <c r="D78">
        <v>77</v>
      </c>
      <c r="E78" s="4">
        <v>44650</v>
      </c>
      <c r="F78" t="s">
        <v>33</v>
      </c>
      <c r="H78" t="s">
        <v>99</v>
      </c>
      <c r="I78" t="s">
        <v>164</v>
      </c>
      <c r="J78" t="s">
        <v>41</v>
      </c>
      <c r="K78" s="9">
        <v>1.3111111111111111</v>
      </c>
      <c r="L78">
        <v>2</v>
      </c>
      <c r="M78">
        <v>4</v>
      </c>
      <c r="N78">
        <v>0.5</v>
      </c>
      <c r="O78">
        <v>0</v>
      </c>
      <c r="P78">
        <v>0</v>
      </c>
      <c r="R78">
        <v>2</v>
      </c>
      <c r="S78">
        <v>4</v>
      </c>
      <c r="T78">
        <v>0.5</v>
      </c>
      <c r="U78">
        <v>0.5</v>
      </c>
      <c r="V78">
        <v>4</v>
      </c>
      <c r="W78">
        <v>5</v>
      </c>
      <c r="X78">
        <v>0.8</v>
      </c>
      <c r="Y78">
        <v>1</v>
      </c>
      <c r="Z78">
        <v>9</v>
      </c>
      <c r="AA78">
        <v>10</v>
      </c>
      <c r="AB78">
        <v>7</v>
      </c>
      <c r="AC78">
        <v>2</v>
      </c>
      <c r="AD78">
        <v>3</v>
      </c>
      <c r="AE78">
        <v>4</v>
      </c>
      <c r="AF78">
        <v>4</v>
      </c>
      <c r="AG78">
        <v>8</v>
      </c>
      <c r="AH78">
        <v>12.4</v>
      </c>
      <c r="AI78">
        <v>-10</v>
      </c>
    </row>
    <row r="79" spans="1:35" ht="21" x14ac:dyDescent="0.3">
      <c r="A79" t="s">
        <v>550</v>
      </c>
      <c r="B79" s="11">
        <v>42</v>
      </c>
      <c r="C79">
        <v>681</v>
      </c>
      <c r="D79">
        <v>78</v>
      </c>
      <c r="E79" s="4">
        <v>44653</v>
      </c>
      <c r="F79" t="s">
        <v>33</v>
      </c>
      <c r="H79" t="s">
        <v>118</v>
      </c>
      <c r="I79" t="s">
        <v>112</v>
      </c>
      <c r="J79" t="s">
        <v>41</v>
      </c>
      <c r="K79" s="9">
        <v>1.3798611111111112</v>
      </c>
      <c r="L79">
        <v>3</v>
      </c>
      <c r="M79">
        <v>5</v>
      </c>
      <c r="N79">
        <v>0.6</v>
      </c>
      <c r="O79">
        <v>0</v>
      </c>
      <c r="P79">
        <v>0</v>
      </c>
      <c r="R79">
        <v>3</v>
      </c>
      <c r="S79">
        <v>5</v>
      </c>
      <c r="T79">
        <v>0.6</v>
      </c>
      <c r="U79">
        <v>0.6</v>
      </c>
      <c r="V79">
        <v>4</v>
      </c>
      <c r="W79">
        <v>5</v>
      </c>
      <c r="X79">
        <v>0.8</v>
      </c>
      <c r="Y79">
        <v>0</v>
      </c>
      <c r="Z79">
        <v>9</v>
      </c>
      <c r="AA79">
        <v>9</v>
      </c>
      <c r="AB79">
        <v>7</v>
      </c>
      <c r="AC79">
        <v>0</v>
      </c>
      <c r="AD79">
        <v>1</v>
      </c>
      <c r="AE79">
        <v>3</v>
      </c>
      <c r="AF79">
        <v>4</v>
      </c>
      <c r="AG79">
        <v>10</v>
      </c>
      <c r="AH79">
        <v>11</v>
      </c>
      <c r="AI79">
        <v>20</v>
      </c>
    </row>
    <row r="80" spans="1:35" ht="21" x14ac:dyDescent="0.3">
      <c r="A80" t="s">
        <v>550</v>
      </c>
      <c r="B80" s="11">
        <v>43</v>
      </c>
      <c r="C80">
        <v>682</v>
      </c>
      <c r="D80">
        <v>79</v>
      </c>
      <c r="E80" s="4">
        <v>44654</v>
      </c>
      <c r="F80" t="s">
        <v>33</v>
      </c>
      <c r="G80" t="s">
        <v>37</v>
      </c>
      <c r="H80" t="s">
        <v>66</v>
      </c>
      <c r="I80" t="s">
        <v>165</v>
      </c>
      <c r="J80" t="s">
        <v>41</v>
      </c>
      <c r="K80" s="7">
        <v>0.99861111111111112</v>
      </c>
      <c r="L80">
        <v>2</v>
      </c>
      <c r="M80">
        <v>5</v>
      </c>
      <c r="N80">
        <v>0.4</v>
      </c>
      <c r="O80">
        <v>2</v>
      </c>
      <c r="P80">
        <v>2</v>
      </c>
      <c r="Q80">
        <v>1</v>
      </c>
      <c r="R80">
        <v>0</v>
      </c>
      <c r="S80">
        <v>3</v>
      </c>
      <c r="T80">
        <v>0</v>
      </c>
      <c r="U80">
        <v>0.6</v>
      </c>
      <c r="V80">
        <v>0</v>
      </c>
      <c r="W80">
        <v>0</v>
      </c>
      <c r="Y80">
        <v>1</v>
      </c>
      <c r="Z80">
        <v>6</v>
      </c>
      <c r="AA80">
        <v>7</v>
      </c>
      <c r="AB80">
        <v>5</v>
      </c>
      <c r="AC80">
        <v>1</v>
      </c>
      <c r="AD80">
        <v>2</v>
      </c>
      <c r="AE80">
        <v>3</v>
      </c>
      <c r="AF80">
        <v>6</v>
      </c>
      <c r="AG80">
        <v>6</v>
      </c>
      <c r="AH80">
        <v>6.3</v>
      </c>
      <c r="AI80">
        <v>11</v>
      </c>
    </row>
    <row r="81" spans="1:35" ht="21" x14ac:dyDescent="0.3">
      <c r="A81" t="s">
        <v>550</v>
      </c>
      <c r="B81" s="11">
        <v>44</v>
      </c>
      <c r="C81">
        <v>683</v>
      </c>
      <c r="D81">
        <v>80</v>
      </c>
      <c r="E81" s="4">
        <v>44658</v>
      </c>
      <c r="F81" t="s">
        <v>33</v>
      </c>
      <c r="H81" t="s">
        <v>62</v>
      </c>
      <c r="I81" t="s">
        <v>166</v>
      </c>
      <c r="J81" t="s">
        <v>41</v>
      </c>
      <c r="K81" s="9">
        <v>1.101388888888889</v>
      </c>
      <c r="L81">
        <v>5</v>
      </c>
      <c r="M81">
        <v>9</v>
      </c>
      <c r="N81">
        <v>0.55600000000000005</v>
      </c>
      <c r="O81">
        <v>0</v>
      </c>
      <c r="P81">
        <v>0</v>
      </c>
      <c r="R81">
        <v>5</v>
      </c>
      <c r="S81">
        <v>9</v>
      </c>
      <c r="T81">
        <v>0.55600000000000005</v>
      </c>
      <c r="U81">
        <v>0.55600000000000005</v>
      </c>
      <c r="V81">
        <v>0</v>
      </c>
      <c r="W81">
        <v>0</v>
      </c>
      <c r="Y81">
        <v>0</v>
      </c>
      <c r="Z81">
        <v>3</v>
      </c>
      <c r="AA81">
        <v>3</v>
      </c>
      <c r="AB81">
        <v>7</v>
      </c>
      <c r="AC81">
        <v>2</v>
      </c>
      <c r="AD81">
        <v>2</v>
      </c>
      <c r="AE81">
        <v>2</v>
      </c>
      <c r="AF81">
        <v>5</v>
      </c>
      <c r="AG81">
        <v>10</v>
      </c>
      <c r="AH81">
        <v>10.9</v>
      </c>
      <c r="AI81">
        <v>-1</v>
      </c>
    </row>
    <row r="82" spans="1:35" ht="21" x14ac:dyDescent="0.3">
      <c r="A82" t="s">
        <v>550</v>
      </c>
      <c r="B82" s="11">
        <v>45</v>
      </c>
      <c r="C82">
        <v>684</v>
      </c>
      <c r="D82">
        <v>81</v>
      </c>
      <c r="E82" s="4">
        <v>44660</v>
      </c>
      <c r="F82" t="s">
        <v>33</v>
      </c>
      <c r="G82" t="s">
        <v>37</v>
      </c>
      <c r="H82" t="s">
        <v>102</v>
      </c>
      <c r="I82" t="s">
        <v>167</v>
      </c>
      <c r="J82" t="s">
        <v>41</v>
      </c>
      <c r="K82" s="9">
        <v>1.320138888888889</v>
      </c>
      <c r="L82">
        <v>6</v>
      </c>
      <c r="M82">
        <v>10</v>
      </c>
      <c r="N82">
        <v>0.6</v>
      </c>
      <c r="O82">
        <v>0</v>
      </c>
      <c r="P82">
        <v>1</v>
      </c>
      <c r="Q82">
        <v>0</v>
      </c>
      <c r="R82">
        <v>6</v>
      </c>
      <c r="S82">
        <v>9</v>
      </c>
      <c r="T82">
        <v>0.66700000000000004</v>
      </c>
      <c r="U82">
        <v>0.6</v>
      </c>
      <c r="V82">
        <v>0</v>
      </c>
      <c r="W82">
        <v>0</v>
      </c>
      <c r="Y82">
        <v>0</v>
      </c>
      <c r="Z82">
        <v>13</v>
      </c>
      <c r="AA82">
        <v>13</v>
      </c>
      <c r="AB82">
        <v>8</v>
      </c>
      <c r="AC82">
        <v>1</v>
      </c>
      <c r="AD82">
        <v>1</v>
      </c>
      <c r="AE82">
        <v>4</v>
      </c>
      <c r="AF82">
        <v>4</v>
      </c>
      <c r="AG82">
        <v>12</v>
      </c>
      <c r="AH82">
        <v>13</v>
      </c>
      <c r="AI82">
        <v>6</v>
      </c>
    </row>
    <row r="83" spans="1:35" ht="21" x14ac:dyDescent="0.3">
      <c r="A83" t="s">
        <v>550</v>
      </c>
      <c r="B83" s="11">
        <v>46</v>
      </c>
      <c r="C83">
        <v>685</v>
      </c>
      <c r="D83">
        <v>82</v>
      </c>
      <c r="E83" s="4">
        <v>44661</v>
      </c>
      <c r="F83" t="s">
        <v>33</v>
      </c>
      <c r="G83" t="s">
        <v>37</v>
      </c>
      <c r="H83" t="s">
        <v>74</v>
      </c>
      <c r="I83" t="s">
        <v>168</v>
      </c>
      <c r="J83" t="s">
        <v>41</v>
      </c>
      <c r="K83" s="9">
        <v>1.0375000000000001</v>
      </c>
      <c r="L83">
        <v>2</v>
      </c>
      <c r="M83">
        <v>2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1.25</v>
      </c>
      <c r="V83">
        <v>2</v>
      </c>
      <c r="W83">
        <v>2</v>
      </c>
      <c r="X83">
        <v>1</v>
      </c>
      <c r="Y83">
        <v>0</v>
      </c>
      <c r="Z83">
        <v>3</v>
      </c>
      <c r="AA83">
        <v>3</v>
      </c>
      <c r="AB83">
        <v>6</v>
      </c>
      <c r="AC83">
        <v>1</v>
      </c>
      <c r="AD83">
        <v>0</v>
      </c>
      <c r="AE83">
        <v>2</v>
      </c>
      <c r="AF83">
        <v>1</v>
      </c>
      <c r="AG83">
        <v>7</v>
      </c>
      <c r="AH83">
        <v>10.1</v>
      </c>
      <c r="AI83">
        <v>10</v>
      </c>
    </row>
    <row r="84" spans="1:35" ht="21" x14ac:dyDescent="0.3">
      <c r="A84" t="s">
        <v>550</v>
      </c>
      <c r="B84" s="11">
        <v>1</v>
      </c>
      <c r="C84">
        <v>124</v>
      </c>
      <c r="D84">
        <v>1</v>
      </c>
      <c r="E84" s="4">
        <v>44667</v>
      </c>
      <c r="F84" t="s">
        <v>33</v>
      </c>
      <c r="H84" t="s">
        <v>34</v>
      </c>
      <c r="I84" t="s">
        <v>170</v>
      </c>
      <c r="J84" t="s">
        <v>41</v>
      </c>
      <c r="K84" s="9">
        <v>1.2048611111111112</v>
      </c>
      <c r="L84">
        <v>5</v>
      </c>
      <c r="M84">
        <v>7</v>
      </c>
      <c r="N84">
        <v>0.71399999999999997</v>
      </c>
      <c r="O84">
        <v>1</v>
      </c>
      <c r="P84">
        <v>2</v>
      </c>
      <c r="Q84">
        <v>0.5</v>
      </c>
      <c r="R84">
        <v>4</v>
      </c>
      <c r="S84">
        <v>5</v>
      </c>
      <c r="T84">
        <v>0.8</v>
      </c>
      <c r="U84">
        <v>0.78600000000000003</v>
      </c>
      <c r="V84">
        <v>1</v>
      </c>
      <c r="W84">
        <v>1</v>
      </c>
      <c r="X84">
        <v>1</v>
      </c>
      <c r="Y84">
        <v>1</v>
      </c>
      <c r="Z84">
        <v>5</v>
      </c>
      <c r="AA84">
        <v>6</v>
      </c>
      <c r="AB84">
        <v>9</v>
      </c>
      <c r="AC84">
        <v>0</v>
      </c>
      <c r="AD84">
        <v>3</v>
      </c>
      <c r="AE84">
        <v>0</v>
      </c>
      <c r="AF84">
        <v>2</v>
      </c>
      <c r="AG84">
        <v>12</v>
      </c>
      <c r="AH84">
        <v>18.899999999999999</v>
      </c>
      <c r="AI84">
        <v>21</v>
      </c>
    </row>
    <row r="85" spans="1:35" ht="21" x14ac:dyDescent="0.3">
      <c r="A85" t="s">
        <v>550</v>
      </c>
      <c r="B85" s="11">
        <v>2</v>
      </c>
      <c r="C85">
        <v>125</v>
      </c>
      <c r="D85">
        <v>2</v>
      </c>
      <c r="E85" s="4">
        <v>44669</v>
      </c>
      <c r="F85" t="s">
        <v>33</v>
      </c>
      <c r="H85" t="s">
        <v>34</v>
      </c>
      <c r="I85" t="s">
        <v>171</v>
      </c>
      <c r="J85" t="s">
        <v>41</v>
      </c>
      <c r="K85" s="9">
        <v>1.2361111111111112</v>
      </c>
      <c r="L85">
        <v>2</v>
      </c>
      <c r="M85">
        <v>5</v>
      </c>
      <c r="N85">
        <v>0.4</v>
      </c>
      <c r="O85">
        <v>1</v>
      </c>
      <c r="P85">
        <v>3</v>
      </c>
      <c r="Q85">
        <v>0.33300000000000002</v>
      </c>
      <c r="R85">
        <v>1</v>
      </c>
      <c r="S85">
        <v>2</v>
      </c>
      <c r="T85">
        <v>0.5</v>
      </c>
      <c r="U85">
        <v>0.5</v>
      </c>
      <c r="V85">
        <v>1</v>
      </c>
      <c r="W85">
        <v>2</v>
      </c>
      <c r="X85">
        <v>0.5</v>
      </c>
      <c r="Y85">
        <v>0</v>
      </c>
      <c r="Z85">
        <v>3</v>
      </c>
      <c r="AA85">
        <v>3</v>
      </c>
      <c r="AB85">
        <v>6</v>
      </c>
      <c r="AC85">
        <v>2</v>
      </c>
      <c r="AD85">
        <v>1</v>
      </c>
      <c r="AE85">
        <v>1</v>
      </c>
      <c r="AF85">
        <v>4</v>
      </c>
      <c r="AG85">
        <v>6</v>
      </c>
      <c r="AH85">
        <v>8.1</v>
      </c>
      <c r="AI85">
        <v>20</v>
      </c>
    </row>
    <row r="86" spans="1:35" ht="21" x14ac:dyDescent="0.3">
      <c r="A86" t="s">
        <v>550</v>
      </c>
      <c r="B86" s="11">
        <v>3</v>
      </c>
      <c r="C86">
        <v>126</v>
      </c>
      <c r="D86">
        <v>3</v>
      </c>
      <c r="E86" s="4">
        <v>44672</v>
      </c>
      <c r="F86" t="s">
        <v>33</v>
      </c>
      <c r="G86" t="s">
        <v>37</v>
      </c>
      <c r="H86" t="s">
        <v>34</v>
      </c>
      <c r="I86" t="s">
        <v>172</v>
      </c>
      <c r="J86" t="s">
        <v>41</v>
      </c>
      <c r="K86" s="9">
        <v>1.4750000000000001</v>
      </c>
      <c r="L86">
        <v>2</v>
      </c>
      <c r="M86">
        <v>6</v>
      </c>
      <c r="N86">
        <v>0.33300000000000002</v>
      </c>
      <c r="O86">
        <v>1</v>
      </c>
      <c r="P86">
        <v>3</v>
      </c>
      <c r="Q86">
        <v>0.33300000000000002</v>
      </c>
      <c r="R86">
        <v>1</v>
      </c>
      <c r="S86">
        <v>3</v>
      </c>
      <c r="T86">
        <v>0.33300000000000002</v>
      </c>
      <c r="U86">
        <v>0.41699999999999998</v>
      </c>
      <c r="V86">
        <v>1</v>
      </c>
      <c r="W86">
        <v>4</v>
      </c>
      <c r="X86">
        <v>0.25</v>
      </c>
      <c r="Y86">
        <v>0</v>
      </c>
      <c r="Z86">
        <v>5</v>
      </c>
      <c r="AA86">
        <v>5</v>
      </c>
      <c r="AB86">
        <v>10</v>
      </c>
      <c r="AC86">
        <v>2</v>
      </c>
      <c r="AD86">
        <v>1</v>
      </c>
      <c r="AE86">
        <v>4</v>
      </c>
      <c r="AF86">
        <v>5</v>
      </c>
      <c r="AG86">
        <v>6</v>
      </c>
      <c r="AH86">
        <v>6.6</v>
      </c>
      <c r="AI86">
        <v>4</v>
      </c>
    </row>
    <row r="87" spans="1:35" ht="21" x14ac:dyDescent="0.3">
      <c r="A87" t="s">
        <v>550</v>
      </c>
      <c r="B87" s="11">
        <v>4</v>
      </c>
      <c r="C87">
        <v>127</v>
      </c>
      <c r="D87">
        <v>4</v>
      </c>
      <c r="E87" s="4">
        <v>44675</v>
      </c>
      <c r="F87" t="s">
        <v>33</v>
      </c>
      <c r="G87" t="s">
        <v>37</v>
      </c>
      <c r="H87" t="s">
        <v>34</v>
      </c>
      <c r="I87" t="s">
        <v>173</v>
      </c>
      <c r="J87" t="s">
        <v>41</v>
      </c>
      <c r="K87" s="9">
        <v>1.4194444444444445</v>
      </c>
      <c r="L87">
        <v>5</v>
      </c>
      <c r="M87">
        <v>6</v>
      </c>
      <c r="N87">
        <v>0.83299999999999996</v>
      </c>
      <c r="O87">
        <v>0</v>
      </c>
      <c r="P87">
        <v>1</v>
      </c>
      <c r="Q87">
        <v>0</v>
      </c>
      <c r="R87">
        <v>5</v>
      </c>
      <c r="S87">
        <v>5</v>
      </c>
      <c r="T87">
        <v>1</v>
      </c>
      <c r="U87">
        <v>0.83299999999999996</v>
      </c>
      <c r="V87">
        <v>3</v>
      </c>
      <c r="W87">
        <v>3</v>
      </c>
      <c r="X87">
        <v>1</v>
      </c>
      <c r="Y87">
        <v>0</v>
      </c>
      <c r="Z87">
        <v>11</v>
      </c>
      <c r="AA87">
        <v>11</v>
      </c>
      <c r="AB87">
        <v>6</v>
      </c>
      <c r="AC87">
        <v>2</v>
      </c>
      <c r="AD87">
        <v>0</v>
      </c>
      <c r="AE87">
        <v>2</v>
      </c>
      <c r="AF87">
        <v>6</v>
      </c>
      <c r="AG87">
        <v>13</v>
      </c>
      <c r="AH87">
        <v>15.9</v>
      </c>
      <c r="AI87">
        <v>18</v>
      </c>
    </row>
    <row r="88" spans="1:35" ht="21" x14ac:dyDescent="0.3">
      <c r="A88" t="s">
        <v>550</v>
      </c>
      <c r="B88" s="11">
        <v>5</v>
      </c>
      <c r="C88">
        <v>128</v>
      </c>
      <c r="D88">
        <v>5</v>
      </c>
      <c r="E88" s="4">
        <v>44678</v>
      </c>
      <c r="F88" t="s">
        <v>33</v>
      </c>
      <c r="H88" t="s">
        <v>34</v>
      </c>
      <c r="I88" t="s">
        <v>174</v>
      </c>
      <c r="J88" t="s">
        <v>41</v>
      </c>
      <c r="K88" s="9">
        <v>1.5090277777777779</v>
      </c>
      <c r="L88">
        <v>4</v>
      </c>
      <c r="M88">
        <v>10</v>
      </c>
      <c r="N88">
        <v>0.4</v>
      </c>
      <c r="O88">
        <v>1</v>
      </c>
      <c r="P88">
        <v>2</v>
      </c>
      <c r="Q88">
        <v>0.5</v>
      </c>
      <c r="R88">
        <v>3</v>
      </c>
      <c r="S88">
        <v>8</v>
      </c>
      <c r="T88">
        <v>0.375</v>
      </c>
      <c r="U88">
        <v>0.45</v>
      </c>
      <c r="V88">
        <v>2</v>
      </c>
      <c r="W88">
        <v>2</v>
      </c>
      <c r="X88">
        <v>1</v>
      </c>
      <c r="Y88">
        <v>0</v>
      </c>
      <c r="Z88">
        <v>2</v>
      </c>
      <c r="AA88">
        <v>2</v>
      </c>
      <c r="AB88">
        <v>6</v>
      </c>
      <c r="AC88">
        <v>1</v>
      </c>
      <c r="AD88">
        <v>3</v>
      </c>
      <c r="AE88">
        <v>1</v>
      </c>
      <c r="AF88">
        <v>3</v>
      </c>
      <c r="AG88">
        <v>11</v>
      </c>
      <c r="AH88">
        <v>11.3</v>
      </c>
      <c r="AI88">
        <v>12</v>
      </c>
    </row>
    <row r="89" spans="1:35" ht="21" x14ac:dyDescent="0.3">
      <c r="A89" t="s">
        <v>550</v>
      </c>
      <c r="B89" s="11">
        <v>6</v>
      </c>
      <c r="C89">
        <v>129</v>
      </c>
      <c r="D89">
        <v>6</v>
      </c>
      <c r="E89" s="4">
        <v>44682</v>
      </c>
      <c r="F89" t="s">
        <v>33</v>
      </c>
      <c r="G89" t="s">
        <v>37</v>
      </c>
      <c r="H89" t="s">
        <v>42</v>
      </c>
      <c r="I89" t="s">
        <v>175</v>
      </c>
      <c r="J89" t="s">
        <v>41</v>
      </c>
      <c r="K89" s="7">
        <v>0.70902777777777781</v>
      </c>
      <c r="L89">
        <v>2</v>
      </c>
      <c r="M89">
        <v>3</v>
      </c>
      <c r="N89">
        <v>0.66700000000000004</v>
      </c>
      <c r="O89">
        <v>0</v>
      </c>
      <c r="P89">
        <v>0</v>
      </c>
      <c r="R89">
        <v>2</v>
      </c>
      <c r="S89">
        <v>3</v>
      </c>
      <c r="T89">
        <v>0.66700000000000004</v>
      </c>
      <c r="U89">
        <v>0.66700000000000004</v>
      </c>
      <c r="V89">
        <v>2</v>
      </c>
      <c r="W89">
        <v>3</v>
      </c>
      <c r="X89">
        <v>0.66700000000000004</v>
      </c>
      <c r="Y89">
        <v>1</v>
      </c>
      <c r="Z89">
        <v>3</v>
      </c>
      <c r="AA89">
        <v>4</v>
      </c>
      <c r="AB89">
        <v>3</v>
      </c>
      <c r="AC89">
        <v>3</v>
      </c>
      <c r="AD89">
        <v>1</v>
      </c>
      <c r="AE89">
        <v>5</v>
      </c>
      <c r="AF89">
        <v>1</v>
      </c>
      <c r="AG89">
        <v>6</v>
      </c>
      <c r="AH89">
        <v>6.3</v>
      </c>
      <c r="AI89">
        <v>2</v>
      </c>
    </row>
    <row r="90" spans="1:35" ht="21" x14ac:dyDescent="0.3">
      <c r="A90" t="s">
        <v>550</v>
      </c>
      <c r="B90" s="11">
        <v>7</v>
      </c>
      <c r="C90">
        <v>130</v>
      </c>
      <c r="D90">
        <v>7</v>
      </c>
      <c r="E90" s="4">
        <v>44684</v>
      </c>
      <c r="F90" t="s">
        <v>33</v>
      </c>
      <c r="G90" t="s">
        <v>37</v>
      </c>
      <c r="H90" t="s">
        <v>42</v>
      </c>
      <c r="I90" t="s">
        <v>176</v>
      </c>
      <c r="J90" t="s">
        <v>41</v>
      </c>
      <c r="K90" s="9">
        <v>1.3493055555555555</v>
      </c>
      <c r="L90">
        <v>3</v>
      </c>
      <c r="M90">
        <v>5</v>
      </c>
      <c r="N90">
        <v>0.6</v>
      </c>
      <c r="O90">
        <v>0</v>
      </c>
      <c r="P90">
        <v>1</v>
      </c>
      <c r="Q90">
        <v>0</v>
      </c>
      <c r="R90">
        <v>3</v>
      </c>
      <c r="S90">
        <v>4</v>
      </c>
      <c r="T90">
        <v>0.75</v>
      </c>
      <c r="U90">
        <v>0.6</v>
      </c>
      <c r="V90">
        <v>0</v>
      </c>
      <c r="W90">
        <v>0</v>
      </c>
      <c r="Y90">
        <v>1</v>
      </c>
      <c r="Z90">
        <v>9</v>
      </c>
      <c r="AA90">
        <v>10</v>
      </c>
      <c r="AB90">
        <v>7</v>
      </c>
      <c r="AC90">
        <v>0</v>
      </c>
      <c r="AD90">
        <v>1</v>
      </c>
      <c r="AE90">
        <v>4</v>
      </c>
      <c r="AF90">
        <v>5</v>
      </c>
      <c r="AG90">
        <v>6</v>
      </c>
      <c r="AH90">
        <v>6.7</v>
      </c>
      <c r="AI90">
        <v>-10</v>
      </c>
    </row>
    <row r="91" spans="1:35" ht="21" x14ac:dyDescent="0.3">
      <c r="A91" t="s">
        <v>550</v>
      </c>
      <c r="B91" s="11">
        <v>8</v>
      </c>
      <c r="C91">
        <v>131</v>
      </c>
      <c r="D91">
        <v>8</v>
      </c>
      <c r="E91" s="4">
        <v>44688</v>
      </c>
      <c r="F91" t="s">
        <v>33</v>
      </c>
      <c r="H91" t="s">
        <v>42</v>
      </c>
      <c r="I91" t="s">
        <v>177</v>
      </c>
      <c r="J91" t="s">
        <v>41</v>
      </c>
      <c r="K91" s="9">
        <v>1.1159722222222221</v>
      </c>
      <c r="L91">
        <v>2</v>
      </c>
      <c r="M91">
        <v>3</v>
      </c>
      <c r="N91">
        <v>0.66700000000000004</v>
      </c>
      <c r="O91">
        <v>0</v>
      </c>
      <c r="P91">
        <v>0</v>
      </c>
      <c r="R91">
        <v>2</v>
      </c>
      <c r="S91">
        <v>3</v>
      </c>
      <c r="T91">
        <v>0.66700000000000004</v>
      </c>
      <c r="U91">
        <v>0.66700000000000004</v>
      </c>
      <c r="V91">
        <v>1</v>
      </c>
      <c r="W91">
        <v>2</v>
      </c>
      <c r="X91">
        <v>0.5</v>
      </c>
      <c r="Y91">
        <v>0</v>
      </c>
      <c r="Z91">
        <v>5</v>
      </c>
      <c r="AA91">
        <v>5</v>
      </c>
      <c r="AB91">
        <v>8</v>
      </c>
      <c r="AC91">
        <v>0</v>
      </c>
      <c r="AD91">
        <v>1</v>
      </c>
      <c r="AE91">
        <v>4</v>
      </c>
      <c r="AF91">
        <v>4</v>
      </c>
      <c r="AG91">
        <v>5</v>
      </c>
      <c r="AH91">
        <v>5.5</v>
      </c>
      <c r="AI91">
        <v>19</v>
      </c>
    </row>
    <row r="92" spans="1:35" ht="21" x14ac:dyDescent="0.3">
      <c r="A92" t="s">
        <v>550</v>
      </c>
      <c r="B92" s="11">
        <v>9</v>
      </c>
      <c r="C92">
        <v>132</v>
      </c>
      <c r="D92">
        <v>9</v>
      </c>
      <c r="E92" s="4">
        <v>44690</v>
      </c>
      <c r="F92" t="s">
        <v>33</v>
      </c>
      <c r="H92" t="s">
        <v>42</v>
      </c>
      <c r="I92" t="s">
        <v>178</v>
      </c>
      <c r="J92" t="s">
        <v>41</v>
      </c>
      <c r="K92" s="9">
        <v>1.367361111111111</v>
      </c>
      <c r="L92">
        <v>1</v>
      </c>
      <c r="M92">
        <v>2</v>
      </c>
      <c r="N92">
        <v>0.5</v>
      </c>
      <c r="O92">
        <v>0</v>
      </c>
      <c r="P92">
        <v>0</v>
      </c>
      <c r="R92">
        <v>1</v>
      </c>
      <c r="S92">
        <v>2</v>
      </c>
      <c r="T92">
        <v>0.5</v>
      </c>
      <c r="U92">
        <v>0.5</v>
      </c>
      <c r="V92">
        <v>0</v>
      </c>
      <c r="W92">
        <v>0</v>
      </c>
      <c r="Y92">
        <v>1</v>
      </c>
      <c r="Z92">
        <v>10</v>
      </c>
      <c r="AA92">
        <v>11</v>
      </c>
      <c r="AB92">
        <v>5</v>
      </c>
      <c r="AC92">
        <v>0</v>
      </c>
      <c r="AD92">
        <v>1</v>
      </c>
      <c r="AE92">
        <v>2</v>
      </c>
      <c r="AF92">
        <v>5</v>
      </c>
      <c r="AG92">
        <v>2</v>
      </c>
      <c r="AH92">
        <v>4.9000000000000004</v>
      </c>
      <c r="AI92">
        <v>6</v>
      </c>
    </row>
    <row r="93" spans="1:35" ht="21" x14ac:dyDescent="0.3">
      <c r="A93" t="s">
        <v>550</v>
      </c>
      <c r="B93" s="11">
        <v>10</v>
      </c>
      <c r="C93">
        <v>133</v>
      </c>
      <c r="D93">
        <v>10</v>
      </c>
      <c r="E93" s="4">
        <v>44692</v>
      </c>
      <c r="F93" t="s">
        <v>33</v>
      </c>
      <c r="G93" t="s">
        <v>37</v>
      </c>
      <c r="H93" t="s">
        <v>42</v>
      </c>
      <c r="I93" t="s">
        <v>179</v>
      </c>
      <c r="J93" t="s">
        <v>41</v>
      </c>
      <c r="K93" s="7">
        <v>0.92638888888888893</v>
      </c>
      <c r="L93">
        <v>2</v>
      </c>
      <c r="M93">
        <v>4</v>
      </c>
      <c r="N93">
        <v>0.5</v>
      </c>
      <c r="O93">
        <v>0</v>
      </c>
      <c r="P93">
        <v>2</v>
      </c>
      <c r="Q93">
        <v>0</v>
      </c>
      <c r="R93">
        <v>2</v>
      </c>
      <c r="S93">
        <v>2</v>
      </c>
      <c r="T93">
        <v>1</v>
      </c>
      <c r="U93">
        <v>0.5</v>
      </c>
      <c r="V93">
        <v>1</v>
      </c>
      <c r="W93">
        <v>2</v>
      </c>
      <c r="X93">
        <v>0.5</v>
      </c>
      <c r="Y93">
        <v>2</v>
      </c>
      <c r="Z93">
        <v>5</v>
      </c>
      <c r="AA93">
        <v>7</v>
      </c>
      <c r="AB93">
        <v>5</v>
      </c>
      <c r="AC93">
        <v>0</v>
      </c>
      <c r="AD93">
        <v>1</v>
      </c>
      <c r="AE93">
        <v>5</v>
      </c>
      <c r="AF93">
        <v>3</v>
      </c>
      <c r="AG93">
        <v>5</v>
      </c>
      <c r="AH93">
        <v>3.5</v>
      </c>
      <c r="AI93">
        <v>-32</v>
      </c>
    </row>
    <row r="94" spans="1:35" ht="21" x14ac:dyDescent="0.3">
      <c r="A94" t="s">
        <v>550</v>
      </c>
      <c r="B94" s="11">
        <v>11</v>
      </c>
      <c r="C94">
        <v>134</v>
      </c>
      <c r="D94">
        <v>11</v>
      </c>
      <c r="E94" s="4">
        <v>44694</v>
      </c>
      <c r="F94" t="s">
        <v>33</v>
      </c>
      <c r="H94" t="s">
        <v>42</v>
      </c>
      <c r="I94" t="s">
        <v>180</v>
      </c>
      <c r="J94" t="s">
        <v>41</v>
      </c>
      <c r="K94" s="9">
        <v>1.6145833333333333</v>
      </c>
      <c r="L94">
        <v>6</v>
      </c>
      <c r="M94">
        <v>14</v>
      </c>
      <c r="N94">
        <v>0.42899999999999999</v>
      </c>
      <c r="O94">
        <v>0</v>
      </c>
      <c r="P94">
        <v>3</v>
      </c>
      <c r="Q94">
        <v>0</v>
      </c>
      <c r="R94">
        <v>6</v>
      </c>
      <c r="S94">
        <v>11</v>
      </c>
      <c r="T94">
        <v>0.54500000000000004</v>
      </c>
      <c r="U94">
        <v>0.42899999999999999</v>
      </c>
      <c r="V94">
        <v>2</v>
      </c>
      <c r="W94">
        <v>2</v>
      </c>
      <c r="X94">
        <v>1</v>
      </c>
      <c r="Y94">
        <v>3</v>
      </c>
      <c r="Z94">
        <v>12</v>
      </c>
      <c r="AA94">
        <v>15</v>
      </c>
      <c r="AB94">
        <v>8</v>
      </c>
      <c r="AC94">
        <v>1</v>
      </c>
      <c r="AD94">
        <v>0</v>
      </c>
      <c r="AE94">
        <v>4</v>
      </c>
      <c r="AF94">
        <v>4</v>
      </c>
      <c r="AG94">
        <v>14</v>
      </c>
      <c r="AH94">
        <v>13.3</v>
      </c>
      <c r="AI94">
        <v>19</v>
      </c>
    </row>
    <row r="95" spans="1:35" ht="21" x14ac:dyDescent="0.3">
      <c r="A95" t="s">
        <v>550</v>
      </c>
      <c r="B95" s="11">
        <v>12</v>
      </c>
      <c r="C95">
        <v>135</v>
      </c>
      <c r="D95">
        <v>12</v>
      </c>
      <c r="E95" s="4">
        <v>44699</v>
      </c>
      <c r="F95" t="s">
        <v>33</v>
      </c>
      <c r="H95" t="s">
        <v>49</v>
      </c>
      <c r="I95" t="s">
        <v>181</v>
      </c>
      <c r="J95" t="s">
        <v>41</v>
      </c>
      <c r="K95" s="9">
        <v>1.2013888888888888</v>
      </c>
      <c r="L95">
        <v>4</v>
      </c>
      <c r="M95">
        <v>6</v>
      </c>
      <c r="N95">
        <v>0.66700000000000004</v>
      </c>
      <c r="O95">
        <v>0</v>
      </c>
      <c r="P95">
        <v>1</v>
      </c>
      <c r="Q95">
        <v>0</v>
      </c>
      <c r="R95">
        <v>4</v>
      </c>
      <c r="S95">
        <v>5</v>
      </c>
      <c r="T95">
        <v>0.8</v>
      </c>
      <c r="U95">
        <v>0.66700000000000004</v>
      </c>
      <c r="V95">
        <v>2</v>
      </c>
      <c r="W95">
        <v>3</v>
      </c>
      <c r="X95">
        <v>0.66700000000000004</v>
      </c>
      <c r="Y95">
        <v>1</v>
      </c>
      <c r="Z95">
        <v>8</v>
      </c>
      <c r="AA95">
        <v>9</v>
      </c>
      <c r="AB95">
        <v>3</v>
      </c>
      <c r="AC95">
        <v>2</v>
      </c>
      <c r="AD95">
        <v>1</v>
      </c>
      <c r="AE95">
        <v>1</v>
      </c>
      <c r="AF95">
        <v>4</v>
      </c>
      <c r="AG95">
        <v>10</v>
      </c>
      <c r="AH95">
        <v>12.3</v>
      </c>
      <c r="AI95">
        <v>25</v>
      </c>
    </row>
    <row r="96" spans="1:35" ht="21" x14ac:dyDescent="0.3">
      <c r="A96" t="s">
        <v>550</v>
      </c>
      <c r="B96" s="11">
        <v>13</v>
      </c>
      <c r="C96">
        <v>136</v>
      </c>
      <c r="D96">
        <v>13</v>
      </c>
      <c r="E96" s="4">
        <v>44701</v>
      </c>
      <c r="F96" t="s">
        <v>33</v>
      </c>
      <c r="H96" t="s">
        <v>49</v>
      </c>
      <c r="I96" t="s">
        <v>182</v>
      </c>
      <c r="J96" t="s">
        <v>41</v>
      </c>
      <c r="K96" s="9">
        <v>1.1833333333333333</v>
      </c>
      <c r="L96">
        <v>2</v>
      </c>
      <c r="M96">
        <v>6</v>
      </c>
      <c r="N96">
        <v>0.33300000000000002</v>
      </c>
      <c r="O96">
        <v>1</v>
      </c>
      <c r="P96">
        <v>2</v>
      </c>
      <c r="Q96">
        <v>0.5</v>
      </c>
      <c r="R96">
        <v>1</v>
      </c>
      <c r="S96">
        <v>4</v>
      </c>
      <c r="T96">
        <v>0.25</v>
      </c>
      <c r="U96">
        <v>0.41699999999999998</v>
      </c>
      <c r="V96">
        <v>1</v>
      </c>
      <c r="W96">
        <v>2</v>
      </c>
      <c r="X96">
        <v>0.5</v>
      </c>
      <c r="Y96">
        <v>0</v>
      </c>
      <c r="Z96">
        <v>6</v>
      </c>
      <c r="AA96">
        <v>6</v>
      </c>
      <c r="AB96">
        <v>5</v>
      </c>
      <c r="AC96">
        <v>0</v>
      </c>
      <c r="AD96">
        <v>0</v>
      </c>
      <c r="AE96">
        <v>4</v>
      </c>
      <c r="AF96">
        <v>6</v>
      </c>
      <c r="AG96">
        <v>6</v>
      </c>
      <c r="AH96">
        <v>1.1000000000000001</v>
      </c>
      <c r="AI96">
        <v>-19</v>
      </c>
    </row>
    <row r="97" spans="1:35" ht="21" x14ac:dyDescent="0.3">
      <c r="A97" t="s">
        <v>550</v>
      </c>
      <c r="B97" s="11">
        <v>14</v>
      </c>
      <c r="C97">
        <v>137</v>
      </c>
      <c r="D97">
        <v>14</v>
      </c>
      <c r="E97" s="4">
        <v>44703</v>
      </c>
      <c r="F97" t="s">
        <v>33</v>
      </c>
      <c r="G97" t="s">
        <v>37</v>
      </c>
      <c r="H97" t="s">
        <v>49</v>
      </c>
      <c r="I97" t="s">
        <v>183</v>
      </c>
      <c r="J97" t="s">
        <v>41</v>
      </c>
      <c r="K97" s="9">
        <v>1.5381944444444444</v>
      </c>
      <c r="L97">
        <v>5</v>
      </c>
      <c r="M97">
        <v>10</v>
      </c>
      <c r="N97">
        <v>0.5</v>
      </c>
      <c r="O97">
        <v>0</v>
      </c>
      <c r="P97">
        <v>0</v>
      </c>
      <c r="R97">
        <v>5</v>
      </c>
      <c r="S97">
        <v>10</v>
      </c>
      <c r="T97">
        <v>0.5</v>
      </c>
      <c r="U97">
        <v>0.5</v>
      </c>
      <c r="V97">
        <v>0</v>
      </c>
      <c r="W97">
        <v>0</v>
      </c>
      <c r="Y97">
        <v>1</v>
      </c>
      <c r="Z97">
        <v>4</v>
      </c>
      <c r="AA97">
        <v>5</v>
      </c>
      <c r="AB97">
        <v>5</v>
      </c>
      <c r="AC97">
        <v>2</v>
      </c>
      <c r="AD97">
        <v>1</v>
      </c>
      <c r="AE97">
        <v>3</v>
      </c>
      <c r="AF97">
        <v>4</v>
      </c>
      <c r="AG97">
        <v>10</v>
      </c>
      <c r="AH97">
        <v>8.5</v>
      </c>
      <c r="AI97">
        <v>19</v>
      </c>
    </row>
    <row r="98" spans="1:35" ht="21" x14ac:dyDescent="0.3">
      <c r="A98" t="s">
        <v>550</v>
      </c>
      <c r="B98" s="11">
        <v>15</v>
      </c>
      <c r="C98">
        <v>138</v>
      </c>
      <c r="D98">
        <v>15</v>
      </c>
      <c r="E98" s="4">
        <v>44705</v>
      </c>
      <c r="F98" t="s">
        <v>33</v>
      </c>
      <c r="G98" t="s">
        <v>37</v>
      </c>
      <c r="H98" t="s">
        <v>49</v>
      </c>
      <c r="I98" t="s">
        <v>184</v>
      </c>
      <c r="J98" t="s">
        <v>41</v>
      </c>
      <c r="K98" s="9">
        <v>1.0770833333333334</v>
      </c>
      <c r="L98">
        <v>4</v>
      </c>
      <c r="M98">
        <v>8</v>
      </c>
      <c r="N98">
        <v>0.5</v>
      </c>
      <c r="O98">
        <v>0</v>
      </c>
      <c r="P98">
        <v>2</v>
      </c>
      <c r="Q98">
        <v>0</v>
      </c>
      <c r="R98">
        <v>4</v>
      </c>
      <c r="S98">
        <v>6</v>
      </c>
      <c r="T98">
        <v>0.66700000000000004</v>
      </c>
      <c r="U98">
        <v>0.5</v>
      </c>
      <c r="V98">
        <v>2</v>
      </c>
      <c r="W98">
        <v>5</v>
      </c>
      <c r="X98">
        <v>0.4</v>
      </c>
      <c r="Y98">
        <v>0</v>
      </c>
      <c r="Z98">
        <v>6</v>
      </c>
      <c r="AA98">
        <v>6</v>
      </c>
      <c r="AB98">
        <v>6</v>
      </c>
      <c r="AC98">
        <v>0</v>
      </c>
      <c r="AD98">
        <v>2</v>
      </c>
      <c r="AE98">
        <v>1</v>
      </c>
      <c r="AF98">
        <v>1</v>
      </c>
      <c r="AG98">
        <v>10</v>
      </c>
      <c r="AH98">
        <v>10.8</v>
      </c>
      <c r="AI98">
        <v>-18</v>
      </c>
    </row>
    <row r="99" spans="1:35" ht="21" x14ac:dyDescent="0.3">
      <c r="A99" t="s">
        <v>550</v>
      </c>
      <c r="B99" s="11">
        <v>16</v>
      </c>
      <c r="C99">
        <v>139</v>
      </c>
      <c r="D99">
        <v>16</v>
      </c>
      <c r="E99" s="4">
        <v>44707</v>
      </c>
      <c r="F99" t="s">
        <v>33</v>
      </c>
      <c r="H99" t="s">
        <v>49</v>
      </c>
      <c r="I99" t="s">
        <v>185</v>
      </c>
      <c r="J99" t="s">
        <v>41</v>
      </c>
      <c r="K99" s="9">
        <v>1.3090277777777777</v>
      </c>
      <c r="L99">
        <v>6</v>
      </c>
      <c r="M99">
        <v>7</v>
      </c>
      <c r="N99">
        <v>0.85699999999999998</v>
      </c>
      <c r="O99">
        <v>1</v>
      </c>
      <c r="P99">
        <v>1</v>
      </c>
      <c r="Q99">
        <v>1</v>
      </c>
      <c r="R99">
        <v>5</v>
      </c>
      <c r="S99">
        <v>6</v>
      </c>
      <c r="T99">
        <v>0.83299999999999996</v>
      </c>
      <c r="U99">
        <v>0.92900000000000005</v>
      </c>
      <c r="V99">
        <v>4</v>
      </c>
      <c r="W99">
        <v>4</v>
      </c>
      <c r="X99">
        <v>1</v>
      </c>
      <c r="Y99">
        <v>1</v>
      </c>
      <c r="Z99">
        <v>5</v>
      </c>
      <c r="AA99">
        <v>6</v>
      </c>
      <c r="AB99">
        <v>9</v>
      </c>
      <c r="AC99">
        <v>0</v>
      </c>
      <c r="AD99">
        <v>1</v>
      </c>
      <c r="AE99">
        <v>3</v>
      </c>
      <c r="AF99">
        <v>5</v>
      </c>
      <c r="AG99">
        <v>17</v>
      </c>
      <c r="AH99">
        <v>18.7</v>
      </c>
      <c r="AI99">
        <v>11</v>
      </c>
    </row>
    <row r="100" spans="1:35" ht="21" x14ac:dyDescent="0.3">
      <c r="A100" t="s">
        <v>550</v>
      </c>
      <c r="B100" s="11">
        <v>17</v>
      </c>
      <c r="C100">
        <v>140</v>
      </c>
      <c r="D100">
        <v>17</v>
      </c>
      <c r="E100" s="4">
        <v>44714</v>
      </c>
      <c r="F100" t="s">
        <v>33</v>
      </c>
      <c r="H100" t="s">
        <v>55</v>
      </c>
      <c r="I100" t="s">
        <v>186</v>
      </c>
      <c r="J100" t="s">
        <v>41</v>
      </c>
      <c r="K100" s="9">
        <v>1.5847222222222221</v>
      </c>
      <c r="L100">
        <v>2</v>
      </c>
      <c r="M100">
        <v>12</v>
      </c>
      <c r="N100">
        <v>0.16700000000000001</v>
      </c>
      <c r="O100">
        <v>0</v>
      </c>
      <c r="P100">
        <v>4</v>
      </c>
      <c r="Q100">
        <v>0</v>
      </c>
      <c r="R100">
        <v>2</v>
      </c>
      <c r="S100">
        <v>8</v>
      </c>
      <c r="T100">
        <v>0.25</v>
      </c>
      <c r="U100">
        <v>0.16700000000000001</v>
      </c>
      <c r="V100">
        <v>0</v>
      </c>
      <c r="W100">
        <v>3</v>
      </c>
      <c r="X100">
        <v>0</v>
      </c>
      <c r="Y100">
        <v>3</v>
      </c>
      <c r="Z100">
        <v>8</v>
      </c>
      <c r="AA100">
        <v>11</v>
      </c>
      <c r="AB100">
        <v>5</v>
      </c>
      <c r="AC100">
        <v>2</v>
      </c>
      <c r="AD100">
        <v>0</v>
      </c>
      <c r="AE100">
        <v>3</v>
      </c>
      <c r="AF100">
        <v>6</v>
      </c>
      <c r="AG100">
        <v>4</v>
      </c>
      <c r="AH100">
        <v>-0.2</v>
      </c>
      <c r="AI100">
        <v>-1</v>
      </c>
    </row>
    <row r="101" spans="1:35" ht="21" x14ac:dyDescent="0.3">
      <c r="A101" t="s">
        <v>550</v>
      </c>
      <c r="B101" s="11">
        <v>18</v>
      </c>
      <c r="C101">
        <v>141</v>
      </c>
      <c r="D101">
        <v>18</v>
      </c>
      <c r="E101" s="4">
        <v>44717</v>
      </c>
      <c r="F101" t="s">
        <v>33</v>
      </c>
      <c r="H101" t="s">
        <v>55</v>
      </c>
      <c r="I101" t="s">
        <v>187</v>
      </c>
      <c r="J101" t="s">
        <v>41</v>
      </c>
      <c r="K101" s="9">
        <v>1.4534722222222223</v>
      </c>
      <c r="L101">
        <v>2</v>
      </c>
      <c r="M101">
        <v>3</v>
      </c>
      <c r="N101">
        <v>0.66700000000000004</v>
      </c>
      <c r="O101">
        <v>0</v>
      </c>
      <c r="P101">
        <v>1</v>
      </c>
      <c r="Q101">
        <v>0</v>
      </c>
      <c r="R101">
        <v>2</v>
      </c>
      <c r="S101">
        <v>2</v>
      </c>
      <c r="T101">
        <v>1</v>
      </c>
      <c r="U101">
        <v>0.66700000000000004</v>
      </c>
      <c r="V101">
        <v>5</v>
      </c>
      <c r="W101">
        <v>7</v>
      </c>
      <c r="X101">
        <v>0.71399999999999997</v>
      </c>
      <c r="Y101">
        <v>0</v>
      </c>
      <c r="Z101">
        <v>5</v>
      </c>
      <c r="AA101">
        <v>5</v>
      </c>
      <c r="AB101">
        <v>7</v>
      </c>
      <c r="AC101">
        <v>1</v>
      </c>
      <c r="AD101">
        <v>1</v>
      </c>
      <c r="AE101">
        <v>1</v>
      </c>
      <c r="AF101">
        <v>3</v>
      </c>
      <c r="AG101">
        <v>9</v>
      </c>
      <c r="AH101">
        <v>12.8</v>
      </c>
      <c r="AI101">
        <v>7</v>
      </c>
    </row>
    <row r="102" spans="1:35" ht="21" x14ac:dyDescent="0.3">
      <c r="A102" t="s">
        <v>550</v>
      </c>
      <c r="B102" s="11">
        <v>19</v>
      </c>
      <c r="C102">
        <v>142</v>
      </c>
      <c r="D102">
        <v>19</v>
      </c>
      <c r="E102" s="4">
        <v>44720</v>
      </c>
      <c r="F102" t="s">
        <v>33</v>
      </c>
      <c r="G102" t="s">
        <v>37</v>
      </c>
      <c r="H102" t="s">
        <v>55</v>
      </c>
      <c r="I102" t="s">
        <v>188</v>
      </c>
      <c r="J102" t="s">
        <v>41</v>
      </c>
      <c r="K102" s="9">
        <v>1.4493055555555556</v>
      </c>
      <c r="L102">
        <v>1</v>
      </c>
      <c r="M102">
        <v>4</v>
      </c>
      <c r="N102">
        <v>0.25</v>
      </c>
      <c r="O102">
        <v>0</v>
      </c>
      <c r="P102">
        <v>2</v>
      </c>
      <c r="Q102">
        <v>0</v>
      </c>
      <c r="R102">
        <v>1</v>
      </c>
      <c r="S102">
        <v>2</v>
      </c>
      <c r="T102">
        <v>0.5</v>
      </c>
      <c r="U102">
        <v>0.25</v>
      </c>
      <c r="V102">
        <v>0</v>
      </c>
      <c r="W102">
        <v>0</v>
      </c>
      <c r="Y102">
        <v>1</v>
      </c>
      <c r="Z102">
        <v>3</v>
      </c>
      <c r="AA102">
        <v>4</v>
      </c>
      <c r="AB102">
        <v>3</v>
      </c>
      <c r="AC102">
        <v>0</v>
      </c>
      <c r="AD102">
        <v>1</v>
      </c>
      <c r="AE102">
        <v>2</v>
      </c>
      <c r="AF102">
        <v>6</v>
      </c>
      <c r="AG102">
        <v>2</v>
      </c>
      <c r="AH102">
        <v>-0.4</v>
      </c>
      <c r="AI102">
        <v>-13</v>
      </c>
    </row>
    <row r="103" spans="1:35" ht="21" x14ac:dyDescent="0.3">
      <c r="A103" t="s">
        <v>550</v>
      </c>
      <c r="B103" s="11">
        <v>20</v>
      </c>
      <c r="C103">
        <v>143</v>
      </c>
      <c r="D103">
        <v>20</v>
      </c>
      <c r="E103" s="4">
        <v>44722</v>
      </c>
      <c r="F103" t="s">
        <v>33</v>
      </c>
      <c r="G103" t="s">
        <v>37</v>
      </c>
      <c r="H103" t="s">
        <v>55</v>
      </c>
      <c r="I103" t="s">
        <v>189</v>
      </c>
      <c r="J103" t="s">
        <v>41</v>
      </c>
      <c r="K103" s="9">
        <v>1.3729166666666666</v>
      </c>
      <c r="L103">
        <v>1</v>
      </c>
      <c r="M103">
        <v>7</v>
      </c>
      <c r="N103">
        <v>0.14299999999999999</v>
      </c>
      <c r="O103">
        <v>0</v>
      </c>
      <c r="P103">
        <v>2</v>
      </c>
      <c r="Q103">
        <v>0</v>
      </c>
      <c r="R103">
        <v>1</v>
      </c>
      <c r="S103">
        <v>5</v>
      </c>
      <c r="T103">
        <v>0.2</v>
      </c>
      <c r="U103">
        <v>0.14299999999999999</v>
      </c>
      <c r="V103">
        <v>0</v>
      </c>
      <c r="W103">
        <v>0</v>
      </c>
      <c r="Y103">
        <v>5</v>
      </c>
      <c r="Z103">
        <v>4</v>
      </c>
      <c r="AA103">
        <v>9</v>
      </c>
      <c r="AB103">
        <v>8</v>
      </c>
      <c r="AC103">
        <v>4</v>
      </c>
      <c r="AD103">
        <v>0</v>
      </c>
      <c r="AE103">
        <v>2</v>
      </c>
      <c r="AF103">
        <v>3</v>
      </c>
      <c r="AG103">
        <v>2</v>
      </c>
      <c r="AH103">
        <v>8.6</v>
      </c>
      <c r="AI103">
        <v>0</v>
      </c>
    </row>
    <row r="104" spans="1:35" ht="21" x14ac:dyDescent="0.3">
      <c r="A104" t="s">
        <v>550</v>
      </c>
      <c r="B104" s="11">
        <v>21</v>
      </c>
      <c r="C104">
        <v>144</v>
      </c>
      <c r="D104">
        <v>21</v>
      </c>
      <c r="E104" s="4">
        <v>44725</v>
      </c>
      <c r="F104" t="s">
        <v>33</v>
      </c>
      <c r="H104" t="s">
        <v>55</v>
      </c>
      <c r="I104" t="s">
        <v>106</v>
      </c>
      <c r="J104" t="s">
        <v>41</v>
      </c>
      <c r="K104" s="9">
        <v>1.4576388888888889</v>
      </c>
      <c r="L104">
        <v>3</v>
      </c>
      <c r="M104">
        <v>6</v>
      </c>
      <c r="N104">
        <v>0.5</v>
      </c>
      <c r="O104">
        <v>0</v>
      </c>
      <c r="P104">
        <v>2</v>
      </c>
      <c r="Q104">
        <v>0</v>
      </c>
      <c r="R104">
        <v>3</v>
      </c>
      <c r="S104">
        <v>4</v>
      </c>
      <c r="T104">
        <v>0.75</v>
      </c>
      <c r="U104">
        <v>0.5</v>
      </c>
      <c r="V104">
        <v>2</v>
      </c>
      <c r="W104">
        <v>2</v>
      </c>
      <c r="X104">
        <v>1</v>
      </c>
      <c r="Y104">
        <v>1</v>
      </c>
      <c r="Z104">
        <v>6</v>
      </c>
      <c r="AA104">
        <v>7</v>
      </c>
      <c r="AB104">
        <v>6</v>
      </c>
      <c r="AC104">
        <v>1</v>
      </c>
      <c r="AD104">
        <v>0</v>
      </c>
      <c r="AE104">
        <v>2</v>
      </c>
      <c r="AF104">
        <v>6</v>
      </c>
      <c r="AG104">
        <v>8</v>
      </c>
      <c r="AH104">
        <v>8.3000000000000007</v>
      </c>
      <c r="AI104">
        <v>11</v>
      </c>
    </row>
    <row r="105" spans="1:35" ht="21" x14ac:dyDescent="0.3">
      <c r="A105" t="s">
        <v>550</v>
      </c>
      <c r="B105" s="11">
        <v>22</v>
      </c>
      <c r="C105">
        <v>145</v>
      </c>
      <c r="D105">
        <v>22</v>
      </c>
      <c r="E105" s="4">
        <v>44728</v>
      </c>
      <c r="F105" t="s">
        <v>33</v>
      </c>
      <c r="G105" t="s">
        <v>37</v>
      </c>
      <c r="H105" t="s">
        <v>55</v>
      </c>
      <c r="I105" t="s">
        <v>190</v>
      </c>
      <c r="J105" t="s">
        <v>41</v>
      </c>
      <c r="K105" s="9">
        <v>1.742361111111111</v>
      </c>
      <c r="L105">
        <v>5</v>
      </c>
      <c r="M105">
        <v>10</v>
      </c>
      <c r="N105">
        <v>0.5</v>
      </c>
      <c r="O105">
        <v>2</v>
      </c>
      <c r="P105">
        <v>5</v>
      </c>
      <c r="Q105">
        <v>0.4</v>
      </c>
      <c r="R105">
        <v>3</v>
      </c>
      <c r="S105">
        <v>5</v>
      </c>
      <c r="T105">
        <v>0.6</v>
      </c>
      <c r="U105">
        <v>0.6</v>
      </c>
      <c r="V105">
        <v>0</v>
      </c>
      <c r="W105">
        <v>0</v>
      </c>
      <c r="Y105">
        <v>4</v>
      </c>
      <c r="Z105">
        <v>8</v>
      </c>
      <c r="AA105">
        <v>12</v>
      </c>
      <c r="AB105">
        <v>8</v>
      </c>
      <c r="AC105">
        <v>2</v>
      </c>
      <c r="AD105">
        <v>2</v>
      </c>
      <c r="AE105">
        <v>5</v>
      </c>
      <c r="AF105">
        <v>1</v>
      </c>
      <c r="AG105">
        <v>12</v>
      </c>
      <c r="AH105">
        <v>15.8</v>
      </c>
      <c r="AI105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7BAF-F53C-454E-B8A9-8C48AA0A4015}">
  <dimension ref="A1:AH83"/>
  <sheetViews>
    <sheetView workbookViewId="0">
      <selection activeCell="H2" sqref="H2:H83"/>
    </sheetView>
  </sheetViews>
  <sheetFormatPr baseColWidth="10" defaultRowHeight="16" x14ac:dyDescent="0.2"/>
  <sheetData>
    <row r="1" spans="1:34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ht="21" x14ac:dyDescent="0.3">
      <c r="A2" t="s">
        <v>549</v>
      </c>
      <c r="B2" s="11">
        <v>1</v>
      </c>
      <c r="C2">
        <v>285</v>
      </c>
      <c r="D2">
        <v>1</v>
      </c>
      <c r="E2" s="4">
        <v>44490</v>
      </c>
      <c r="F2" t="s">
        <v>64</v>
      </c>
      <c r="G2" t="s">
        <v>37</v>
      </c>
      <c r="H2" t="s">
        <v>33</v>
      </c>
      <c r="I2" t="s">
        <v>368</v>
      </c>
      <c r="J2" t="s">
        <v>41</v>
      </c>
      <c r="K2" s="7">
        <v>0.71666666666666667</v>
      </c>
      <c r="L2">
        <v>4</v>
      </c>
      <c r="M2">
        <v>7</v>
      </c>
      <c r="N2">
        <v>0.57099999999999995</v>
      </c>
      <c r="O2">
        <v>0</v>
      </c>
      <c r="P2">
        <v>0</v>
      </c>
      <c r="Q2">
        <v>4</v>
      </c>
      <c r="R2">
        <v>7</v>
      </c>
      <c r="S2">
        <v>0.57099999999999995</v>
      </c>
      <c r="T2">
        <v>0.57099999999999995</v>
      </c>
      <c r="U2">
        <v>6</v>
      </c>
      <c r="V2">
        <v>10</v>
      </c>
      <c r="W2">
        <v>0.6</v>
      </c>
      <c r="X2">
        <v>1</v>
      </c>
      <c r="Y2">
        <v>2</v>
      </c>
      <c r="Z2">
        <v>3</v>
      </c>
      <c r="AA2">
        <v>2</v>
      </c>
      <c r="AB2">
        <v>0</v>
      </c>
      <c r="AC2">
        <v>0</v>
      </c>
      <c r="AD2">
        <v>0</v>
      </c>
      <c r="AE2">
        <v>2</v>
      </c>
      <c r="AF2">
        <v>14</v>
      </c>
      <c r="AG2">
        <v>11</v>
      </c>
      <c r="AH2">
        <v>-13</v>
      </c>
    </row>
    <row r="3" spans="1:34" ht="21" x14ac:dyDescent="0.3">
      <c r="A3" t="s">
        <v>549</v>
      </c>
      <c r="B3" s="11">
        <v>2</v>
      </c>
      <c r="C3">
        <v>286</v>
      </c>
      <c r="D3">
        <v>2</v>
      </c>
      <c r="E3" s="4">
        <v>44492</v>
      </c>
      <c r="F3" t="s">
        <v>64</v>
      </c>
      <c r="H3" t="s">
        <v>42</v>
      </c>
      <c r="I3" t="s">
        <v>369</v>
      </c>
      <c r="J3" t="s">
        <v>41</v>
      </c>
      <c r="K3" s="7">
        <v>0.8041666666666667</v>
      </c>
      <c r="L3">
        <v>3</v>
      </c>
      <c r="M3">
        <v>7</v>
      </c>
      <c r="N3">
        <v>0.42899999999999999</v>
      </c>
      <c r="O3">
        <v>0</v>
      </c>
      <c r="P3">
        <v>0</v>
      </c>
      <c r="Q3">
        <v>3</v>
      </c>
      <c r="R3">
        <v>7</v>
      </c>
      <c r="S3">
        <v>0.42899999999999999</v>
      </c>
      <c r="T3">
        <v>0.42899999999999999</v>
      </c>
      <c r="U3">
        <v>0</v>
      </c>
      <c r="V3">
        <v>0</v>
      </c>
      <c r="X3">
        <v>4</v>
      </c>
      <c r="Y3">
        <v>4</v>
      </c>
      <c r="Z3">
        <v>8</v>
      </c>
      <c r="AA3">
        <v>3</v>
      </c>
      <c r="AB3">
        <v>0</v>
      </c>
      <c r="AC3">
        <v>0</v>
      </c>
      <c r="AD3">
        <v>0</v>
      </c>
      <c r="AE3">
        <v>2</v>
      </c>
      <c r="AF3">
        <v>6</v>
      </c>
      <c r="AG3">
        <v>7.6</v>
      </c>
      <c r="AH3">
        <v>-18</v>
      </c>
    </row>
    <row r="4" spans="1:34" ht="21" x14ac:dyDescent="0.3">
      <c r="A4" t="s">
        <v>549</v>
      </c>
      <c r="B4" s="11">
        <v>3</v>
      </c>
      <c r="C4">
        <v>287</v>
      </c>
      <c r="D4">
        <v>3</v>
      </c>
      <c r="E4" s="4">
        <v>44494</v>
      </c>
      <c r="F4" t="s">
        <v>64</v>
      </c>
      <c r="H4" t="s">
        <v>96</v>
      </c>
      <c r="I4" t="s">
        <v>370</v>
      </c>
      <c r="J4" t="s">
        <v>41</v>
      </c>
      <c r="K4" s="9">
        <v>1.0409722222222222</v>
      </c>
      <c r="L4">
        <v>5</v>
      </c>
      <c r="M4">
        <v>6</v>
      </c>
      <c r="N4">
        <v>0.83299999999999996</v>
      </c>
      <c r="O4">
        <v>0</v>
      </c>
      <c r="P4">
        <v>0</v>
      </c>
      <c r="Q4">
        <v>5</v>
      </c>
      <c r="R4">
        <v>6</v>
      </c>
      <c r="S4">
        <v>0.83299999999999996</v>
      </c>
      <c r="T4">
        <v>0.83299999999999996</v>
      </c>
      <c r="U4">
        <v>0</v>
      </c>
      <c r="V4">
        <v>0</v>
      </c>
      <c r="X4">
        <v>0</v>
      </c>
      <c r="Y4">
        <v>8</v>
      </c>
      <c r="Z4">
        <v>8</v>
      </c>
      <c r="AA4">
        <v>4</v>
      </c>
      <c r="AB4">
        <v>2</v>
      </c>
      <c r="AC4">
        <v>0</v>
      </c>
      <c r="AD4">
        <v>1</v>
      </c>
      <c r="AE4">
        <v>0</v>
      </c>
      <c r="AF4">
        <v>10</v>
      </c>
      <c r="AG4">
        <v>14</v>
      </c>
      <c r="AH4">
        <v>14</v>
      </c>
    </row>
    <row r="5" spans="1:34" ht="21" x14ac:dyDescent="0.3">
      <c r="A5" t="s">
        <v>549</v>
      </c>
      <c r="B5" s="11">
        <v>4</v>
      </c>
      <c r="C5">
        <v>288</v>
      </c>
      <c r="D5">
        <v>4</v>
      </c>
      <c r="E5" s="4">
        <v>44496</v>
      </c>
      <c r="F5" t="s">
        <v>64</v>
      </c>
      <c r="H5" t="s">
        <v>87</v>
      </c>
      <c r="I5" t="s">
        <v>371</v>
      </c>
      <c r="J5" t="s">
        <v>41</v>
      </c>
      <c r="K5" s="9">
        <v>1.0201388888888889</v>
      </c>
      <c r="L5">
        <v>4</v>
      </c>
      <c r="M5">
        <v>6</v>
      </c>
      <c r="N5">
        <v>0.66700000000000004</v>
      </c>
      <c r="O5">
        <v>0</v>
      </c>
      <c r="P5">
        <v>0</v>
      </c>
      <c r="Q5">
        <v>4</v>
      </c>
      <c r="R5">
        <v>6</v>
      </c>
      <c r="S5">
        <v>0.66700000000000004</v>
      </c>
      <c r="T5">
        <v>0.66700000000000004</v>
      </c>
      <c r="U5">
        <v>3</v>
      </c>
      <c r="V5">
        <v>5</v>
      </c>
      <c r="W5">
        <v>0.6</v>
      </c>
      <c r="X5">
        <v>2</v>
      </c>
      <c r="Y5">
        <v>2</v>
      </c>
      <c r="Z5">
        <v>4</v>
      </c>
      <c r="AA5">
        <v>1</v>
      </c>
      <c r="AB5">
        <v>0</v>
      </c>
      <c r="AC5">
        <v>1</v>
      </c>
      <c r="AD5">
        <v>0</v>
      </c>
      <c r="AE5">
        <v>3</v>
      </c>
      <c r="AF5">
        <v>11</v>
      </c>
      <c r="AG5">
        <v>9.8000000000000007</v>
      </c>
      <c r="AH5">
        <v>-8</v>
      </c>
    </row>
    <row r="6" spans="1:34" ht="21" x14ac:dyDescent="0.3">
      <c r="A6" t="s">
        <v>549</v>
      </c>
      <c r="B6" s="11">
        <v>5</v>
      </c>
      <c r="C6">
        <v>289</v>
      </c>
      <c r="D6">
        <v>5</v>
      </c>
      <c r="E6" s="4">
        <v>44498</v>
      </c>
      <c r="F6" t="s">
        <v>64</v>
      </c>
      <c r="G6" t="s">
        <v>37</v>
      </c>
      <c r="H6" t="s">
        <v>96</v>
      </c>
      <c r="I6" t="s">
        <v>372</v>
      </c>
      <c r="J6" t="s">
        <v>41</v>
      </c>
      <c r="K6" s="7">
        <v>0.92291666666666672</v>
      </c>
      <c r="L6">
        <v>1</v>
      </c>
      <c r="M6">
        <v>5</v>
      </c>
      <c r="N6">
        <v>0.2</v>
      </c>
      <c r="O6">
        <v>0</v>
      </c>
      <c r="P6">
        <v>0</v>
      </c>
      <c r="Q6">
        <v>1</v>
      </c>
      <c r="R6">
        <v>5</v>
      </c>
      <c r="S6">
        <v>0.2</v>
      </c>
      <c r="T6">
        <v>0.2</v>
      </c>
      <c r="U6">
        <v>1</v>
      </c>
      <c r="V6">
        <v>2</v>
      </c>
      <c r="W6">
        <v>0.5</v>
      </c>
      <c r="X6">
        <v>2</v>
      </c>
      <c r="Y6">
        <v>3</v>
      </c>
      <c r="Z6">
        <v>5</v>
      </c>
      <c r="AA6">
        <v>1</v>
      </c>
      <c r="AB6">
        <v>0</v>
      </c>
      <c r="AC6">
        <v>2</v>
      </c>
      <c r="AD6">
        <v>1</v>
      </c>
      <c r="AE6">
        <v>2</v>
      </c>
      <c r="AF6">
        <v>3</v>
      </c>
      <c r="AG6">
        <v>2.1</v>
      </c>
      <c r="AH6">
        <v>-16</v>
      </c>
    </row>
    <row r="7" spans="1:34" ht="21" x14ac:dyDescent="0.3">
      <c r="A7" t="s">
        <v>549</v>
      </c>
      <c r="B7" s="11">
        <v>6</v>
      </c>
      <c r="C7">
        <v>290</v>
      </c>
      <c r="D7">
        <v>6</v>
      </c>
      <c r="E7" s="4">
        <v>44501</v>
      </c>
      <c r="F7" t="s">
        <v>64</v>
      </c>
      <c r="H7" t="s">
        <v>68</v>
      </c>
      <c r="I7" t="s">
        <v>241</v>
      </c>
      <c r="J7" t="s">
        <v>41</v>
      </c>
      <c r="K7" s="7">
        <v>0.52222222222222225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2</v>
      </c>
      <c r="W7">
        <v>0.5</v>
      </c>
      <c r="X7">
        <v>3</v>
      </c>
      <c r="Y7">
        <v>2</v>
      </c>
      <c r="Z7">
        <v>5</v>
      </c>
      <c r="AA7">
        <v>0</v>
      </c>
      <c r="AB7">
        <v>0</v>
      </c>
      <c r="AC7">
        <v>0</v>
      </c>
      <c r="AD7">
        <v>0</v>
      </c>
      <c r="AE7">
        <v>0</v>
      </c>
      <c r="AF7">
        <v>3</v>
      </c>
      <c r="AG7">
        <v>5</v>
      </c>
      <c r="AH7">
        <v>-13</v>
      </c>
    </row>
    <row r="8" spans="1:34" ht="21" x14ac:dyDescent="0.3">
      <c r="A8" t="s">
        <v>549</v>
      </c>
      <c r="B8" s="11">
        <v>7</v>
      </c>
      <c r="C8">
        <v>291</v>
      </c>
      <c r="D8">
        <v>7</v>
      </c>
      <c r="E8" s="4">
        <v>44503</v>
      </c>
      <c r="F8" t="s">
        <v>64</v>
      </c>
      <c r="G8" t="s">
        <v>37</v>
      </c>
      <c r="H8" t="s">
        <v>80</v>
      </c>
      <c r="I8" t="s">
        <v>373</v>
      </c>
      <c r="J8" t="s">
        <v>41</v>
      </c>
      <c r="K8" s="9">
        <v>1.4340277777777777</v>
      </c>
      <c r="L8">
        <v>4</v>
      </c>
      <c r="M8">
        <v>5</v>
      </c>
      <c r="N8">
        <v>0.8</v>
      </c>
      <c r="O8">
        <v>0</v>
      </c>
      <c r="P8">
        <v>0</v>
      </c>
      <c r="Q8">
        <v>4</v>
      </c>
      <c r="R8">
        <v>5</v>
      </c>
      <c r="S8">
        <v>0.8</v>
      </c>
      <c r="T8">
        <v>0.8</v>
      </c>
      <c r="U8">
        <v>2</v>
      </c>
      <c r="V8">
        <v>2</v>
      </c>
      <c r="W8">
        <v>1</v>
      </c>
      <c r="X8">
        <v>1</v>
      </c>
      <c r="Y8">
        <v>5</v>
      </c>
      <c r="Z8">
        <v>6</v>
      </c>
      <c r="AA8">
        <v>2</v>
      </c>
      <c r="AB8">
        <v>1</v>
      </c>
      <c r="AC8">
        <v>1</v>
      </c>
      <c r="AD8">
        <v>1</v>
      </c>
      <c r="AE8">
        <v>2</v>
      </c>
      <c r="AF8">
        <v>10</v>
      </c>
      <c r="AG8">
        <v>11.6</v>
      </c>
      <c r="AH8">
        <v>10</v>
      </c>
    </row>
    <row r="9" spans="1:34" ht="21" x14ac:dyDescent="0.3">
      <c r="A9" t="s">
        <v>549</v>
      </c>
      <c r="B9" s="11">
        <v>8</v>
      </c>
      <c r="C9">
        <v>292</v>
      </c>
      <c r="D9">
        <v>8</v>
      </c>
      <c r="E9" s="4">
        <v>44505</v>
      </c>
      <c r="F9" t="s">
        <v>64</v>
      </c>
      <c r="G9" t="s">
        <v>37</v>
      </c>
      <c r="H9" t="s">
        <v>80</v>
      </c>
      <c r="I9" t="s">
        <v>374</v>
      </c>
      <c r="J9" t="s">
        <v>41</v>
      </c>
      <c r="K9" s="9">
        <v>1.2875000000000001</v>
      </c>
      <c r="L9">
        <v>5</v>
      </c>
      <c r="M9">
        <v>7</v>
      </c>
      <c r="N9">
        <v>0.71399999999999997</v>
      </c>
      <c r="O9">
        <v>0</v>
      </c>
      <c r="P9">
        <v>0</v>
      </c>
      <c r="Q9">
        <v>5</v>
      </c>
      <c r="R9">
        <v>7</v>
      </c>
      <c r="S9">
        <v>0.71399999999999997</v>
      </c>
      <c r="T9">
        <v>0.71399999999999997</v>
      </c>
      <c r="U9">
        <v>4</v>
      </c>
      <c r="V9">
        <v>6</v>
      </c>
      <c r="W9">
        <v>0.66700000000000004</v>
      </c>
      <c r="X9">
        <v>4</v>
      </c>
      <c r="Y9">
        <v>10</v>
      </c>
      <c r="Z9">
        <v>14</v>
      </c>
      <c r="AA9">
        <v>0</v>
      </c>
      <c r="AB9">
        <v>2</v>
      </c>
      <c r="AC9">
        <v>1</v>
      </c>
      <c r="AD9">
        <v>5</v>
      </c>
      <c r="AE9">
        <v>2</v>
      </c>
      <c r="AF9">
        <v>14</v>
      </c>
      <c r="AG9">
        <v>13</v>
      </c>
      <c r="AH9">
        <v>11</v>
      </c>
    </row>
    <row r="10" spans="1:34" ht="21" x14ac:dyDescent="0.3">
      <c r="A10" t="s">
        <v>549</v>
      </c>
      <c r="B10" s="11">
        <v>9</v>
      </c>
      <c r="C10">
        <v>293</v>
      </c>
      <c r="D10">
        <v>9</v>
      </c>
      <c r="E10" s="4">
        <v>44507</v>
      </c>
      <c r="F10" t="s">
        <v>64</v>
      </c>
      <c r="H10" t="s">
        <v>72</v>
      </c>
      <c r="I10" t="s">
        <v>375</v>
      </c>
      <c r="J10" t="s">
        <v>41</v>
      </c>
      <c r="K10" s="9">
        <v>1.1625000000000001</v>
      </c>
      <c r="L10">
        <v>3</v>
      </c>
      <c r="M10">
        <v>3</v>
      </c>
      <c r="N10">
        <v>1</v>
      </c>
      <c r="O10">
        <v>0</v>
      </c>
      <c r="P10">
        <v>0</v>
      </c>
      <c r="Q10">
        <v>3</v>
      </c>
      <c r="R10">
        <v>3</v>
      </c>
      <c r="S10">
        <v>1</v>
      </c>
      <c r="T10">
        <v>1</v>
      </c>
      <c r="U10">
        <v>8</v>
      </c>
      <c r="V10">
        <v>8</v>
      </c>
      <c r="W10">
        <v>1</v>
      </c>
      <c r="X10">
        <v>3</v>
      </c>
      <c r="Y10">
        <v>8</v>
      </c>
      <c r="Z10">
        <v>11</v>
      </c>
      <c r="AA10">
        <v>0</v>
      </c>
      <c r="AB10">
        <v>0</v>
      </c>
      <c r="AC10">
        <v>2</v>
      </c>
      <c r="AD10">
        <v>0</v>
      </c>
      <c r="AE10">
        <v>4</v>
      </c>
      <c r="AF10">
        <v>14</v>
      </c>
      <c r="AG10">
        <v>17.399999999999999</v>
      </c>
      <c r="AH10">
        <v>7</v>
      </c>
    </row>
    <row r="11" spans="1:34" ht="21" x14ac:dyDescent="0.3">
      <c r="A11" t="s">
        <v>549</v>
      </c>
      <c r="B11" s="11">
        <v>10</v>
      </c>
      <c r="C11">
        <v>294</v>
      </c>
      <c r="D11">
        <v>10</v>
      </c>
      <c r="E11" s="4">
        <v>44509</v>
      </c>
      <c r="F11" t="s">
        <v>64</v>
      </c>
      <c r="H11" t="s">
        <v>96</v>
      </c>
      <c r="I11" t="s">
        <v>376</v>
      </c>
      <c r="J11" t="s">
        <v>41</v>
      </c>
      <c r="K11" s="9">
        <v>1.0055555555555555</v>
      </c>
      <c r="L11">
        <v>4</v>
      </c>
      <c r="M11">
        <v>5</v>
      </c>
      <c r="N11">
        <v>0.8</v>
      </c>
      <c r="O11">
        <v>0</v>
      </c>
      <c r="P11">
        <v>0</v>
      </c>
      <c r="Q11">
        <v>4</v>
      </c>
      <c r="R11">
        <v>5</v>
      </c>
      <c r="S11">
        <v>0.8</v>
      </c>
      <c r="T11">
        <v>0.8</v>
      </c>
      <c r="U11">
        <v>3</v>
      </c>
      <c r="V11">
        <v>4</v>
      </c>
      <c r="W11">
        <v>0.75</v>
      </c>
      <c r="X11">
        <v>2</v>
      </c>
      <c r="Y11">
        <v>5</v>
      </c>
      <c r="Z11">
        <v>7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11</v>
      </c>
      <c r="AG11">
        <v>10.8</v>
      </c>
      <c r="AH11">
        <v>-1</v>
      </c>
    </row>
    <row r="12" spans="1:34" ht="21" x14ac:dyDescent="0.3">
      <c r="A12" t="s">
        <v>549</v>
      </c>
      <c r="B12" s="11">
        <v>11</v>
      </c>
      <c r="C12">
        <v>295</v>
      </c>
      <c r="D12">
        <v>11</v>
      </c>
      <c r="E12" s="4">
        <v>44511</v>
      </c>
      <c r="F12" t="s">
        <v>64</v>
      </c>
      <c r="H12" t="s">
        <v>120</v>
      </c>
      <c r="I12" t="s">
        <v>377</v>
      </c>
      <c r="J12" t="s">
        <v>41</v>
      </c>
      <c r="K12" s="9">
        <v>1.2250000000000001</v>
      </c>
      <c r="L12">
        <v>7</v>
      </c>
      <c r="M12">
        <v>10</v>
      </c>
      <c r="N12">
        <v>0.7</v>
      </c>
      <c r="O12">
        <v>0</v>
      </c>
      <c r="P12">
        <v>0</v>
      </c>
      <c r="Q12">
        <v>7</v>
      </c>
      <c r="R12">
        <v>10</v>
      </c>
      <c r="S12">
        <v>0.7</v>
      </c>
      <c r="T12">
        <v>0.7</v>
      </c>
      <c r="U12">
        <v>4</v>
      </c>
      <c r="V12">
        <v>6</v>
      </c>
      <c r="W12">
        <v>0.66700000000000004</v>
      </c>
      <c r="X12">
        <v>3</v>
      </c>
      <c r="Y12">
        <v>8</v>
      </c>
      <c r="Z12">
        <v>11</v>
      </c>
      <c r="AA12">
        <v>1</v>
      </c>
      <c r="AB12">
        <v>0</v>
      </c>
      <c r="AC12">
        <v>2</v>
      </c>
      <c r="AD12">
        <v>0</v>
      </c>
      <c r="AE12">
        <v>4</v>
      </c>
      <c r="AF12">
        <v>18</v>
      </c>
      <c r="AG12">
        <v>18</v>
      </c>
      <c r="AH12">
        <v>7</v>
      </c>
    </row>
    <row r="13" spans="1:34" ht="21" x14ac:dyDescent="0.3">
      <c r="A13" t="s">
        <v>549</v>
      </c>
      <c r="B13" s="11">
        <v>12</v>
      </c>
      <c r="C13">
        <v>296</v>
      </c>
      <c r="D13">
        <v>12</v>
      </c>
      <c r="E13" s="4">
        <v>44513</v>
      </c>
      <c r="F13" t="s">
        <v>64</v>
      </c>
      <c r="H13" t="s">
        <v>80</v>
      </c>
      <c r="I13" t="s">
        <v>333</v>
      </c>
      <c r="J13" t="s">
        <v>41</v>
      </c>
      <c r="K13" s="7">
        <v>0.9458333333333333</v>
      </c>
      <c r="L13">
        <v>5</v>
      </c>
      <c r="M13">
        <v>8</v>
      </c>
      <c r="N13">
        <v>0.625</v>
      </c>
      <c r="O13">
        <v>0</v>
      </c>
      <c r="P13">
        <v>0</v>
      </c>
      <c r="Q13">
        <v>5</v>
      </c>
      <c r="R13">
        <v>8</v>
      </c>
      <c r="S13">
        <v>0.625</v>
      </c>
      <c r="T13">
        <v>0.625</v>
      </c>
      <c r="U13">
        <v>0</v>
      </c>
      <c r="V13">
        <v>0</v>
      </c>
      <c r="X13">
        <v>4</v>
      </c>
      <c r="Y13">
        <v>8</v>
      </c>
      <c r="Z13">
        <v>12</v>
      </c>
      <c r="AA13">
        <v>0</v>
      </c>
      <c r="AB13">
        <v>0</v>
      </c>
      <c r="AC13">
        <v>1</v>
      </c>
      <c r="AD13">
        <v>1</v>
      </c>
      <c r="AE13">
        <v>2</v>
      </c>
      <c r="AF13">
        <v>10</v>
      </c>
      <c r="AG13">
        <v>10.5</v>
      </c>
      <c r="AH13">
        <v>5</v>
      </c>
    </row>
    <row r="14" spans="1:34" ht="21" x14ac:dyDescent="0.3">
      <c r="A14" t="s">
        <v>549</v>
      </c>
      <c r="B14" s="11">
        <v>13</v>
      </c>
      <c r="C14">
        <v>297</v>
      </c>
      <c r="D14">
        <v>13</v>
      </c>
      <c r="E14" s="4">
        <v>44514</v>
      </c>
      <c r="F14" t="s">
        <v>64</v>
      </c>
      <c r="H14" t="s">
        <v>82</v>
      </c>
      <c r="I14" t="s">
        <v>378</v>
      </c>
      <c r="J14" t="s">
        <v>41</v>
      </c>
      <c r="K14" s="7">
        <v>0.96875</v>
      </c>
      <c r="L14">
        <v>1</v>
      </c>
      <c r="M14">
        <v>3</v>
      </c>
      <c r="N14">
        <v>0.33300000000000002</v>
      </c>
      <c r="O14">
        <v>0</v>
      </c>
      <c r="P14">
        <v>0</v>
      </c>
      <c r="Q14">
        <v>1</v>
      </c>
      <c r="R14">
        <v>3</v>
      </c>
      <c r="S14">
        <v>0.33300000000000002</v>
      </c>
      <c r="T14">
        <v>0.33300000000000002</v>
      </c>
      <c r="U14">
        <v>2</v>
      </c>
      <c r="V14">
        <v>2</v>
      </c>
      <c r="W14">
        <v>1</v>
      </c>
      <c r="X14">
        <v>2</v>
      </c>
      <c r="Y14">
        <v>5</v>
      </c>
      <c r="Z14">
        <v>7</v>
      </c>
      <c r="AA14">
        <v>0</v>
      </c>
      <c r="AB14">
        <v>0</v>
      </c>
      <c r="AC14">
        <v>4</v>
      </c>
      <c r="AD14">
        <v>5</v>
      </c>
      <c r="AE14">
        <v>1</v>
      </c>
      <c r="AF14">
        <v>4</v>
      </c>
      <c r="AG14">
        <v>2.6</v>
      </c>
      <c r="AH14">
        <v>-2</v>
      </c>
    </row>
    <row r="15" spans="1:34" ht="21" x14ac:dyDescent="0.3">
      <c r="A15" t="s">
        <v>549</v>
      </c>
      <c r="B15" s="11">
        <v>14</v>
      </c>
      <c r="C15">
        <v>298</v>
      </c>
      <c r="D15">
        <v>14</v>
      </c>
      <c r="E15" s="4">
        <v>44516</v>
      </c>
      <c r="F15" t="s">
        <v>64</v>
      </c>
      <c r="H15" t="s">
        <v>102</v>
      </c>
      <c r="I15" t="s">
        <v>379</v>
      </c>
      <c r="J15" t="s">
        <v>41</v>
      </c>
      <c r="K15" s="9">
        <v>1.3055555555555556</v>
      </c>
      <c r="L15">
        <v>3</v>
      </c>
      <c r="M15">
        <v>7</v>
      </c>
      <c r="N15">
        <v>0.42899999999999999</v>
      </c>
      <c r="O15">
        <v>0</v>
      </c>
      <c r="P15">
        <v>0</v>
      </c>
      <c r="Q15">
        <v>3</v>
      </c>
      <c r="R15">
        <v>7</v>
      </c>
      <c r="S15">
        <v>0.42899999999999999</v>
      </c>
      <c r="T15">
        <v>0.42899999999999999</v>
      </c>
      <c r="U15">
        <v>2</v>
      </c>
      <c r="V15">
        <v>2</v>
      </c>
      <c r="W15">
        <v>1</v>
      </c>
      <c r="X15">
        <v>6</v>
      </c>
      <c r="Y15">
        <v>7</v>
      </c>
      <c r="Z15">
        <v>13</v>
      </c>
      <c r="AA15">
        <v>1</v>
      </c>
      <c r="AB15">
        <v>1</v>
      </c>
      <c r="AC15">
        <v>0</v>
      </c>
      <c r="AD15">
        <v>1</v>
      </c>
      <c r="AE15">
        <v>2</v>
      </c>
      <c r="AF15">
        <v>8</v>
      </c>
      <c r="AG15">
        <v>10.5</v>
      </c>
      <c r="AH15">
        <v>-3</v>
      </c>
    </row>
    <row r="16" spans="1:34" ht="21" x14ac:dyDescent="0.3">
      <c r="A16" t="s">
        <v>549</v>
      </c>
      <c r="B16" s="11">
        <v>15</v>
      </c>
      <c r="C16">
        <v>299</v>
      </c>
      <c r="D16">
        <v>15</v>
      </c>
      <c r="E16" s="4">
        <v>44518</v>
      </c>
      <c r="F16" t="s">
        <v>64</v>
      </c>
      <c r="G16" t="s">
        <v>37</v>
      </c>
      <c r="H16" t="s">
        <v>42</v>
      </c>
      <c r="I16" t="s">
        <v>186</v>
      </c>
      <c r="J16" t="s">
        <v>41</v>
      </c>
      <c r="K16" s="9">
        <v>1.1201388888888888</v>
      </c>
      <c r="L16">
        <v>5</v>
      </c>
      <c r="M16">
        <v>8</v>
      </c>
      <c r="N16">
        <v>0.625</v>
      </c>
      <c r="O16">
        <v>0</v>
      </c>
      <c r="P16">
        <v>0</v>
      </c>
      <c r="Q16">
        <v>5</v>
      </c>
      <c r="R16">
        <v>8</v>
      </c>
      <c r="S16">
        <v>0.625</v>
      </c>
      <c r="T16">
        <v>0.625</v>
      </c>
      <c r="U16">
        <v>3</v>
      </c>
      <c r="V16">
        <v>3</v>
      </c>
      <c r="W16">
        <v>1</v>
      </c>
      <c r="X16">
        <v>2</v>
      </c>
      <c r="Y16">
        <v>5</v>
      </c>
      <c r="Z16">
        <v>7</v>
      </c>
      <c r="AA16">
        <v>2</v>
      </c>
      <c r="AB16">
        <v>0</v>
      </c>
      <c r="AC16">
        <v>1</v>
      </c>
      <c r="AD16">
        <v>1</v>
      </c>
      <c r="AE16">
        <v>3</v>
      </c>
      <c r="AF16">
        <v>13</v>
      </c>
      <c r="AG16">
        <v>12.2</v>
      </c>
      <c r="AH16">
        <v>-10</v>
      </c>
    </row>
    <row r="17" spans="1:34" ht="21" x14ac:dyDescent="0.3">
      <c r="A17" t="s">
        <v>549</v>
      </c>
      <c r="B17" s="11">
        <v>16</v>
      </c>
      <c r="C17">
        <v>300</v>
      </c>
      <c r="D17">
        <v>16</v>
      </c>
      <c r="E17" s="4">
        <v>44519</v>
      </c>
      <c r="F17" t="s">
        <v>64</v>
      </c>
      <c r="G17" t="s">
        <v>37</v>
      </c>
      <c r="H17" t="s">
        <v>74</v>
      </c>
      <c r="I17" t="s">
        <v>380</v>
      </c>
      <c r="J17" t="s">
        <v>41</v>
      </c>
      <c r="K17" s="9">
        <v>1.1833333333333333</v>
      </c>
      <c r="L17">
        <v>4</v>
      </c>
      <c r="M17">
        <v>5</v>
      </c>
      <c r="N17">
        <v>0.8</v>
      </c>
      <c r="O17">
        <v>0</v>
      </c>
      <c r="P17">
        <v>0</v>
      </c>
      <c r="Q17">
        <v>4</v>
      </c>
      <c r="R17">
        <v>5</v>
      </c>
      <c r="S17">
        <v>0.8</v>
      </c>
      <c r="T17">
        <v>0.8</v>
      </c>
      <c r="U17">
        <v>0</v>
      </c>
      <c r="V17">
        <v>0</v>
      </c>
      <c r="X17">
        <v>3</v>
      </c>
      <c r="Y17">
        <v>8</v>
      </c>
      <c r="Z17">
        <v>11</v>
      </c>
      <c r="AA17">
        <v>4</v>
      </c>
      <c r="AB17">
        <v>0</v>
      </c>
      <c r="AC17">
        <v>1</v>
      </c>
      <c r="AD17">
        <v>1</v>
      </c>
      <c r="AE17">
        <v>3</v>
      </c>
      <c r="AF17">
        <v>8</v>
      </c>
      <c r="AG17">
        <v>11.9</v>
      </c>
      <c r="AH17">
        <v>-22</v>
      </c>
    </row>
    <row r="18" spans="1:34" ht="21" x14ac:dyDescent="0.3">
      <c r="A18" t="s">
        <v>549</v>
      </c>
      <c r="B18" s="11">
        <v>17</v>
      </c>
      <c r="C18">
        <v>301</v>
      </c>
      <c r="D18">
        <v>17</v>
      </c>
      <c r="E18" s="4">
        <v>44521</v>
      </c>
      <c r="F18" t="s">
        <v>64</v>
      </c>
      <c r="H18" t="s">
        <v>49</v>
      </c>
      <c r="I18" t="s">
        <v>381</v>
      </c>
      <c r="J18" t="s">
        <v>41</v>
      </c>
      <c r="K18" s="9">
        <v>1.117361111111111</v>
      </c>
      <c r="L18">
        <v>6</v>
      </c>
      <c r="M18">
        <v>7</v>
      </c>
      <c r="N18">
        <v>0.85699999999999998</v>
      </c>
      <c r="O18">
        <v>0</v>
      </c>
      <c r="P18">
        <v>0</v>
      </c>
      <c r="Q18">
        <v>6</v>
      </c>
      <c r="R18">
        <v>7</v>
      </c>
      <c r="S18">
        <v>0.85699999999999998</v>
      </c>
      <c r="T18">
        <v>0.85699999999999998</v>
      </c>
      <c r="U18">
        <v>4</v>
      </c>
      <c r="V18">
        <v>6</v>
      </c>
      <c r="W18">
        <v>0.66700000000000004</v>
      </c>
      <c r="X18">
        <v>1</v>
      </c>
      <c r="Y18">
        <v>9</v>
      </c>
      <c r="Z18">
        <v>10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16</v>
      </c>
      <c r="AG18">
        <v>14.7</v>
      </c>
      <c r="AH18">
        <v>5</v>
      </c>
    </row>
    <row r="19" spans="1:34" ht="21" x14ac:dyDescent="0.3">
      <c r="A19" t="s">
        <v>549</v>
      </c>
      <c r="B19" s="11">
        <v>18</v>
      </c>
      <c r="C19">
        <v>302</v>
      </c>
      <c r="D19">
        <v>18</v>
      </c>
      <c r="E19" s="4">
        <v>44523</v>
      </c>
      <c r="F19" t="s">
        <v>64</v>
      </c>
      <c r="H19" t="s">
        <v>49</v>
      </c>
      <c r="I19" t="s">
        <v>382</v>
      </c>
      <c r="J19" t="s">
        <v>41</v>
      </c>
      <c r="K19" s="9">
        <v>1.0819444444444444</v>
      </c>
      <c r="L19">
        <v>3</v>
      </c>
      <c r="M19">
        <v>5</v>
      </c>
      <c r="N19">
        <v>0.6</v>
      </c>
      <c r="O19">
        <v>0</v>
      </c>
      <c r="P19">
        <v>0</v>
      </c>
      <c r="Q19">
        <v>3</v>
      </c>
      <c r="R19">
        <v>5</v>
      </c>
      <c r="S19">
        <v>0.6</v>
      </c>
      <c r="T19">
        <v>0.6</v>
      </c>
      <c r="U19">
        <v>4</v>
      </c>
      <c r="V19">
        <v>4</v>
      </c>
      <c r="W19">
        <v>1</v>
      </c>
      <c r="X19">
        <v>2</v>
      </c>
      <c r="Y19">
        <v>5</v>
      </c>
      <c r="Z19">
        <v>7</v>
      </c>
      <c r="AA19">
        <v>2</v>
      </c>
      <c r="AB19">
        <v>0</v>
      </c>
      <c r="AC19">
        <v>0</v>
      </c>
      <c r="AD19">
        <v>1</v>
      </c>
      <c r="AE19">
        <v>1</v>
      </c>
      <c r="AF19">
        <v>10</v>
      </c>
      <c r="AG19">
        <v>10.6</v>
      </c>
      <c r="AH19">
        <v>5</v>
      </c>
    </row>
    <row r="20" spans="1:34" ht="21" x14ac:dyDescent="0.3">
      <c r="A20" t="s">
        <v>549</v>
      </c>
      <c r="B20" s="11">
        <v>19</v>
      </c>
      <c r="C20">
        <v>303</v>
      </c>
      <c r="D20">
        <v>19</v>
      </c>
      <c r="E20" s="4">
        <v>44526</v>
      </c>
      <c r="F20" t="s">
        <v>64</v>
      </c>
      <c r="H20" t="s">
        <v>89</v>
      </c>
      <c r="I20" t="s">
        <v>383</v>
      </c>
      <c r="J20" t="s">
        <v>41</v>
      </c>
      <c r="K20" s="7">
        <v>0.9145833333333333</v>
      </c>
      <c r="L20">
        <v>3</v>
      </c>
      <c r="M20">
        <v>4</v>
      </c>
      <c r="N20">
        <v>0.75</v>
      </c>
      <c r="O20">
        <v>0</v>
      </c>
      <c r="P20">
        <v>0</v>
      </c>
      <c r="Q20">
        <v>3</v>
      </c>
      <c r="R20">
        <v>4</v>
      </c>
      <c r="S20">
        <v>0.75</v>
      </c>
      <c r="T20">
        <v>0.75</v>
      </c>
      <c r="U20">
        <v>4</v>
      </c>
      <c r="V20">
        <v>4</v>
      </c>
      <c r="W20">
        <v>1</v>
      </c>
      <c r="X20">
        <v>5</v>
      </c>
      <c r="Y20">
        <v>8</v>
      </c>
      <c r="Z20">
        <v>13</v>
      </c>
      <c r="AA20">
        <v>2</v>
      </c>
      <c r="AB20">
        <v>1</v>
      </c>
      <c r="AC20">
        <v>1</v>
      </c>
      <c r="AD20">
        <v>2</v>
      </c>
      <c r="AE20">
        <v>2</v>
      </c>
      <c r="AF20">
        <v>10</v>
      </c>
      <c r="AG20">
        <v>14.6</v>
      </c>
      <c r="AH20">
        <v>17</v>
      </c>
    </row>
    <row r="21" spans="1:34" ht="21" x14ac:dyDescent="0.3">
      <c r="A21" t="s">
        <v>549</v>
      </c>
      <c r="B21" s="11">
        <v>20</v>
      </c>
      <c r="C21">
        <v>304</v>
      </c>
      <c r="D21">
        <v>20</v>
      </c>
      <c r="E21" s="4">
        <v>44528</v>
      </c>
      <c r="F21" t="s">
        <v>64</v>
      </c>
      <c r="H21" t="s">
        <v>33</v>
      </c>
      <c r="I21" t="s">
        <v>199</v>
      </c>
      <c r="J21" t="s">
        <v>41</v>
      </c>
      <c r="K21" s="7">
        <v>0.87916666666666665</v>
      </c>
      <c r="L21">
        <v>3</v>
      </c>
      <c r="M21">
        <v>5</v>
      </c>
      <c r="N21">
        <v>0.6</v>
      </c>
      <c r="O21">
        <v>0</v>
      </c>
      <c r="P21">
        <v>0</v>
      </c>
      <c r="Q21">
        <v>3</v>
      </c>
      <c r="R21">
        <v>5</v>
      </c>
      <c r="S21">
        <v>0.6</v>
      </c>
      <c r="T21">
        <v>0.6</v>
      </c>
      <c r="U21">
        <v>2</v>
      </c>
      <c r="V21">
        <v>4</v>
      </c>
      <c r="W21">
        <v>0.5</v>
      </c>
      <c r="X21">
        <v>4</v>
      </c>
      <c r="Y21">
        <v>4</v>
      </c>
      <c r="Z21">
        <v>8</v>
      </c>
      <c r="AA21">
        <v>1</v>
      </c>
      <c r="AB21">
        <v>1</v>
      </c>
      <c r="AC21">
        <v>0</v>
      </c>
      <c r="AD21">
        <v>1</v>
      </c>
      <c r="AE21">
        <v>2</v>
      </c>
      <c r="AF21">
        <v>8</v>
      </c>
      <c r="AG21">
        <v>8.8000000000000007</v>
      </c>
      <c r="AH21">
        <v>4</v>
      </c>
    </row>
    <row r="22" spans="1:34" ht="21" x14ac:dyDescent="0.3">
      <c r="A22" t="s">
        <v>549</v>
      </c>
      <c r="B22" s="11">
        <v>21</v>
      </c>
      <c r="C22">
        <v>305</v>
      </c>
      <c r="D22">
        <v>21</v>
      </c>
      <c r="E22" s="4">
        <v>44529</v>
      </c>
      <c r="F22" t="s">
        <v>64</v>
      </c>
      <c r="H22" t="s">
        <v>74</v>
      </c>
      <c r="I22" t="s">
        <v>384</v>
      </c>
      <c r="J22" t="s">
        <v>41</v>
      </c>
      <c r="K22" s="7">
        <v>0.73124999999999996</v>
      </c>
      <c r="L22">
        <v>2</v>
      </c>
      <c r="M22">
        <v>2</v>
      </c>
      <c r="N22">
        <v>1</v>
      </c>
      <c r="O22">
        <v>0</v>
      </c>
      <c r="P22">
        <v>0</v>
      </c>
      <c r="Q22">
        <v>2</v>
      </c>
      <c r="R22">
        <v>2</v>
      </c>
      <c r="S22">
        <v>1</v>
      </c>
      <c r="T22">
        <v>1</v>
      </c>
      <c r="U22">
        <v>0</v>
      </c>
      <c r="V22">
        <v>0</v>
      </c>
      <c r="X22">
        <v>0</v>
      </c>
      <c r="Y22">
        <v>4</v>
      </c>
      <c r="Z22">
        <v>4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4</v>
      </c>
      <c r="AG22">
        <v>3.9</v>
      </c>
      <c r="AH22">
        <v>-17</v>
      </c>
    </row>
    <row r="23" spans="1:34" ht="21" x14ac:dyDescent="0.3">
      <c r="A23" t="s">
        <v>549</v>
      </c>
      <c r="B23" s="11">
        <v>22</v>
      </c>
      <c r="C23">
        <v>306</v>
      </c>
      <c r="D23">
        <v>22</v>
      </c>
      <c r="E23" s="4">
        <v>44531</v>
      </c>
      <c r="F23" t="s">
        <v>64</v>
      </c>
      <c r="H23" t="s">
        <v>66</v>
      </c>
      <c r="I23" t="s">
        <v>314</v>
      </c>
      <c r="J23" t="s">
        <v>41</v>
      </c>
      <c r="K23" s="7">
        <v>0.98888888888888893</v>
      </c>
      <c r="L23">
        <v>8</v>
      </c>
      <c r="M23">
        <v>10</v>
      </c>
      <c r="N23">
        <v>0.8</v>
      </c>
      <c r="O23">
        <v>0</v>
      </c>
      <c r="P23">
        <v>0</v>
      </c>
      <c r="Q23">
        <v>8</v>
      </c>
      <c r="R23">
        <v>10</v>
      </c>
      <c r="S23">
        <v>0.8</v>
      </c>
      <c r="T23">
        <v>0.8</v>
      </c>
      <c r="U23">
        <v>1</v>
      </c>
      <c r="V23">
        <v>1</v>
      </c>
      <c r="W23">
        <v>1</v>
      </c>
      <c r="X23">
        <v>3</v>
      </c>
      <c r="Y23">
        <v>4</v>
      </c>
      <c r="Z23">
        <v>7</v>
      </c>
      <c r="AA23">
        <v>0</v>
      </c>
      <c r="AB23">
        <v>1</v>
      </c>
      <c r="AC23">
        <v>0</v>
      </c>
      <c r="AD23">
        <v>1</v>
      </c>
      <c r="AE23">
        <v>1</v>
      </c>
      <c r="AF23">
        <v>17</v>
      </c>
      <c r="AG23">
        <v>16.100000000000001</v>
      </c>
      <c r="AH23">
        <v>-9</v>
      </c>
    </row>
    <row r="24" spans="1:34" ht="21" x14ac:dyDescent="0.3">
      <c r="A24" t="s">
        <v>549</v>
      </c>
      <c r="B24" s="11">
        <v>23</v>
      </c>
      <c r="C24">
        <v>307</v>
      </c>
      <c r="D24">
        <v>23</v>
      </c>
      <c r="E24" s="4">
        <v>44533</v>
      </c>
      <c r="F24" t="s">
        <v>64</v>
      </c>
      <c r="G24" t="s">
        <v>37</v>
      </c>
      <c r="H24" t="s">
        <v>62</v>
      </c>
      <c r="I24" t="s">
        <v>385</v>
      </c>
      <c r="J24" t="s">
        <v>41</v>
      </c>
      <c r="K24" s="7">
        <v>0.93055555555555558</v>
      </c>
      <c r="L24">
        <v>3</v>
      </c>
      <c r="M24">
        <v>4</v>
      </c>
      <c r="N24">
        <v>0.75</v>
      </c>
      <c r="O24">
        <v>0</v>
      </c>
      <c r="P24">
        <v>0</v>
      </c>
      <c r="Q24">
        <v>3</v>
      </c>
      <c r="R24">
        <v>4</v>
      </c>
      <c r="S24">
        <v>0.75</v>
      </c>
      <c r="T24">
        <v>0.75</v>
      </c>
      <c r="U24">
        <v>6</v>
      </c>
      <c r="V24">
        <v>6</v>
      </c>
      <c r="W24">
        <v>1</v>
      </c>
      <c r="X24">
        <v>0</v>
      </c>
      <c r="Y24">
        <v>5</v>
      </c>
      <c r="Z24">
        <v>5</v>
      </c>
      <c r="AA24">
        <v>1</v>
      </c>
      <c r="AB24">
        <v>1</v>
      </c>
      <c r="AC24">
        <v>1</v>
      </c>
      <c r="AD24">
        <v>1</v>
      </c>
      <c r="AE24">
        <v>2</v>
      </c>
      <c r="AF24">
        <v>12</v>
      </c>
      <c r="AG24">
        <v>12.5</v>
      </c>
      <c r="AH24">
        <v>13</v>
      </c>
    </row>
    <row r="25" spans="1:34" ht="21" x14ac:dyDescent="0.3">
      <c r="A25" t="s">
        <v>549</v>
      </c>
      <c r="B25" s="11">
        <v>24</v>
      </c>
      <c r="C25">
        <v>308</v>
      </c>
      <c r="D25">
        <v>24</v>
      </c>
      <c r="E25" s="4">
        <v>44534</v>
      </c>
      <c r="F25" t="s">
        <v>64</v>
      </c>
      <c r="G25" t="s">
        <v>37</v>
      </c>
      <c r="H25" t="s">
        <v>66</v>
      </c>
      <c r="I25" t="s">
        <v>225</v>
      </c>
      <c r="J25" t="s">
        <v>41</v>
      </c>
      <c r="K25" s="9">
        <v>1.2159722222222222</v>
      </c>
      <c r="L25">
        <v>4</v>
      </c>
      <c r="M25">
        <v>6</v>
      </c>
      <c r="N25">
        <v>0.66700000000000004</v>
      </c>
      <c r="O25">
        <v>0</v>
      </c>
      <c r="P25">
        <v>0</v>
      </c>
      <c r="Q25">
        <v>4</v>
      </c>
      <c r="R25">
        <v>6</v>
      </c>
      <c r="S25">
        <v>0.66700000000000004</v>
      </c>
      <c r="T25">
        <v>0.66700000000000004</v>
      </c>
      <c r="U25">
        <v>4</v>
      </c>
      <c r="V25">
        <v>5</v>
      </c>
      <c r="W25">
        <v>0.8</v>
      </c>
      <c r="X25">
        <v>3</v>
      </c>
      <c r="Y25">
        <v>8</v>
      </c>
      <c r="Z25">
        <v>11</v>
      </c>
      <c r="AA25">
        <v>1</v>
      </c>
      <c r="AB25">
        <v>1</v>
      </c>
      <c r="AC25">
        <v>2</v>
      </c>
      <c r="AD25">
        <v>2</v>
      </c>
      <c r="AE25">
        <v>4</v>
      </c>
      <c r="AF25">
        <v>12</v>
      </c>
      <c r="AG25">
        <v>13</v>
      </c>
      <c r="AH25">
        <v>6</v>
      </c>
    </row>
    <row r="26" spans="1:34" ht="21" x14ac:dyDescent="0.3">
      <c r="A26" t="s">
        <v>549</v>
      </c>
      <c r="B26" s="11">
        <v>25</v>
      </c>
      <c r="C26">
        <v>309</v>
      </c>
      <c r="D26">
        <v>25</v>
      </c>
      <c r="E26" s="4">
        <v>44536</v>
      </c>
      <c r="F26" t="s">
        <v>64</v>
      </c>
      <c r="G26" t="s">
        <v>37</v>
      </c>
      <c r="H26" t="s">
        <v>96</v>
      </c>
      <c r="I26" t="s">
        <v>386</v>
      </c>
      <c r="J26" t="s">
        <v>41</v>
      </c>
      <c r="K26" s="9">
        <v>1.1534722222222222</v>
      </c>
      <c r="L26">
        <v>1</v>
      </c>
      <c r="M26">
        <v>2</v>
      </c>
      <c r="N26">
        <v>0.5</v>
      </c>
      <c r="O26">
        <v>0</v>
      </c>
      <c r="P26">
        <v>0</v>
      </c>
      <c r="Q26">
        <v>1</v>
      </c>
      <c r="R26">
        <v>2</v>
      </c>
      <c r="S26">
        <v>0.5</v>
      </c>
      <c r="T26">
        <v>0.5</v>
      </c>
      <c r="U26">
        <v>3</v>
      </c>
      <c r="V26">
        <v>6</v>
      </c>
      <c r="W26">
        <v>0.5</v>
      </c>
      <c r="X26">
        <v>2</v>
      </c>
      <c r="Y26">
        <v>4</v>
      </c>
      <c r="Z26">
        <v>6</v>
      </c>
      <c r="AA26">
        <v>0</v>
      </c>
      <c r="AB26">
        <v>1</v>
      </c>
      <c r="AC26">
        <v>3</v>
      </c>
      <c r="AD26">
        <v>1</v>
      </c>
      <c r="AE26">
        <v>3</v>
      </c>
      <c r="AF26">
        <v>5</v>
      </c>
      <c r="AG26">
        <v>6.3</v>
      </c>
      <c r="AH26">
        <v>8</v>
      </c>
    </row>
    <row r="27" spans="1:34" ht="21" x14ac:dyDescent="0.3">
      <c r="A27" t="s">
        <v>549</v>
      </c>
      <c r="B27" s="11">
        <v>26</v>
      </c>
      <c r="C27">
        <v>310</v>
      </c>
      <c r="D27">
        <v>26</v>
      </c>
      <c r="E27" s="4">
        <v>44538</v>
      </c>
      <c r="F27" t="s">
        <v>64</v>
      </c>
      <c r="H27" t="s">
        <v>55</v>
      </c>
      <c r="I27" t="s">
        <v>347</v>
      </c>
      <c r="J27" t="s">
        <v>41</v>
      </c>
      <c r="K27" s="9">
        <v>1.3194444444444444</v>
      </c>
      <c r="L27">
        <v>3</v>
      </c>
      <c r="M27">
        <v>4</v>
      </c>
      <c r="N27">
        <v>0.75</v>
      </c>
      <c r="O27">
        <v>0</v>
      </c>
      <c r="P27">
        <v>0</v>
      </c>
      <c r="Q27">
        <v>3</v>
      </c>
      <c r="R27">
        <v>4</v>
      </c>
      <c r="S27">
        <v>0.75</v>
      </c>
      <c r="T27">
        <v>0.75</v>
      </c>
      <c r="U27">
        <v>4</v>
      </c>
      <c r="V27">
        <v>4</v>
      </c>
      <c r="W27">
        <v>1</v>
      </c>
      <c r="X27">
        <v>2</v>
      </c>
      <c r="Y27">
        <v>8</v>
      </c>
      <c r="Z27">
        <v>10</v>
      </c>
      <c r="AA27">
        <v>1</v>
      </c>
      <c r="AB27">
        <v>1</v>
      </c>
      <c r="AC27">
        <v>4</v>
      </c>
      <c r="AD27">
        <v>4</v>
      </c>
      <c r="AE27">
        <v>5</v>
      </c>
      <c r="AF27">
        <v>10</v>
      </c>
      <c r="AG27">
        <v>10.7</v>
      </c>
      <c r="AH27">
        <v>-8</v>
      </c>
    </row>
    <row r="28" spans="1:34" ht="21" x14ac:dyDescent="0.3">
      <c r="A28" t="s">
        <v>549</v>
      </c>
      <c r="B28" s="11">
        <v>27</v>
      </c>
      <c r="C28">
        <v>311</v>
      </c>
      <c r="D28">
        <v>27</v>
      </c>
      <c r="E28" s="4">
        <v>44541</v>
      </c>
      <c r="F28" t="s">
        <v>64</v>
      </c>
      <c r="H28" t="s">
        <v>104</v>
      </c>
      <c r="I28" t="s">
        <v>387</v>
      </c>
      <c r="J28" t="s">
        <v>41</v>
      </c>
      <c r="K28" s="9">
        <v>1.1541666666666666</v>
      </c>
      <c r="L28">
        <v>4</v>
      </c>
      <c r="M28">
        <v>5</v>
      </c>
      <c r="N28">
        <v>0.8</v>
      </c>
      <c r="O28">
        <v>0</v>
      </c>
      <c r="P28">
        <v>0</v>
      </c>
      <c r="Q28">
        <v>4</v>
      </c>
      <c r="R28">
        <v>5</v>
      </c>
      <c r="S28">
        <v>0.8</v>
      </c>
      <c r="T28">
        <v>0.8</v>
      </c>
      <c r="U28">
        <v>2</v>
      </c>
      <c r="V28">
        <v>4</v>
      </c>
      <c r="W28">
        <v>0.5</v>
      </c>
      <c r="X28">
        <v>4</v>
      </c>
      <c r="Y28">
        <v>2</v>
      </c>
      <c r="Z28">
        <v>6</v>
      </c>
      <c r="AA28">
        <v>1</v>
      </c>
      <c r="AB28">
        <v>0</v>
      </c>
      <c r="AC28">
        <v>0</v>
      </c>
      <c r="AD28">
        <v>1</v>
      </c>
      <c r="AE28">
        <v>4</v>
      </c>
      <c r="AF28">
        <v>10</v>
      </c>
      <c r="AG28">
        <v>8.8000000000000007</v>
      </c>
      <c r="AH28">
        <v>-11</v>
      </c>
    </row>
    <row r="29" spans="1:34" ht="21" x14ac:dyDescent="0.3">
      <c r="A29" t="s">
        <v>549</v>
      </c>
      <c r="B29" s="11">
        <v>28</v>
      </c>
      <c r="C29">
        <v>312</v>
      </c>
      <c r="D29">
        <v>28</v>
      </c>
      <c r="E29" s="4">
        <v>44543</v>
      </c>
      <c r="F29" t="s">
        <v>64</v>
      </c>
      <c r="H29" t="s">
        <v>99</v>
      </c>
      <c r="I29" t="s">
        <v>388</v>
      </c>
      <c r="J29" t="s">
        <v>41</v>
      </c>
      <c r="K29" s="9">
        <v>1.023611111111111</v>
      </c>
      <c r="L29">
        <v>4</v>
      </c>
      <c r="M29">
        <v>7</v>
      </c>
      <c r="N29">
        <v>0.57099999999999995</v>
      </c>
      <c r="O29">
        <v>0</v>
      </c>
      <c r="P29">
        <v>0</v>
      </c>
      <c r="Q29">
        <v>4</v>
      </c>
      <c r="R29">
        <v>7</v>
      </c>
      <c r="S29">
        <v>0.57099999999999995</v>
      </c>
      <c r="T29">
        <v>0.57099999999999995</v>
      </c>
      <c r="U29">
        <v>0</v>
      </c>
      <c r="V29">
        <v>0</v>
      </c>
      <c r="X29">
        <v>4</v>
      </c>
      <c r="Y29">
        <v>1</v>
      </c>
      <c r="Z29">
        <v>5</v>
      </c>
      <c r="AA29">
        <v>1</v>
      </c>
      <c r="AB29">
        <v>2</v>
      </c>
      <c r="AC29">
        <v>4</v>
      </c>
      <c r="AD29">
        <v>4</v>
      </c>
      <c r="AE29">
        <v>5</v>
      </c>
      <c r="AF29">
        <v>8</v>
      </c>
      <c r="AG29">
        <v>7.3</v>
      </c>
      <c r="AH29">
        <v>9</v>
      </c>
    </row>
    <row r="30" spans="1:34" ht="21" x14ac:dyDescent="0.3">
      <c r="A30" t="s">
        <v>549</v>
      </c>
      <c r="B30" s="11">
        <v>29</v>
      </c>
      <c r="C30">
        <v>313</v>
      </c>
      <c r="D30">
        <v>29</v>
      </c>
      <c r="E30" s="4">
        <v>44545</v>
      </c>
      <c r="F30" t="s">
        <v>64</v>
      </c>
      <c r="G30" t="s">
        <v>37</v>
      </c>
      <c r="H30" t="s">
        <v>118</v>
      </c>
      <c r="I30" t="s">
        <v>389</v>
      </c>
      <c r="J30" t="s">
        <v>41</v>
      </c>
      <c r="K30" s="7">
        <v>0.75555555555555554</v>
      </c>
      <c r="L30">
        <v>2</v>
      </c>
      <c r="M30">
        <v>4</v>
      </c>
      <c r="N30">
        <v>0.5</v>
      </c>
      <c r="O30">
        <v>0</v>
      </c>
      <c r="P30">
        <v>0</v>
      </c>
      <c r="Q30">
        <v>2</v>
      </c>
      <c r="R30">
        <v>4</v>
      </c>
      <c r="S30">
        <v>0.5</v>
      </c>
      <c r="T30">
        <v>0.5</v>
      </c>
      <c r="U30">
        <v>0</v>
      </c>
      <c r="V30">
        <v>0</v>
      </c>
      <c r="X30">
        <v>2</v>
      </c>
      <c r="Y30">
        <v>4</v>
      </c>
      <c r="Z30">
        <v>6</v>
      </c>
      <c r="AA30">
        <v>0</v>
      </c>
      <c r="AB30">
        <v>2</v>
      </c>
      <c r="AC30">
        <v>1</v>
      </c>
      <c r="AD30">
        <v>1</v>
      </c>
      <c r="AE30">
        <v>3</v>
      </c>
      <c r="AF30">
        <v>4</v>
      </c>
      <c r="AG30">
        <v>5.0999999999999996</v>
      </c>
      <c r="AH30">
        <v>-15</v>
      </c>
    </row>
    <row r="31" spans="1:34" ht="21" x14ac:dyDescent="0.3">
      <c r="A31" t="s">
        <v>549</v>
      </c>
      <c r="B31" s="11">
        <v>30</v>
      </c>
      <c r="C31">
        <v>314</v>
      </c>
      <c r="D31">
        <v>30</v>
      </c>
      <c r="E31" s="4">
        <v>44548</v>
      </c>
      <c r="F31" t="s">
        <v>64</v>
      </c>
      <c r="G31" t="s">
        <v>37</v>
      </c>
      <c r="H31" t="s">
        <v>68</v>
      </c>
      <c r="I31" t="s">
        <v>390</v>
      </c>
      <c r="J31" t="s">
        <v>41</v>
      </c>
      <c r="K31" s="9">
        <v>1.0034722222222223</v>
      </c>
      <c r="L31">
        <v>1</v>
      </c>
      <c r="M31">
        <v>1</v>
      </c>
      <c r="N31">
        <v>1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2</v>
      </c>
      <c r="V31">
        <v>4</v>
      </c>
      <c r="W31">
        <v>0.5</v>
      </c>
      <c r="X31">
        <v>1</v>
      </c>
      <c r="Y31">
        <v>5</v>
      </c>
      <c r="Z31">
        <v>6</v>
      </c>
      <c r="AA31">
        <v>2</v>
      </c>
      <c r="AB31">
        <v>1</v>
      </c>
      <c r="AC31">
        <v>0</v>
      </c>
      <c r="AD31">
        <v>2</v>
      </c>
      <c r="AE31">
        <v>4</v>
      </c>
      <c r="AF31">
        <v>4</v>
      </c>
      <c r="AG31">
        <v>3.9</v>
      </c>
      <c r="AH31">
        <v>-2</v>
      </c>
    </row>
    <row r="32" spans="1:34" ht="21" x14ac:dyDescent="0.3">
      <c r="A32" t="s">
        <v>549</v>
      </c>
      <c r="B32" s="11">
        <v>31</v>
      </c>
      <c r="C32">
        <v>315</v>
      </c>
      <c r="D32">
        <v>31</v>
      </c>
      <c r="E32" s="4">
        <v>44550</v>
      </c>
      <c r="F32" t="s">
        <v>64</v>
      </c>
      <c r="H32" t="s">
        <v>102</v>
      </c>
      <c r="I32" t="s">
        <v>391</v>
      </c>
      <c r="J32" t="s">
        <v>41</v>
      </c>
      <c r="K32" s="9">
        <v>1.1395833333333334</v>
      </c>
      <c r="L32">
        <v>5</v>
      </c>
      <c r="M32">
        <v>9</v>
      </c>
      <c r="N32">
        <v>0.55600000000000005</v>
      </c>
      <c r="O32">
        <v>0</v>
      </c>
      <c r="P32">
        <v>0</v>
      </c>
      <c r="Q32">
        <v>5</v>
      </c>
      <c r="R32">
        <v>9</v>
      </c>
      <c r="S32">
        <v>0.55600000000000005</v>
      </c>
      <c r="T32">
        <v>0.55600000000000005</v>
      </c>
      <c r="U32">
        <v>2</v>
      </c>
      <c r="V32">
        <v>4</v>
      </c>
      <c r="W32">
        <v>0.5</v>
      </c>
      <c r="X32">
        <v>3</v>
      </c>
      <c r="Y32">
        <v>9</v>
      </c>
      <c r="Z32">
        <v>12</v>
      </c>
      <c r="AA32">
        <v>1</v>
      </c>
      <c r="AB32">
        <v>0</v>
      </c>
      <c r="AC32">
        <v>3</v>
      </c>
      <c r="AD32">
        <v>2</v>
      </c>
      <c r="AE32">
        <v>3</v>
      </c>
      <c r="AF32">
        <v>12</v>
      </c>
      <c r="AG32">
        <v>11.3</v>
      </c>
      <c r="AH32">
        <v>-16</v>
      </c>
    </row>
    <row r="33" spans="1:34" ht="21" x14ac:dyDescent="0.3">
      <c r="A33" t="s">
        <v>549</v>
      </c>
      <c r="B33" s="11">
        <v>32</v>
      </c>
      <c r="C33">
        <v>316</v>
      </c>
      <c r="D33">
        <v>32</v>
      </c>
      <c r="E33" s="4">
        <v>44552</v>
      </c>
      <c r="F33" t="s">
        <v>64</v>
      </c>
      <c r="G33" t="s">
        <v>37</v>
      </c>
      <c r="H33" t="s">
        <v>66</v>
      </c>
      <c r="I33" t="s">
        <v>392</v>
      </c>
      <c r="J33" t="s">
        <v>41</v>
      </c>
      <c r="K33" s="9">
        <v>1.1104166666666666</v>
      </c>
      <c r="L33">
        <v>4</v>
      </c>
      <c r="M33">
        <v>4</v>
      </c>
      <c r="N33">
        <v>1</v>
      </c>
      <c r="O33">
        <v>0</v>
      </c>
      <c r="P33">
        <v>0</v>
      </c>
      <c r="Q33">
        <v>4</v>
      </c>
      <c r="R33">
        <v>4</v>
      </c>
      <c r="S33">
        <v>1</v>
      </c>
      <c r="T33">
        <v>1</v>
      </c>
      <c r="U33">
        <v>2</v>
      </c>
      <c r="V33">
        <v>2</v>
      </c>
      <c r="W33">
        <v>1</v>
      </c>
      <c r="X33">
        <v>1</v>
      </c>
      <c r="Y33">
        <v>5</v>
      </c>
      <c r="Z33">
        <v>6</v>
      </c>
      <c r="AA33">
        <v>2</v>
      </c>
      <c r="AB33">
        <v>0</v>
      </c>
      <c r="AC33">
        <v>1</v>
      </c>
      <c r="AD33">
        <v>0</v>
      </c>
      <c r="AE33">
        <v>1</v>
      </c>
      <c r="AF33">
        <v>10</v>
      </c>
      <c r="AG33">
        <v>12.7</v>
      </c>
      <c r="AH33">
        <v>3</v>
      </c>
    </row>
    <row r="34" spans="1:34" ht="21" x14ac:dyDescent="0.3">
      <c r="A34" t="s">
        <v>549</v>
      </c>
      <c r="B34" s="11">
        <v>33</v>
      </c>
      <c r="C34">
        <v>317</v>
      </c>
      <c r="D34">
        <v>33</v>
      </c>
      <c r="E34" s="4">
        <v>44556</v>
      </c>
      <c r="F34" t="s">
        <v>64</v>
      </c>
      <c r="H34" t="s">
        <v>34</v>
      </c>
      <c r="I34" t="s">
        <v>393</v>
      </c>
      <c r="J34" t="s">
        <v>41</v>
      </c>
      <c r="K34" s="9">
        <v>1.1402777777777777</v>
      </c>
      <c r="L34">
        <v>7</v>
      </c>
      <c r="M34">
        <v>8</v>
      </c>
      <c r="N34">
        <v>0.875</v>
      </c>
      <c r="O34">
        <v>0</v>
      </c>
      <c r="P34">
        <v>0</v>
      </c>
      <c r="Q34">
        <v>7</v>
      </c>
      <c r="R34">
        <v>8</v>
      </c>
      <c r="S34">
        <v>0.875</v>
      </c>
      <c r="T34">
        <v>0.875</v>
      </c>
      <c r="U34">
        <v>3</v>
      </c>
      <c r="V34">
        <v>5</v>
      </c>
      <c r="W34">
        <v>0.6</v>
      </c>
      <c r="X34">
        <v>4</v>
      </c>
      <c r="Y34">
        <v>7</v>
      </c>
      <c r="Z34">
        <v>11</v>
      </c>
      <c r="AA34">
        <v>0</v>
      </c>
      <c r="AB34">
        <v>1</v>
      </c>
      <c r="AC34">
        <v>3</v>
      </c>
      <c r="AD34">
        <v>2</v>
      </c>
      <c r="AE34">
        <v>2</v>
      </c>
      <c r="AF34">
        <v>17</v>
      </c>
      <c r="AG34">
        <v>18.600000000000001</v>
      </c>
      <c r="AH34">
        <v>-4</v>
      </c>
    </row>
    <row r="35" spans="1:34" ht="21" x14ac:dyDescent="0.3">
      <c r="A35" t="s">
        <v>549</v>
      </c>
      <c r="B35" s="11">
        <v>34</v>
      </c>
      <c r="C35">
        <v>318</v>
      </c>
      <c r="D35">
        <v>34</v>
      </c>
      <c r="E35" s="4">
        <v>44557</v>
      </c>
      <c r="F35" t="s">
        <v>64</v>
      </c>
      <c r="H35" t="s">
        <v>85</v>
      </c>
      <c r="I35" t="s">
        <v>394</v>
      </c>
      <c r="J35" t="s">
        <v>41</v>
      </c>
      <c r="K35" s="7">
        <v>0.90625</v>
      </c>
      <c r="L35">
        <v>4</v>
      </c>
      <c r="M35">
        <v>9</v>
      </c>
      <c r="N35">
        <v>0.44400000000000001</v>
      </c>
      <c r="O35">
        <v>0</v>
      </c>
      <c r="P35">
        <v>0</v>
      </c>
      <c r="Q35">
        <v>4</v>
      </c>
      <c r="R35">
        <v>9</v>
      </c>
      <c r="S35">
        <v>0.44400000000000001</v>
      </c>
      <c r="T35">
        <v>0.44400000000000001</v>
      </c>
      <c r="U35">
        <v>1</v>
      </c>
      <c r="V35">
        <v>1</v>
      </c>
      <c r="W35">
        <v>1</v>
      </c>
      <c r="X35">
        <v>7</v>
      </c>
      <c r="Y35">
        <v>2</v>
      </c>
      <c r="Z35">
        <v>9</v>
      </c>
      <c r="AA35">
        <v>1</v>
      </c>
      <c r="AB35">
        <v>0</v>
      </c>
      <c r="AC35">
        <v>0</v>
      </c>
      <c r="AD35">
        <v>2</v>
      </c>
      <c r="AE35">
        <v>2</v>
      </c>
      <c r="AF35">
        <v>9</v>
      </c>
      <c r="AG35">
        <v>7.7</v>
      </c>
      <c r="AH35">
        <v>-10</v>
      </c>
    </row>
    <row r="36" spans="1:34" ht="21" x14ac:dyDescent="0.3">
      <c r="A36" t="s">
        <v>549</v>
      </c>
      <c r="B36" s="11">
        <v>35</v>
      </c>
      <c r="C36">
        <v>319</v>
      </c>
      <c r="D36">
        <v>35</v>
      </c>
      <c r="E36" s="4">
        <v>44559</v>
      </c>
      <c r="F36" t="s">
        <v>64</v>
      </c>
      <c r="G36" t="s">
        <v>37</v>
      </c>
      <c r="H36" t="s">
        <v>55</v>
      </c>
      <c r="I36" t="s">
        <v>395</v>
      </c>
      <c r="J36" t="s">
        <v>41</v>
      </c>
      <c r="K36" s="9">
        <v>1.2798611111111111</v>
      </c>
      <c r="L36">
        <v>0</v>
      </c>
      <c r="M36">
        <v>3</v>
      </c>
      <c r="N36">
        <v>0</v>
      </c>
      <c r="O36">
        <v>0</v>
      </c>
      <c r="P36">
        <v>0</v>
      </c>
      <c r="Q36">
        <v>0</v>
      </c>
      <c r="R36">
        <v>3</v>
      </c>
      <c r="S36">
        <v>0</v>
      </c>
      <c r="T36">
        <v>0</v>
      </c>
      <c r="U36">
        <v>1</v>
      </c>
      <c r="V36">
        <v>2</v>
      </c>
      <c r="W36">
        <v>0.5</v>
      </c>
      <c r="X36">
        <v>5</v>
      </c>
      <c r="Y36">
        <v>9</v>
      </c>
      <c r="Z36">
        <v>14</v>
      </c>
      <c r="AA36">
        <v>1</v>
      </c>
      <c r="AB36">
        <v>0</v>
      </c>
      <c r="AC36">
        <v>1</v>
      </c>
      <c r="AD36">
        <v>2</v>
      </c>
      <c r="AE36">
        <v>0</v>
      </c>
      <c r="AF36">
        <v>1</v>
      </c>
      <c r="AG36">
        <v>4.0999999999999996</v>
      </c>
      <c r="AH36">
        <v>19</v>
      </c>
    </row>
    <row r="37" spans="1:34" ht="21" x14ac:dyDescent="0.3">
      <c r="A37" t="s">
        <v>549</v>
      </c>
      <c r="B37" s="11">
        <v>35</v>
      </c>
      <c r="D37">
        <v>36</v>
      </c>
      <c r="E37" s="4">
        <v>44561</v>
      </c>
      <c r="F37" t="s">
        <v>64</v>
      </c>
      <c r="G37" t="s">
        <v>37</v>
      </c>
      <c r="H37" t="s">
        <v>92</v>
      </c>
      <c r="I37" t="s">
        <v>125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  <c r="O37" t="s">
        <v>91</v>
      </c>
      <c r="P37" t="s">
        <v>91</v>
      </c>
      <c r="Q37" t="s">
        <v>91</v>
      </c>
      <c r="R37" t="s">
        <v>91</v>
      </c>
      <c r="S37" t="s">
        <v>91</v>
      </c>
      <c r="T37" t="s">
        <v>91</v>
      </c>
      <c r="U37" t="s">
        <v>91</v>
      </c>
      <c r="V37" t="s">
        <v>91</v>
      </c>
      <c r="W37" t="s">
        <v>91</v>
      </c>
      <c r="X37" t="s">
        <v>91</v>
      </c>
      <c r="Y37" t="s">
        <v>91</v>
      </c>
      <c r="Z37" t="s">
        <v>91</v>
      </c>
      <c r="AA37" t="s">
        <v>91</v>
      </c>
      <c r="AB37" t="s">
        <v>91</v>
      </c>
      <c r="AC37" t="s">
        <v>91</v>
      </c>
      <c r="AD37" t="s">
        <v>91</v>
      </c>
      <c r="AE37" t="s">
        <v>91</v>
      </c>
      <c r="AF37" t="s">
        <v>91</v>
      </c>
      <c r="AG37" t="s">
        <v>91</v>
      </c>
      <c r="AH37" t="s">
        <v>91</v>
      </c>
    </row>
    <row r="38" spans="1:34" ht="21" x14ac:dyDescent="0.3">
      <c r="A38" t="s">
        <v>549</v>
      </c>
      <c r="B38" s="11">
        <v>35</v>
      </c>
      <c r="D38">
        <v>37</v>
      </c>
      <c r="E38" s="4">
        <v>44562</v>
      </c>
      <c r="F38" t="s">
        <v>64</v>
      </c>
      <c r="G38" t="s">
        <v>37</v>
      </c>
      <c r="H38" t="s">
        <v>85</v>
      </c>
      <c r="I38" t="s">
        <v>396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  <c r="O38" t="s">
        <v>91</v>
      </c>
      <c r="P38" t="s">
        <v>91</v>
      </c>
      <c r="Q38" t="s">
        <v>91</v>
      </c>
      <c r="R38" t="s">
        <v>91</v>
      </c>
      <c r="S38" t="s">
        <v>91</v>
      </c>
      <c r="T38" t="s">
        <v>91</v>
      </c>
      <c r="U38" t="s">
        <v>91</v>
      </c>
      <c r="V38" t="s">
        <v>91</v>
      </c>
      <c r="W38" t="s">
        <v>91</v>
      </c>
      <c r="X38" t="s">
        <v>91</v>
      </c>
      <c r="Y38" t="s">
        <v>91</v>
      </c>
      <c r="Z38" t="s">
        <v>91</v>
      </c>
      <c r="AA38" t="s">
        <v>91</v>
      </c>
      <c r="AB38" t="s">
        <v>91</v>
      </c>
      <c r="AC38" t="s">
        <v>91</v>
      </c>
      <c r="AD38" t="s">
        <v>91</v>
      </c>
      <c r="AE38" t="s">
        <v>91</v>
      </c>
      <c r="AF38" t="s">
        <v>91</v>
      </c>
      <c r="AG38" t="s">
        <v>91</v>
      </c>
      <c r="AH38" t="s">
        <v>91</v>
      </c>
    </row>
    <row r="39" spans="1:34" ht="21" x14ac:dyDescent="0.3">
      <c r="A39" t="s">
        <v>549</v>
      </c>
      <c r="B39" s="11">
        <v>35</v>
      </c>
      <c r="D39">
        <v>38</v>
      </c>
      <c r="E39" s="4">
        <v>44564</v>
      </c>
      <c r="F39" t="s">
        <v>64</v>
      </c>
      <c r="H39" t="s">
        <v>80</v>
      </c>
      <c r="I39" t="s">
        <v>397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  <c r="O39" t="s">
        <v>91</v>
      </c>
      <c r="P39" t="s">
        <v>91</v>
      </c>
      <c r="Q39" t="s">
        <v>91</v>
      </c>
      <c r="R39" t="s">
        <v>91</v>
      </c>
      <c r="S39" t="s">
        <v>91</v>
      </c>
      <c r="T39" t="s">
        <v>91</v>
      </c>
      <c r="U39" t="s">
        <v>91</v>
      </c>
      <c r="V39" t="s">
        <v>91</v>
      </c>
      <c r="W39" t="s">
        <v>91</v>
      </c>
      <c r="X39" t="s">
        <v>91</v>
      </c>
      <c r="Y39" t="s">
        <v>91</v>
      </c>
      <c r="Z39" t="s">
        <v>91</v>
      </c>
      <c r="AA39" t="s">
        <v>91</v>
      </c>
      <c r="AB39" t="s">
        <v>91</v>
      </c>
      <c r="AC39" t="s">
        <v>91</v>
      </c>
      <c r="AD39" t="s">
        <v>91</v>
      </c>
      <c r="AE39" t="s">
        <v>91</v>
      </c>
      <c r="AF39" t="s">
        <v>91</v>
      </c>
      <c r="AG39" t="s">
        <v>91</v>
      </c>
      <c r="AH39" t="s">
        <v>91</v>
      </c>
    </row>
    <row r="40" spans="1:34" ht="21" x14ac:dyDescent="0.3">
      <c r="A40" t="s">
        <v>549</v>
      </c>
      <c r="B40" s="11">
        <v>35</v>
      </c>
      <c r="D40">
        <v>39</v>
      </c>
      <c r="E40" s="4">
        <v>44567</v>
      </c>
      <c r="F40" t="s">
        <v>64</v>
      </c>
      <c r="G40" t="s">
        <v>37</v>
      </c>
      <c r="H40" t="s">
        <v>99</v>
      </c>
      <c r="I40" t="s">
        <v>398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  <c r="O40" t="s">
        <v>91</v>
      </c>
      <c r="P40" t="s">
        <v>91</v>
      </c>
      <c r="Q40" t="s">
        <v>91</v>
      </c>
      <c r="R40" t="s">
        <v>91</v>
      </c>
      <c r="S40" t="s">
        <v>91</v>
      </c>
      <c r="T40" t="s">
        <v>91</v>
      </c>
      <c r="U40" t="s">
        <v>91</v>
      </c>
      <c r="V40" t="s">
        <v>91</v>
      </c>
      <c r="W40" t="s">
        <v>91</v>
      </c>
      <c r="X40" t="s">
        <v>91</v>
      </c>
      <c r="Y40" t="s">
        <v>91</v>
      </c>
      <c r="Z40" t="s">
        <v>91</v>
      </c>
      <c r="AA40" t="s">
        <v>91</v>
      </c>
      <c r="AB40" t="s">
        <v>91</v>
      </c>
      <c r="AC40" t="s">
        <v>91</v>
      </c>
      <c r="AD40" t="s">
        <v>91</v>
      </c>
      <c r="AE40" t="s">
        <v>91</v>
      </c>
      <c r="AF40" t="s">
        <v>91</v>
      </c>
      <c r="AG40" t="s">
        <v>91</v>
      </c>
      <c r="AH40" t="s">
        <v>91</v>
      </c>
    </row>
    <row r="41" spans="1:34" ht="21" x14ac:dyDescent="0.3">
      <c r="A41" t="s">
        <v>549</v>
      </c>
      <c r="B41" s="11">
        <v>36</v>
      </c>
      <c r="C41">
        <v>320</v>
      </c>
      <c r="D41">
        <v>40</v>
      </c>
      <c r="E41" s="4">
        <v>44569</v>
      </c>
      <c r="F41" t="s">
        <v>64</v>
      </c>
      <c r="H41" t="s">
        <v>42</v>
      </c>
      <c r="I41" t="s">
        <v>299</v>
      </c>
      <c r="J41" t="s">
        <v>41</v>
      </c>
      <c r="K41" s="7">
        <v>0.78541666666666665</v>
      </c>
      <c r="L41">
        <v>4</v>
      </c>
      <c r="M41">
        <v>5</v>
      </c>
      <c r="N41">
        <v>0.8</v>
      </c>
      <c r="O41">
        <v>0</v>
      </c>
      <c r="P41">
        <v>0</v>
      </c>
      <c r="Q41">
        <v>4</v>
      </c>
      <c r="R41">
        <v>5</v>
      </c>
      <c r="S41">
        <v>0.8</v>
      </c>
      <c r="T41">
        <v>0.8</v>
      </c>
      <c r="U41">
        <v>0</v>
      </c>
      <c r="V41">
        <v>0</v>
      </c>
      <c r="X41">
        <v>2</v>
      </c>
      <c r="Y41">
        <v>5</v>
      </c>
      <c r="Z41">
        <v>7</v>
      </c>
      <c r="AA41">
        <v>0</v>
      </c>
      <c r="AB41">
        <v>0</v>
      </c>
      <c r="AC41">
        <v>1</v>
      </c>
      <c r="AD41">
        <v>1</v>
      </c>
      <c r="AE41">
        <v>5</v>
      </c>
      <c r="AF41">
        <v>8</v>
      </c>
      <c r="AG41">
        <v>6.7</v>
      </c>
      <c r="AH41">
        <v>-5</v>
      </c>
    </row>
    <row r="42" spans="1:34" ht="21" x14ac:dyDescent="0.3">
      <c r="A42" t="s">
        <v>549</v>
      </c>
      <c r="B42" s="11">
        <v>37</v>
      </c>
      <c r="C42">
        <v>321</v>
      </c>
      <c r="D42">
        <v>41</v>
      </c>
      <c r="E42" s="4">
        <v>44570</v>
      </c>
      <c r="F42" t="s">
        <v>64</v>
      </c>
      <c r="H42" t="s">
        <v>78</v>
      </c>
      <c r="I42" t="s">
        <v>399</v>
      </c>
      <c r="J42" t="s">
        <v>41</v>
      </c>
      <c r="K42" s="9">
        <v>1.0368055555555555</v>
      </c>
      <c r="L42">
        <v>3</v>
      </c>
      <c r="M42">
        <v>4</v>
      </c>
      <c r="N42">
        <v>0.75</v>
      </c>
      <c r="O42">
        <v>0</v>
      </c>
      <c r="P42">
        <v>0</v>
      </c>
      <c r="Q42">
        <v>3</v>
      </c>
      <c r="R42">
        <v>4</v>
      </c>
      <c r="S42">
        <v>0.75</v>
      </c>
      <c r="T42">
        <v>0.75</v>
      </c>
      <c r="U42">
        <v>2</v>
      </c>
      <c r="V42">
        <v>2</v>
      </c>
      <c r="W42">
        <v>1</v>
      </c>
      <c r="X42">
        <v>5</v>
      </c>
      <c r="Y42">
        <v>8</v>
      </c>
      <c r="Z42">
        <v>13</v>
      </c>
      <c r="AA42">
        <v>3</v>
      </c>
      <c r="AB42">
        <v>0</v>
      </c>
      <c r="AC42">
        <v>0</v>
      </c>
      <c r="AD42">
        <v>0</v>
      </c>
      <c r="AE42">
        <v>1</v>
      </c>
      <c r="AF42">
        <v>8</v>
      </c>
      <c r="AG42">
        <v>14</v>
      </c>
      <c r="AH42">
        <v>8</v>
      </c>
    </row>
    <row r="43" spans="1:34" ht="21" x14ac:dyDescent="0.3">
      <c r="A43" t="s">
        <v>549</v>
      </c>
      <c r="B43" s="11">
        <v>38</v>
      </c>
      <c r="C43">
        <v>322</v>
      </c>
      <c r="D43">
        <v>42</v>
      </c>
      <c r="E43" s="4">
        <v>44572</v>
      </c>
      <c r="F43" t="s">
        <v>64</v>
      </c>
      <c r="H43" t="s">
        <v>34</v>
      </c>
      <c r="I43" t="s">
        <v>400</v>
      </c>
      <c r="J43" t="s">
        <v>41</v>
      </c>
      <c r="K43" s="7">
        <v>0.40902777777777777</v>
      </c>
      <c r="L43">
        <v>1</v>
      </c>
      <c r="M43">
        <v>2</v>
      </c>
      <c r="N43">
        <v>0.5</v>
      </c>
      <c r="O43">
        <v>0</v>
      </c>
      <c r="P43">
        <v>0</v>
      </c>
      <c r="Q43">
        <v>1</v>
      </c>
      <c r="R43">
        <v>2</v>
      </c>
      <c r="S43">
        <v>0.5</v>
      </c>
      <c r="T43">
        <v>0.5</v>
      </c>
      <c r="U43">
        <v>0</v>
      </c>
      <c r="V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4</v>
      </c>
      <c r="AF43">
        <v>2</v>
      </c>
      <c r="AG43">
        <v>-1.6</v>
      </c>
      <c r="AH43">
        <v>-20</v>
      </c>
    </row>
    <row r="44" spans="1:34" ht="21" x14ac:dyDescent="0.3">
      <c r="A44" t="s">
        <v>549</v>
      </c>
      <c r="B44" s="11">
        <v>39</v>
      </c>
      <c r="C44">
        <v>323</v>
      </c>
      <c r="D44">
        <v>43</v>
      </c>
      <c r="E44" s="4">
        <v>44574</v>
      </c>
      <c r="F44" t="s">
        <v>64</v>
      </c>
      <c r="G44" t="s">
        <v>37</v>
      </c>
      <c r="H44" t="s">
        <v>74</v>
      </c>
      <c r="I44" t="s">
        <v>401</v>
      </c>
      <c r="J44" t="s">
        <v>41</v>
      </c>
      <c r="K44" s="7">
        <v>0.82916666666666672</v>
      </c>
      <c r="L44">
        <v>3</v>
      </c>
      <c r="M44">
        <v>5</v>
      </c>
      <c r="N44">
        <v>0.6</v>
      </c>
      <c r="O44">
        <v>0</v>
      </c>
      <c r="P44">
        <v>0</v>
      </c>
      <c r="Q44">
        <v>3</v>
      </c>
      <c r="R44">
        <v>5</v>
      </c>
      <c r="S44">
        <v>0.6</v>
      </c>
      <c r="T44">
        <v>0.6</v>
      </c>
      <c r="U44">
        <v>0</v>
      </c>
      <c r="V44">
        <v>0</v>
      </c>
      <c r="X44">
        <v>1</v>
      </c>
      <c r="Y44">
        <v>4</v>
      </c>
      <c r="Z44">
        <v>5</v>
      </c>
      <c r="AA44">
        <v>1</v>
      </c>
      <c r="AB44">
        <v>0</v>
      </c>
      <c r="AC44">
        <v>0</v>
      </c>
      <c r="AD44">
        <v>0</v>
      </c>
      <c r="AE44">
        <v>3</v>
      </c>
      <c r="AF44">
        <v>6</v>
      </c>
      <c r="AG44">
        <v>5.0999999999999996</v>
      </c>
      <c r="AH44">
        <v>-12</v>
      </c>
    </row>
    <row r="45" spans="1:34" ht="21" x14ac:dyDescent="0.3">
      <c r="A45" t="s">
        <v>549</v>
      </c>
      <c r="B45" s="11">
        <v>40</v>
      </c>
      <c r="C45">
        <v>324</v>
      </c>
      <c r="D45">
        <v>44</v>
      </c>
      <c r="E45" s="4">
        <v>44576</v>
      </c>
      <c r="F45" t="s">
        <v>64</v>
      </c>
      <c r="G45" t="s">
        <v>37</v>
      </c>
      <c r="H45" t="s">
        <v>102</v>
      </c>
      <c r="I45" t="s">
        <v>402</v>
      </c>
      <c r="J45" t="s">
        <v>41</v>
      </c>
      <c r="K45" s="7">
        <v>0.8666666666666667</v>
      </c>
      <c r="L45">
        <v>3</v>
      </c>
      <c r="M45">
        <v>5</v>
      </c>
      <c r="N45">
        <v>0.6</v>
      </c>
      <c r="O45">
        <v>0</v>
      </c>
      <c r="P45">
        <v>0</v>
      </c>
      <c r="Q45">
        <v>3</v>
      </c>
      <c r="R45">
        <v>5</v>
      </c>
      <c r="S45">
        <v>0.6</v>
      </c>
      <c r="T45">
        <v>0.6</v>
      </c>
      <c r="U45">
        <v>0</v>
      </c>
      <c r="V45">
        <v>0</v>
      </c>
      <c r="X45">
        <v>5</v>
      </c>
      <c r="Y45">
        <v>4</v>
      </c>
      <c r="Z45">
        <v>9</v>
      </c>
      <c r="AA45">
        <v>2</v>
      </c>
      <c r="AB45">
        <v>1</v>
      </c>
      <c r="AC45">
        <v>0</v>
      </c>
      <c r="AD45">
        <v>0</v>
      </c>
      <c r="AE45">
        <v>2</v>
      </c>
      <c r="AF45">
        <v>6</v>
      </c>
      <c r="AG45">
        <v>10</v>
      </c>
      <c r="AH45">
        <v>-3</v>
      </c>
    </row>
    <row r="46" spans="1:34" ht="21" x14ac:dyDescent="0.3">
      <c r="A46" t="s">
        <v>549</v>
      </c>
      <c r="B46" s="11">
        <v>41</v>
      </c>
      <c r="C46">
        <v>325</v>
      </c>
      <c r="D46">
        <v>45</v>
      </c>
      <c r="E46" s="4">
        <v>44578</v>
      </c>
      <c r="F46" t="s">
        <v>64</v>
      </c>
      <c r="H46" t="s">
        <v>108</v>
      </c>
      <c r="I46" t="s">
        <v>403</v>
      </c>
      <c r="J46" t="s">
        <v>41</v>
      </c>
      <c r="K46" s="9">
        <v>1.0618055555555554</v>
      </c>
      <c r="L46">
        <v>3</v>
      </c>
      <c r="M46">
        <v>3</v>
      </c>
      <c r="N46">
        <v>1</v>
      </c>
      <c r="O46">
        <v>0</v>
      </c>
      <c r="P46">
        <v>0</v>
      </c>
      <c r="Q46">
        <v>3</v>
      </c>
      <c r="R46">
        <v>3</v>
      </c>
      <c r="S46">
        <v>1</v>
      </c>
      <c r="T46">
        <v>1</v>
      </c>
      <c r="U46">
        <v>4</v>
      </c>
      <c r="V46">
        <v>4</v>
      </c>
      <c r="W46">
        <v>1</v>
      </c>
      <c r="X46">
        <v>3</v>
      </c>
      <c r="Y46">
        <v>2</v>
      </c>
      <c r="Z46">
        <v>5</v>
      </c>
      <c r="AA46">
        <v>4</v>
      </c>
      <c r="AB46">
        <v>0</v>
      </c>
      <c r="AC46">
        <v>1</v>
      </c>
      <c r="AD46">
        <v>1</v>
      </c>
      <c r="AE46">
        <v>4</v>
      </c>
      <c r="AF46">
        <v>10</v>
      </c>
      <c r="AG46">
        <v>12.7</v>
      </c>
      <c r="AH46">
        <v>3</v>
      </c>
    </row>
    <row r="47" spans="1:34" ht="21" x14ac:dyDescent="0.3">
      <c r="A47" t="s">
        <v>549</v>
      </c>
      <c r="B47" s="11">
        <v>42</v>
      </c>
      <c r="C47">
        <v>326</v>
      </c>
      <c r="D47">
        <v>46</v>
      </c>
      <c r="E47" s="4">
        <v>44580</v>
      </c>
      <c r="F47" t="s">
        <v>64</v>
      </c>
      <c r="G47" t="s">
        <v>37</v>
      </c>
      <c r="H47" t="s">
        <v>34</v>
      </c>
      <c r="I47" t="s">
        <v>404</v>
      </c>
      <c r="J47" t="s">
        <v>41</v>
      </c>
      <c r="K47" s="9">
        <v>1.5555555555555556</v>
      </c>
      <c r="L47">
        <v>15</v>
      </c>
      <c r="M47">
        <v>19</v>
      </c>
      <c r="N47">
        <v>0.78900000000000003</v>
      </c>
      <c r="O47">
        <v>0</v>
      </c>
      <c r="P47">
        <v>0</v>
      </c>
      <c r="Q47">
        <v>15</v>
      </c>
      <c r="R47">
        <v>19</v>
      </c>
      <c r="S47">
        <v>0.78900000000000003</v>
      </c>
      <c r="T47">
        <v>0.78900000000000003</v>
      </c>
      <c r="U47">
        <v>2</v>
      </c>
      <c r="V47">
        <v>2</v>
      </c>
      <c r="W47">
        <v>1</v>
      </c>
      <c r="X47">
        <v>6</v>
      </c>
      <c r="Y47">
        <v>4</v>
      </c>
      <c r="Z47">
        <v>10</v>
      </c>
      <c r="AA47">
        <v>3</v>
      </c>
      <c r="AB47">
        <v>1</v>
      </c>
      <c r="AC47">
        <v>1</v>
      </c>
      <c r="AD47">
        <v>3</v>
      </c>
      <c r="AE47">
        <v>5</v>
      </c>
      <c r="AF47">
        <v>32</v>
      </c>
      <c r="AG47">
        <v>28.9</v>
      </c>
      <c r="AH47">
        <v>-17</v>
      </c>
    </row>
    <row r="48" spans="1:34" ht="21" x14ac:dyDescent="0.3">
      <c r="A48" t="s">
        <v>549</v>
      </c>
      <c r="B48" s="11">
        <v>43</v>
      </c>
      <c r="C48">
        <v>327</v>
      </c>
      <c r="D48">
        <v>47</v>
      </c>
      <c r="E48" s="4">
        <v>44582</v>
      </c>
      <c r="F48" t="s">
        <v>64</v>
      </c>
      <c r="G48" t="s">
        <v>37</v>
      </c>
      <c r="H48" t="s">
        <v>94</v>
      </c>
      <c r="I48" t="s">
        <v>405</v>
      </c>
      <c r="J48" t="s">
        <v>41</v>
      </c>
      <c r="K48" s="7">
        <v>0.98888888888888893</v>
      </c>
      <c r="L48">
        <v>6</v>
      </c>
      <c r="M48">
        <v>8</v>
      </c>
      <c r="N48">
        <v>0.75</v>
      </c>
      <c r="O48">
        <v>0</v>
      </c>
      <c r="P48">
        <v>0</v>
      </c>
      <c r="Q48">
        <v>6</v>
      </c>
      <c r="R48">
        <v>8</v>
      </c>
      <c r="S48">
        <v>0.75</v>
      </c>
      <c r="T48">
        <v>0.75</v>
      </c>
      <c r="U48">
        <v>0</v>
      </c>
      <c r="V48">
        <v>0</v>
      </c>
      <c r="X48">
        <v>2</v>
      </c>
      <c r="Y48">
        <v>8</v>
      </c>
      <c r="Z48">
        <v>10</v>
      </c>
      <c r="AA48">
        <v>1</v>
      </c>
      <c r="AB48">
        <v>0</v>
      </c>
      <c r="AC48">
        <v>0</v>
      </c>
      <c r="AD48">
        <v>1</v>
      </c>
      <c r="AE48">
        <v>3</v>
      </c>
      <c r="AF48">
        <v>12</v>
      </c>
      <c r="AG48">
        <v>11.1</v>
      </c>
      <c r="AH48">
        <v>0</v>
      </c>
    </row>
    <row r="49" spans="1:34" ht="21" x14ac:dyDescent="0.3">
      <c r="A49" t="s">
        <v>549</v>
      </c>
      <c r="B49" s="11">
        <v>44</v>
      </c>
      <c r="C49">
        <v>328</v>
      </c>
      <c r="D49">
        <v>48</v>
      </c>
      <c r="E49" s="4">
        <v>44584</v>
      </c>
      <c r="F49" t="s">
        <v>64</v>
      </c>
      <c r="G49" t="s">
        <v>37</v>
      </c>
      <c r="H49" t="s">
        <v>110</v>
      </c>
      <c r="I49" t="s">
        <v>406</v>
      </c>
      <c r="J49" t="s">
        <v>41</v>
      </c>
      <c r="K49" s="9">
        <v>1.2284722222222222</v>
      </c>
      <c r="L49">
        <v>5</v>
      </c>
      <c r="M49">
        <v>8</v>
      </c>
      <c r="N49">
        <v>0.625</v>
      </c>
      <c r="O49">
        <v>0</v>
      </c>
      <c r="P49">
        <v>0</v>
      </c>
      <c r="Q49">
        <v>5</v>
      </c>
      <c r="R49">
        <v>8</v>
      </c>
      <c r="S49">
        <v>0.625</v>
      </c>
      <c r="T49">
        <v>0.625</v>
      </c>
      <c r="U49">
        <v>7</v>
      </c>
      <c r="V49">
        <v>11</v>
      </c>
      <c r="W49">
        <v>0.63600000000000001</v>
      </c>
      <c r="X49">
        <v>4</v>
      </c>
      <c r="Y49">
        <v>10</v>
      </c>
      <c r="Z49">
        <v>14</v>
      </c>
      <c r="AA49">
        <v>0</v>
      </c>
      <c r="AB49">
        <v>0</v>
      </c>
      <c r="AC49">
        <v>3</v>
      </c>
      <c r="AD49">
        <v>4</v>
      </c>
      <c r="AE49">
        <v>2</v>
      </c>
      <c r="AF49">
        <v>17</v>
      </c>
      <c r="AG49">
        <v>14.9</v>
      </c>
      <c r="AH49">
        <v>-1</v>
      </c>
    </row>
    <row r="50" spans="1:34" ht="21" x14ac:dyDescent="0.3">
      <c r="A50" t="s">
        <v>549</v>
      </c>
      <c r="B50" s="11">
        <v>45</v>
      </c>
      <c r="C50">
        <v>329</v>
      </c>
      <c r="D50">
        <v>49</v>
      </c>
      <c r="E50" s="4">
        <v>44586</v>
      </c>
      <c r="F50" t="s">
        <v>64</v>
      </c>
      <c r="G50" t="s">
        <v>37</v>
      </c>
      <c r="H50" t="s">
        <v>155</v>
      </c>
      <c r="I50" t="s">
        <v>407</v>
      </c>
      <c r="J50" t="s">
        <v>41</v>
      </c>
      <c r="K50" s="7">
        <v>0.50902777777777775</v>
      </c>
      <c r="L50">
        <v>0</v>
      </c>
      <c r="M50">
        <v>5</v>
      </c>
      <c r="N50">
        <v>0</v>
      </c>
      <c r="O50">
        <v>0</v>
      </c>
      <c r="P50">
        <v>0</v>
      </c>
      <c r="Q50">
        <v>0</v>
      </c>
      <c r="R50">
        <v>5</v>
      </c>
      <c r="S50">
        <v>0</v>
      </c>
      <c r="T50">
        <v>0</v>
      </c>
      <c r="U50">
        <v>2</v>
      </c>
      <c r="V50">
        <v>4</v>
      </c>
      <c r="W50">
        <v>0.5</v>
      </c>
      <c r="X50">
        <v>2</v>
      </c>
      <c r="Y50">
        <v>2</v>
      </c>
      <c r="Z50">
        <v>4</v>
      </c>
      <c r="AA50">
        <v>2</v>
      </c>
      <c r="AB50">
        <v>0</v>
      </c>
      <c r="AC50">
        <v>1</v>
      </c>
      <c r="AD50">
        <v>0</v>
      </c>
      <c r="AE50">
        <v>2</v>
      </c>
      <c r="AF50">
        <v>2</v>
      </c>
      <c r="AG50">
        <v>1</v>
      </c>
      <c r="AH50">
        <v>-19</v>
      </c>
    </row>
    <row r="51" spans="1:34" ht="21" x14ac:dyDescent="0.3">
      <c r="A51" t="s">
        <v>549</v>
      </c>
      <c r="B51" s="11">
        <v>46</v>
      </c>
      <c r="C51">
        <v>330</v>
      </c>
      <c r="D51">
        <v>50</v>
      </c>
      <c r="E51" s="4">
        <v>44587</v>
      </c>
      <c r="F51" t="s">
        <v>64</v>
      </c>
      <c r="G51" t="s">
        <v>37</v>
      </c>
      <c r="H51" t="s">
        <v>104</v>
      </c>
      <c r="I51" t="s">
        <v>408</v>
      </c>
      <c r="J51" t="s">
        <v>41</v>
      </c>
      <c r="K51" s="7">
        <v>0.93333333333333335</v>
      </c>
      <c r="L51">
        <v>3</v>
      </c>
      <c r="M51">
        <v>8</v>
      </c>
      <c r="N51">
        <v>0.375</v>
      </c>
      <c r="O51">
        <v>0</v>
      </c>
      <c r="P51">
        <v>0</v>
      </c>
      <c r="Q51">
        <v>3</v>
      </c>
      <c r="R51">
        <v>8</v>
      </c>
      <c r="S51">
        <v>0.375</v>
      </c>
      <c r="T51">
        <v>0.375</v>
      </c>
      <c r="U51">
        <v>2</v>
      </c>
      <c r="V51">
        <v>2</v>
      </c>
      <c r="W51">
        <v>1</v>
      </c>
      <c r="X51">
        <v>1</v>
      </c>
      <c r="Y51">
        <v>6</v>
      </c>
      <c r="Z51">
        <v>7</v>
      </c>
      <c r="AA51">
        <v>2</v>
      </c>
      <c r="AB51">
        <v>1</v>
      </c>
      <c r="AC51">
        <v>0</v>
      </c>
      <c r="AD51">
        <v>3</v>
      </c>
      <c r="AE51">
        <v>5</v>
      </c>
      <c r="AF51">
        <v>8</v>
      </c>
      <c r="AG51">
        <v>3.5</v>
      </c>
      <c r="AH51">
        <v>7</v>
      </c>
    </row>
    <row r="52" spans="1:34" ht="21" x14ac:dyDescent="0.3">
      <c r="A52" t="s">
        <v>549</v>
      </c>
      <c r="B52" s="11">
        <v>47</v>
      </c>
      <c r="C52">
        <v>331</v>
      </c>
      <c r="D52">
        <v>51</v>
      </c>
      <c r="E52" s="4">
        <v>44589</v>
      </c>
      <c r="F52" t="s">
        <v>64</v>
      </c>
      <c r="G52" t="s">
        <v>37</v>
      </c>
      <c r="H52" t="s">
        <v>120</v>
      </c>
      <c r="I52" t="s">
        <v>191</v>
      </c>
      <c r="J52" t="s">
        <v>41</v>
      </c>
      <c r="K52" s="7">
        <v>0.94930555555555551</v>
      </c>
      <c r="L52">
        <v>2</v>
      </c>
      <c r="M52">
        <v>4</v>
      </c>
      <c r="N52">
        <v>0.5</v>
      </c>
      <c r="O52">
        <v>0</v>
      </c>
      <c r="P52">
        <v>0</v>
      </c>
      <c r="Q52">
        <v>2</v>
      </c>
      <c r="R52">
        <v>4</v>
      </c>
      <c r="S52">
        <v>0.5</v>
      </c>
      <c r="T52">
        <v>0.5</v>
      </c>
      <c r="U52">
        <v>2</v>
      </c>
      <c r="V52">
        <v>4</v>
      </c>
      <c r="W52">
        <v>0.5</v>
      </c>
      <c r="X52">
        <v>0</v>
      </c>
      <c r="Y52">
        <v>3</v>
      </c>
      <c r="Z52">
        <v>3</v>
      </c>
      <c r="AA52">
        <v>2</v>
      </c>
      <c r="AB52">
        <v>0</v>
      </c>
      <c r="AC52">
        <v>1</v>
      </c>
      <c r="AD52">
        <v>2</v>
      </c>
      <c r="AE52">
        <v>1</v>
      </c>
      <c r="AF52">
        <v>6</v>
      </c>
      <c r="AG52">
        <v>3.8</v>
      </c>
      <c r="AH52">
        <v>-22</v>
      </c>
    </row>
    <row r="53" spans="1:34" ht="21" x14ac:dyDescent="0.3">
      <c r="A53" t="s">
        <v>549</v>
      </c>
      <c r="B53" s="11">
        <v>48</v>
      </c>
      <c r="C53">
        <v>332</v>
      </c>
      <c r="D53">
        <v>52</v>
      </c>
      <c r="E53" s="4">
        <v>44591</v>
      </c>
      <c r="F53" t="s">
        <v>64</v>
      </c>
      <c r="G53" t="s">
        <v>37</v>
      </c>
      <c r="H53" t="s">
        <v>72</v>
      </c>
      <c r="I53" t="s">
        <v>409</v>
      </c>
      <c r="J53" t="s">
        <v>41</v>
      </c>
      <c r="K53" s="7">
        <v>0.83819444444444446</v>
      </c>
      <c r="L53">
        <v>2</v>
      </c>
      <c r="M53">
        <v>2</v>
      </c>
      <c r="N53">
        <v>1</v>
      </c>
      <c r="O53">
        <v>0</v>
      </c>
      <c r="P53">
        <v>0</v>
      </c>
      <c r="Q53">
        <v>2</v>
      </c>
      <c r="R53">
        <v>2</v>
      </c>
      <c r="S53">
        <v>1</v>
      </c>
      <c r="T53">
        <v>1</v>
      </c>
      <c r="U53">
        <v>3</v>
      </c>
      <c r="V53">
        <v>4</v>
      </c>
      <c r="W53">
        <v>0.75</v>
      </c>
      <c r="X53">
        <v>1</v>
      </c>
      <c r="Y53">
        <v>10</v>
      </c>
      <c r="Z53">
        <v>11</v>
      </c>
      <c r="AA53">
        <v>3</v>
      </c>
      <c r="AB53">
        <v>0</v>
      </c>
      <c r="AC53">
        <v>1</v>
      </c>
      <c r="AD53">
        <v>3</v>
      </c>
      <c r="AE53">
        <v>2</v>
      </c>
      <c r="AF53">
        <v>7</v>
      </c>
      <c r="AG53">
        <v>8.6999999999999993</v>
      </c>
      <c r="AH53">
        <v>3</v>
      </c>
    </row>
    <row r="54" spans="1:34" ht="21" x14ac:dyDescent="0.3">
      <c r="A54" t="s">
        <v>549</v>
      </c>
      <c r="B54" s="11">
        <v>48</v>
      </c>
      <c r="D54">
        <v>53</v>
      </c>
      <c r="E54" s="4">
        <v>44592</v>
      </c>
      <c r="F54" t="s">
        <v>64</v>
      </c>
      <c r="G54" t="s">
        <v>37</v>
      </c>
      <c r="H54" t="s">
        <v>108</v>
      </c>
      <c r="I54" t="s">
        <v>410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  <c r="O54" t="s">
        <v>91</v>
      </c>
      <c r="P54" t="s">
        <v>91</v>
      </c>
      <c r="Q54" t="s">
        <v>91</v>
      </c>
      <c r="R54" t="s">
        <v>91</v>
      </c>
      <c r="S54" t="s">
        <v>91</v>
      </c>
      <c r="T54" t="s">
        <v>91</v>
      </c>
      <c r="U54" t="s">
        <v>91</v>
      </c>
      <c r="V54" t="s">
        <v>91</v>
      </c>
      <c r="W54" t="s">
        <v>91</v>
      </c>
      <c r="X54" t="s">
        <v>91</v>
      </c>
      <c r="Y54" t="s">
        <v>91</v>
      </c>
      <c r="Z54" t="s">
        <v>91</v>
      </c>
      <c r="AA54" t="s">
        <v>91</v>
      </c>
      <c r="AB54" t="s">
        <v>91</v>
      </c>
      <c r="AC54" t="s">
        <v>91</v>
      </c>
      <c r="AD54" t="s">
        <v>91</v>
      </c>
      <c r="AE54" t="s">
        <v>91</v>
      </c>
      <c r="AF54" t="s">
        <v>91</v>
      </c>
      <c r="AG54" t="s">
        <v>91</v>
      </c>
      <c r="AH54" t="s">
        <v>91</v>
      </c>
    </row>
    <row r="55" spans="1:34" ht="21" x14ac:dyDescent="0.3">
      <c r="A55" t="s">
        <v>549</v>
      </c>
      <c r="B55" s="11">
        <v>48</v>
      </c>
      <c r="D55">
        <v>54</v>
      </c>
      <c r="E55" s="4">
        <v>44595</v>
      </c>
      <c r="F55" t="s">
        <v>64</v>
      </c>
      <c r="H55" t="s">
        <v>62</v>
      </c>
      <c r="I55" t="s">
        <v>411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  <c r="O55" t="s">
        <v>91</v>
      </c>
      <c r="P55" t="s">
        <v>91</v>
      </c>
      <c r="Q55" t="s">
        <v>91</v>
      </c>
      <c r="R55" t="s">
        <v>91</v>
      </c>
      <c r="S55" t="s">
        <v>91</v>
      </c>
      <c r="T55" t="s">
        <v>91</v>
      </c>
      <c r="U55" t="s">
        <v>91</v>
      </c>
      <c r="V55" t="s">
        <v>91</v>
      </c>
      <c r="W55" t="s">
        <v>91</v>
      </c>
      <c r="X55" t="s">
        <v>91</v>
      </c>
      <c r="Y55" t="s">
        <v>91</v>
      </c>
      <c r="Z55" t="s">
        <v>91</v>
      </c>
      <c r="AA55" t="s">
        <v>91</v>
      </c>
      <c r="AB55" t="s">
        <v>91</v>
      </c>
      <c r="AC55" t="s">
        <v>91</v>
      </c>
      <c r="AD55" t="s">
        <v>91</v>
      </c>
      <c r="AE55" t="s">
        <v>91</v>
      </c>
      <c r="AF55" t="s">
        <v>91</v>
      </c>
      <c r="AG55" t="s">
        <v>91</v>
      </c>
      <c r="AH55" t="s">
        <v>91</v>
      </c>
    </row>
    <row r="56" spans="1:34" ht="21" x14ac:dyDescent="0.3">
      <c r="A56" t="s">
        <v>549</v>
      </c>
      <c r="B56" s="11">
        <v>49</v>
      </c>
      <c r="C56">
        <v>333</v>
      </c>
      <c r="D56">
        <v>55</v>
      </c>
      <c r="E56" s="4">
        <v>44598</v>
      </c>
      <c r="F56" t="s">
        <v>64</v>
      </c>
      <c r="H56" t="s">
        <v>126</v>
      </c>
      <c r="I56" t="s">
        <v>412</v>
      </c>
      <c r="J56" t="s">
        <v>41</v>
      </c>
      <c r="K56" s="7">
        <v>0.78680555555555554</v>
      </c>
      <c r="L56">
        <v>3</v>
      </c>
      <c r="M56">
        <v>5</v>
      </c>
      <c r="N56">
        <v>0.6</v>
      </c>
      <c r="O56">
        <v>0</v>
      </c>
      <c r="P56">
        <v>0</v>
      </c>
      <c r="Q56">
        <v>3</v>
      </c>
      <c r="R56">
        <v>5</v>
      </c>
      <c r="S56">
        <v>0.6</v>
      </c>
      <c r="T56">
        <v>0.6</v>
      </c>
      <c r="U56">
        <v>4</v>
      </c>
      <c r="V56">
        <v>4</v>
      </c>
      <c r="W56">
        <v>1</v>
      </c>
      <c r="X56">
        <v>0</v>
      </c>
      <c r="Y56">
        <v>5</v>
      </c>
      <c r="Z56">
        <v>5</v>
      </c>
      <c r="AA56">
        <v>1</v>
      </c>
      <c r="AB56">
        <v>0</v>
      </c>
      <c r="AC56">
        <v>1</v>
      </c>
      <c r="AD56">
        <v>1</v>
      </c>
      <c r="AE56">
        <v>2</v>
      </c>
      <c r="AF56">
        <v>10</v>
      </c>
      <c r="AG56">
        <v>8.8000000000000007</v>
      </c>
      <c r="AH56">
        <v>-18</v>
      </c>
    </row>
    <row r="57" spans="1:34" ht="21" x14ac:dyDescent="0.3">
      <c r="A57" t="s">
        <v>549</v>
      </c>
      <c r="B57" s="11">
        <v>50</v>
      </c>
      <c r="C57">
        <v>334</v>
      </c>
      <c r="D57">
        <v>56</v>
      </c>
      <c r="E57" s="4">
        <v>44600</v>
      </c>
      <c r="F57" t="s">
        <v>64</v>
      </c>
      <c r="G57" t="s">
        <v>37</v>
      </c>
      <c r="H57" t="s">
        <v>42</v>
      </c>
      <c r="I57" t="s">
        <v>413</v>
      </c>
      <c r="J57" t="s">
        <v>41</v>
      </c>
      <c r="K57" s="7">
        <v>0.59652777777777777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2</v>
      </c>
      <c r="V57">
        <v>4</v>
      </c>
      <c r="W57">
        <v>0.5</v>
      </c>
      <c r="X57">
        <v>3</v>
      </c>
      <c r="Y57">
        <v>4</v>
      </c>
      <c r="Z57">
        <v>7</v>
      </c>
      <c r="AA57">
        <v>1</v>
      </c>
      <c r="AB57">
        <v>0</v>
      </c>
      <c r="AC57">
        <v>0</v>
      </c>
      <c r="AD57">
        <v>1</v>
      </c>
      <c r="AE57">
        <v>3</v>
      </c>
      <c r="AF57">
        <v>2</v>
      </c>
      <c r="AG57">
        <v>2.2999999999999998</v>
      </c>
      <c r="AH57">
        <v>-16</v>
      </c>
    </row>
    <row r="58" spans="1:34" ht="21" x14ac:dyDescent="0.3">
      <c r="A58" t="s">
        <v>549</v>
      </c>
      <c r="B58" s="11">
        <v>51</v>
      </c>
      <c r="C58">
        <v>335</v>
      </c>
      <c r="D58">
        <v>57</v>
      </c>
      <c r="E58" s="4">
        <v>44602</v>
      </c>
      <c r="F58" t="s">
        <v>64</v>
      </c>
      <c r="G58" t="s">
        <v>37</v>
      </c>
      <c r="H58" t="s">
        <v>49</v>
      </c>
      <c r="I58" t="s">
        <v>414</v>
      </c>
      <c r="J58" t="s">
        <v>41</v>
      </c>
      <c r="K58" s="9">
        <v>1.0687500000000001</v>
      </c>
      <c r="L58">
        <v>3</v>
      </c>
      <c r="M58">
        <v>4</v>
      </c>
      <c r="N58">
        <v>0.75</v>
      </c>
      <c r="O58">
        <v>0</v>
      </c>
      <c r="P58">
        <v>0</v>
      </c>
      <c r="Q58">
        <v>3</v>
      </c>
      <c r="R58">
        <v>4</v>
      </c>
      <c r="S58">
        <v>0.75</v>
      </c>
      <c r="T58">
        <v>0.75</v>
      </c>
      <c r="U58">
        <v>2</v>
      </c>
      <c r="V58">
        <v>5</v>
      </c>
      <c r="W58">
        <v>0.4</v>
      </c>
      <c r="X58">
        <v>0</v>
      </c>
      <c r="Y58">
        <v>3</v>
      </c>
      <c r="Z58">
        <v>3</v>
      </c>
      <c r="AA58">
        <v>1</v>
      </c>
      <c r="AB58">
        <v>0</v>
      </c>
      <c r="AC58">
        <v>0</v>
      </c>
      <c r="AD58">
        <v>3</v>
      </c>
      <c r="AE58">
        <v>3</v>
      </c>
      <c r="AF58">
        <v>8</v>
      </c>
      <c r="AG58">
        <v>2.6</v>
      </c>
      <c r="AH58">
        <v>-17</v>
      </c>
    </row>
    <row r="59" spans="1:34" ht="21" x14ac:dyDescent="0.3">
      <c r="A59" t="s">
        <v>549</v>
      </c>
      <c r="B59" s="11">
        <v>52</v>
      </c>
      <c r="C59">
        <v>336</v>
      </c>
      <c r="D59">
        <v>58</v>
      </c>
      <c r="E59" s="4">
        <v>44604</v>
      </c>
      <c r="F59" t="s">
        <v>64</v>
      </c>
      <c r="G59" t="s">
        <v>37</v>
      </c>
      <c r="H59" t="s">
        <v>49</v>
      </c>
      <c r="I59" t="s">
        <v>415</v>
      </c>
      <c r="J59" t="s">
        <v>41</v>
      </c>
      <c r="K59" s="9">
        <v>1.375</v>
      </c>
      <c r="L59">
        <v>5</v>
      </c>
      <c r="M59">
        <v>8</v>
      </c>
      <c r="N59">
        <v>0.625</v>
      </c>
      <c r="O59">
        <v>0</v>
      </c>
      <c r="P59">
        <v>0</v>
      </c>
      <c r="Q59">
        <v>5</v>
      </c>
      <c r="R59">
        <v>8</v>
      </c>
      <c r="S59">
        <v>0.625</v>
      </c>
      <c r="T59">
        <v>0.625</v>
      </c>
      <c r="U59">
        <v>1</v>
      </c>
      <c r="V59">
        <v>2</v>
      </c>
      <c r="W59">
        <v>0.5</v>
      </c>
      <c r="X59">
        <v>1</v>
      </c>
      <c r="Y59">
        <v>9</v>
      </c>
      <c r="Z59">
        <v>10</v>
      </c>
      <c r="AA59">
        <v>6</v>
      </c>
      <c r="AB59">
        <v>2</v>
      </c>
      <c r="AC59">
        <v>1</v>
      </c>
      <c r="AD59">
        <v>4</v>
      </c>
      <c r="AE59">
        <v>2</v>
      </c>
      <c r="AF59">
        <v>11</v>
      </c>
      <c r="AG59">
        <v>12.5</v>
      </c>
      <c r="AH59">
        <v>-10</v>
      </c>
    </row>
    <row r="60" spans="1:34" ht="21" x14ac:dyDescent="0.3">
      <c r="A60" t="s">
        <v>549</v>
      </c>
      <c r="B60" s="11">
        <v>53</v>
      </c>
      <c r="C60">
        <v>337</v>
      </c>
      <c r="D60">
        <v>59</v>
      </c>
      <c r="E60" s="4">
        <v>44606</v>
      </c>
      <c r="F60" t="s">
        <v>64</v>
      </c>
      <c r="H60" t="s">
        <v>33</v>
      </c>
      <c r="I60" t="s">
        <v>93</v>
      </c>
      <c r="J60" t="s">
        <v>41</v>
      </c>
      <c r="K60" s="7">
        <v>0.94305555555555554</v>
      </c>
      <c r="L60">
        <v>8</v>
      </c>
      <c r="M60">
        <v>10</v>
      </c>
      <c r="N60">
        <v>0.8</v>
      </c>
      <c r="O60">
        <v>0</v>
      </c>
      <c r="P60">
        <v>0</v>
      </c>
      <c r="Q60">
        <v>8</v>
      </c>
      <c r="R60">
        <v>10</v>
      </c>
      <c r="S60">
        <v>0.8</v>
      </c>
      <c r="T60">
        <v>0.8</v>
      </c>
      <c r="U60">
        <v>2</v>
      </c>
      <c r="V60">
        <v>4</v>
      </c>
      <c r="W60">
        <v>0.5</v>
      </c>
      <c r="X60">
        <v>4</v>
      </c>
      <c r="Y60">
        <v>4</v>
      </c>
      <c r="Z60">
        <v>8</v>
      </c>
      <c r="AA60">
        <v>1</v>
      </c>
      <c r="AB60">
        <v>0</v>
      </c>
      <c r="AC60">
        <v>0</v>
      </c>
      <c r="AD60">
        <v>1</v>
      </c>
      <c r="AE60">
        <v>1</v>
      </c>
      <c r="AF60">
        <v>18</v>
      </c>
      <c r="AG60">
        <v>16.7</v>
      </c>
      <c r="AH60">
        <v>13</v>
      </c>
    </row>
    <row r="61" spans="1:34" ht="21" x14ac:dyDescent="0.3">
      <c r="A61" t="s">
        <v>549</v>
      </c>
      <c r="B61" s="11">
        <v>54</v>
      </c>
      <c r="C61">
        <v>338</v>
      </c>
      <c r="D61">
        <v>60</v>
      </c>
      <c r="E61" s="4">
        <v>44607</v>
      </c>
      <c r="F61" t="s">
        <v>64</v>
      </c>
      <c r="G61" t="s">
        <v>37</v>
      </c>
      <c r="H61" t="s">
        <v>99</v>
      </c>
      <c r="I61" t="s">
        <v>416</v>
      </c>
      <c r="J61" t="s">
        <v>41</v>
      </c>
      <c r="K61" s="9">
        <v>1.3027777777777778</v>
      </c>
      <c r="L61">
        <v>5</v>
      </c>
      <c r="M61">
        <v>9</v>
      </c>
      <c r="N61">
        <v>0.55600000000000005</v>
      </c>
      <c r="O61">
        <v>0</v>
      </c>
      <c r="P61">
        <v>0</v>
      </c>
      <c r="Q61">
        <v>5</v>
      </c>
      <c r="R61">
        <v>9</v>
      </c>
      <c r="S61">
        <v>0.55600000000000005</v>
      </c>
      <c r="T61">
        <v>0.55600000000000005</v>
      </c>
      <c r="U61">
        <v>2</v>
      </c>
      <c r="V61">
        <v>3</v>
      </c>
      <c r="W61">
        <v>0.66700000000000004</v>
      </c>
      <c r="X61">
        <v>5</v>
      </c>
      <c r="Y61">
        <v>8</v>
      </c>
      <c r="Z61">
        <v>13</v>
      </c>
      <c r="AA61">
        <v>5</v>
      </c>
      <c r="AB61">
        <v>0</v>
      </c>
      <c r="AC61">
        <v>1</v>
      </c>
      <c r="AD61">
        <v>1</v>
      </c>
      <c r="AE61">
        <v>3</v>
      </c>
      <c r="AF61">
        <v>12</v>
      </c>
      <c r="AG61">
        <v>15.2</v>
      </c>
      <c r="AH61">
        <v>-7</v>
      </c>
    </row>
    <row r="62" spans="1:34" ht="21" x14ac:dyDescent="0.3">
      <c r="A62" t="s">
        <v>549</v>
      </c>
      <c r="B62" s="11">
        <v>55</v>
      </c>
      <c r="C62">
        <v>339</v>
      </c>
      <c r="D62">
        <v>61</v>
      </c>
      <c r="E62" s="4">
        <v>44609</v>
      </c>
      <c r="F62" t="s">
        <v>64</v>
      </c>
      <c r="H62" t="s">
        <v>76</v>
      </c>
      <c r="I62" t="s">
        <v>417</v>
      </c>
      <c r="J62" t="s">
        <v>41</v>
      </c>
      <c r="K62" s="7">
        <v>0.94652777777777775</v>
      </c>
      <c r="L62">
        <v>6</v>
      </c>
      <c r="M62">
        <v>10</v>
      </c>
      <c r="N62">
        <v>0.6</v>
      </c>
      <c r="O62">
        <v>0</v>
      </c>
      <c r="P62">
        <v>0</v>
      </c>
      <c r="Q62">
        <v>6</v>
      </c>
      <c r="R62">
        <v>10</v>
      </c>
      <c r="S62">
        <v>0.6</v>
      </c>
      <c r="T62">
        <v>0.6</v>
      </c>
      <c r="U62">
        <v>1</v>
      </c>
      <c r="V62">
        <v>2</v>
      </c>
      <c r="W62">
        <v>0.5</v>
      </c>
      <c r="X62">
        <v>5</v>
      </c>
      <c r="Y62">
        <v>5</v>
      </c>
      <c r="Z62">
        <v>10</v>
      </c>
      <c r="AA62">
        <v>1</v>
      </c>
      <c r="AB62">
        <v>1</v>
      </c>
      <c r="AC62">
        <v>0</v>
      </c>
      <c r="AD62">
        <v>1</v>
      </c>
      <c r="AE62">
        <v>3</v>
      </c>
      <c r="AF62">
        <v>13</v>
      </c>
      <c r="AG62">
        <v>12.5</v>
      </c>
      <c r="AH62">
        <v>10</v>
      </c>
    </row>
    <row r="63" spans="1:34" ht="21" x14ac:dyDescent="0.3">
      <c r="A63" t="s">
        <v>549</v>
      </c>
      <c r="B63" s="11">
        <v>56</v>
      </c>
      <c r="C63">
        <v>340</v>
      </c>
      <c r="D63">
        <v>62</v>
      </c>
      <c r="E63" s="4">
        <v>44617</v>
      </c>
      <c r="F63" t="s">
        <v>64</v>
      </c>
      <c r="G63" t="s">
        <v>37</v>
      </c>
      <c r="H63" t="s">
        <v>62</v>
      </c>
      <c r="I63" t="s">
        <v>90</v>
      </c>
      <c r="J63" t="s">
        <v>41</v>
      </c>
      <c r="K63" s="7">
        <v>0.75</v>
      </c>
      <c r="L63">
        <v>3</v>
      </c>
      <c r="M63">
        <v>7</v>
      </c>
      <c r="N63">
        <v>0.42899999999999999</v>
      </c>
      <c r="O63">
        <v>0</v>
      </c>
      <c r="P63">
        <v>0</v>
      </c>
      <c r="Q63">
        <v>3</v>
      </c>
      <c r="R63">
        <v>7</v>
      </c>
      <c r="S63">
        <v>0.42899999999999999</v>
      </c>
      <c r="T63">
        <v>0.42899999999999999</v>
      </c>
      <c r="U63">
        <v>0</v>
      </c>
      <c r="V63">
        <v>0</v>
      </c>
      <c r="X63">
        <v>1</v>
      </c>
      <c r="Y63">
        <v>6</v>
      </c>
      <c r="Z63">
        <v>7</v>
      </c>
      <c r="AA63">
        <v>0</v>
      </c>
      <c r="AB63">
        <v>0</v>
      </c>
      <c r="AC63">
        <v>0</v>
      </c>
      <c r="AD63">
        <v>4</v>
      </c>
      <c r="AE63">
        <v>4</v>
      </c>
      <c r="AF63">
        <v>6</v>
      </c>
      <c r="AG63">
        <v>-0.8</v>
      </c>
      <c r="AH63">
        <v>3</v>
      </c>
    </row>
    <row r="64" spans="1:34" ht="21" x14ac:dyDescent="0.3">
      <c r="A64" t="s">
        <v>549</v>
      </c>
      <c r="B64" s="11">
        <v>57</v>
      </c>
      <c r="C64">
        <v>341</v>
      </c>
      <c r="D64">
        <v>63</v>
      </c>
      <c r="E64" s="4">
        <v>44619</v>
      </c>
      <c r="F64" t="s">
        <v>64</v>
      </c>
      <c r="G64" t="s">
        <v>37</v>
      </c>
      <c r="H64" t="s">
        <v>76</v>
      </c>
      <c r="I64" t="s">
        <v>418</v>
      </c>
      <c r="J64" t="s">
        <v>41</v>
      </c>
      <c r="K64" s="9">
        <v>1.4152777777777779</v>
      </c>
      <c r="L64">
        <v>5</v>
      </c>
      <c r="M64">
        <v>5</v>
      </c>
      <c r="N64">
        <v>1</v>
      </c>
      <c r="O64">
        <v>0</v>
      </c>
      <c r="P64">
        <v>0</v>
      </c>
      <c r="Q64">
        <v>5</v>
      </c>
      <c r="R64">
        <v>5</v>
      </c>
      <c r="S64">
        <v>1</v>
      </c>
      <c r="T64">
        <v>1</v>
      </c>
      <c r="U64">
        <v>4</v>
      </c>
      <c r="V64">
        <v>6</v>
      </c>
      <c r="W64">
        <v>0.66700000000000004</v>
      </c>
      <c r="X64">
        <v>4</v>
      </c>
      <c r="Y64">
        <v>11</v>
      </c>
      <c r="Z64">
        <v>15</v>
      </c>
      <c r="AA64">
        <v>3</v>
      </c>
      <c r="AB64">
        <v>1</v>
      </c>
      <c r="AC64">
        <v>6</v>
      </c>
      <c r="AD64">
        <v>4</v>
      </c>
      <c r="AE64">
        <v>3</v>
      </c>
      <c r="AF64">
        <v>14</v>
      </c>
      <c r="AG64">
        <v>19.899999999999999</v>
      </c>
      <c r="AH64">
        <v>16</v>
      </c>
    </row>
    <row r="65" spans="1:34" ht="21" x14ac:dyDescent="0.3">
      <c r="A65" t="s">
        <v>549</v>
      </c>
      <c r="B65" s="11">
        <v>58</v>
      </c>
      <c r="C65">
        <v>342</v>
      </c>
      <c r="D65">
        <v>64</v>
      </c>
      <c r="E65" s="4">
        <v>44621</v>
      </c>
      <c r="F65" t="s">
        <v>64</v>
      </c>
      <c r="G65" t="s">
        <v>37</v>
      </c>
      <c r="H65" t="s">
        <v>76</v>
      </c>
      <c r="I65" t="s">
        <v>419</v>
      </c>
      <c r="J65" t="s">
        <v>41</v>
      </c>
      <c r="K65" s="9">
        <v>1.0243055555555556</v>
      </c>
      <c r="L65">
        <v>8</v>
      </c>
      <c r="M65">
        <v>12</v>
      </c>
      <c r="N65">
        <v>0.66700000000000004</v>
      </c>
      <c r="O65">
        <v>0</v>
      </c>
      <c r="P65">
        <v>0</v>
      </c>
      <c r="Q65">
        <v>8</v>
      </c>
      <c r="R65">
        <v>12</v>
      </c>
      <c r="S65">
        <v>0.66700000000000004</v>
      </c>
      <c r="T65">
        <v>0.66700000000000004</v>
      </c>
      <c r="U65">
        <v>6</v>
      </c>
      <c r="V65">
        <v>7</v>
      </c>
      <c r="W65">
        <v>0.85699999999999998</v>
      </c>
      <c r="X65">
        <v>7</v>
      </c>
      <c r="Y65">
        <v>5</v>
      </c>
      <c r="Z65">
        <v>12</v>
      </c>
      <c r="AA65">
        <v>2</v>
      </c>
      <c r="AB65">
        <v>1</v>
      </c>
      <c r="AC65">
        <v>1</v>
      </c>
      <c r="AD65">
        <v>2</v>
      </c>
      <c r="AE65">
        <v>3</v>
      </c>
      <c r="AF65">
        <v>22</v>
      </c>
      <c r="AG65">
        <v>22.7</v>
      </c>
      <c r="AH65">
        <v>13</v>
      </c>
    </row>
    <row r="66" spans="1:34" ht="21" x14ac:dyDescent="0.3">
      <c r="A66" t="s">
        <v>549</v>
      </c>
      <c r="B66" s="11">
        <v>59</v>
      </c>
      <c r="C66">
        <v>343</v>
      </c>
      <c r="D66">
        <v>65</v>
      </c>
      <c r="E66" s="4">
        <v>44623</v>
      </c>
      <c r="F66" t="s">
        <v>64</v>
      </c>
      <c r="H66" t="s">
        <v>62</v>
      </c>
      <c r="I66" t="s">
        <v>420</v>
      </c>
      <c r="J66" t="s">
        <v>41</v>
      </c>
      <c r="K66" s="9">
        <v>1.0354166666666667</v>
      </c>
      <c r="L66">
        <v>8</v>
      </c>
      <c r="M66">
        <v>11</v>
      </c>
      <c r="N66">
        <v>0.72699999999999998</v>
      </c>
      <c r="O66">
        <v>0</v>
      </c>
      <c r="P66">
        <v>0</v>
      </c>
      <c r="Q66">
        <v>8</v>
      </c>
      <c r="R66">
        <v>11</v>
      </c>
      <c r="S66">
        <v>0.72699999999999998</v>
      </c>
      <c r="T66">
        <v>0.72699999999999998</v>
      </c>
      <c r="U66">
        <v>3</v>
      </c>
      <c r="V66">
        <v>4</v>
      </c>
      <c r="W66">
        <v>0.75</v>
      </c>
      <c r="X66">
        <v>5</v>
      </c>
      <c r="Y66">
        <v>4</v>
      </c>
      <c r="Z66">
        <v>9</v>
      </c>
      <c r="AA66">
        <v>3</v>
      </c>
      <c r="AB66">
        <v>0</v>
      </c>
      <c r="AC66">
        <v>2</v>
      </c>
      <c r="AD66">
        <v>0</v>
      </c>
      <c r="AE66">
        <v>5</v>
      </c>
      <c r="AF66">
        <v>19</v>
      </c>
      <c r="AG66">
        <v>20.3</v>
      </c>
      <c r="AH66">
        <v>34</v>
      </c>
    </row>
    <row r="67" spans="1:34" ht="21" x14ac:dyDescent="0.3">
      <c r="A67" t="s">
        <v>549</v>
      </c>
      <c r="B67" s="11">
        <v>60</v>
      </c>
      <c r="C67">
        <v>344</v>
      </c>
      <c r="D67">
        <v>66</v>
      </c>
      <c r="E67" s="4">
        <v>44626</v>
      </c>
      <c r="F67" t="s">
        <v>64</v>
      </c>
      <c r="H67" t="s">
        <v>110</v>
      </c>
      <c r="I67" t="s">
        <v>421</v>
      </c>
      <c r="J67" t="s">
        <v>41</v>
      </c>
      <c r="K67" s="7">
        <v>0.77916666666666667</v>
      </c>
      <c r="L67">
        <v>2</v>
      </c>
      <c r="M67">
        <v>5</v>
      </c>
      <c r="N67">
        <v>0.4</v>
      </c>
      <c r="O67">
        <v>0</v>
      </c>
      <c r="P67">
        <v>0</v>
      </c>
      <c r="Q67">
        <v>2</v>
      </c>
      <c r="R67">
        <v>5</v>
      </c>
      <c r="S67">
        <v>0.4</v>
      </c>
      <c r="T67">
        <v>0.4</v>
      </c>
      <c r="U67">
        <v>0</v>
      </c>
      <c r="V67">
        <v>0</v>
      </c>
      <c r="X67">
        <v>2</v>
      </c>
      <c r="Y67">
        <v>7</v>
      </c>
      <c r="Z67">
        <v>9</v>
      </c>
      <c r="AA67">
        <v>0</v>
      </c>
      <c r="AB67">
        <v>0</v>
      </c>
      <c r="AC67">
        <v>0</v>
      </c>
      <c r="AD67">
        <v>3</v>
      </c>
      <c r="AE67">
        <v>4</v>
      </c>
      <c r="AF67">
        <v>4</v>
      </c>
      <c r="AG67">
        <v>0.2</v>
      </c>
      <c r="AH67">
        <v>-2</v>
      </c>
    </row>
    <row r="68" spans="1:34" ht="21" x14ac:dyDescent="0.3">
      <c r="A68" t="s">
        <v>549</v>
      </c>
      <c r="B68" s="11">
        <v>61</v>
      </c>
      <c r="C68">
        <v>345</v>
      </c>
      <c r="D68">
        <v>67</v>
      </c>
      <c r="E68" s="4">
        <v>44628</v>
      </c>
      <c r="F68" t="s">
        <v>64</v>
      </c>
      <c r="G68" t="s">
        <v>37</v>
      </c>
      <c r="H68" t="s">
        <v>33</v>
      </c>
      <c r="I68" t="s">
        <v>422</v>
      </c>
      <c r="J68" t="s">
        <v>41</v>
      </c>
      <c r="K68" s="7">
        <v>0.93680555555555556</v>
      </c>
      <c r="L68">
        <v>0</v>
      </c>
      <c r="M68">
        <v>6</v>
      </c>
      <c r="N68">
        <v>0</v>
      </c>
      <c r="O68">
        <v>0</v>
      </c>
      <c r="P68">
        <v>0</v>
      </c>
      <c r="Q68">
        <v>0</v>
      </c>
      <c r="R68">
        <v>6</v>
      </c>
      <c r="S68">
        <v>0</v>
      </c>
      <c r="T68">
        <v>0</v>
      </c>
      <c r="U68">
        <v>4</v>
      </c>
      <c r="V68">
        <v>4</v>
      </c>
      <c r="W68">
        <v>1</v>
      </c>
      <c r="X68">
        <v>3</v>
      </c>
      <c r="Y68">
        <v>6</v>
      </c>
      <c r="Z68">
        <v>9</v>
      </c>
      <c r="AA68">
        <v>2</v>
      </c>
      <c r="AB68">
        <v>3</v>
      </c>
      <c r="AC68">
        <v>0</v>
      </c>
      <c r="AD68">
        <v>4</v>
      </c>
      <c r="AE68">
        <v>1</v>
      </c>
      <c r="AF68">
        <v>4</v>
      </c>
      <c r="AG68">
        <v>3.7</v>
      </c>
      <c r="AH68">
        <v>-16</v>
      </c>
    </row>
    <row r="69" spans="1:34" ht="21" x14ac:dyDescent="0.3">
      <c r="A69" t="s">
        <v>549</v>
      </c>
      <c r="B69" s="11">
        <v>62</v>
      </c>
      <c r="C69">
        <v>346</v>
      </c>
      <c r="D69">
        <v>68</v>
      </c>
      <c r="E69" s="4">
        <v>44629</v>
      </c>
      <c r="F69" t="s">
        <v>64</v>
      </c>
      <c r="H69" t="s">
        <v>155</v>
      </c>
      <c r="I69" t="s">
        <v>309</v>
      </c>
      <c r="J69" t="s">
        <v>41</v>
      </c>
      <c r="K69" s="9">
        <v>1.1270833333333334</v>
      </c>
      <c r="L69">
        <v>5</v>
      </c>
      <c r="M69">
        <v>13</v>
      </c>
      <c r="N69">
        <v>0.38500000000000001</v>
      </c>
      <c r="O69">
        <v>0</v>
      </c>
      <c r="P69">
        <v>0</v>
      </c>
      <c r="Q69">
        <v>5</v>
      </c>
      <c r="R69">
        <v>13</v>
      </c>
      <c r="S69">
        <v>0.38500000000000001</v>
      </c>
      <c r="T69">
        <v>0.38500000000000001</v>
      </c>
      <c r="U69">
        <v>0</v>
      </c>
      <c r="V69">
        <v>0</v>
      </c>
      <c r="X69">
        <v>3</v>
      </c>
      <c r="Y69">
        <v>6</v>
      </c>
      <c r="Z69">
        <v>9</v>
      </c>
      <c r="AA69">
        <v>2</v>
      </c>
      <c r="AB69">
        <v>1</v>
      </c>
      <c r="AC69">
        <v>1</v>
      </c>
      <c r="AD69">
        <v>2</v>
      </c>
      <c r="AE69">
        <v>2</v>
      </c>
      <c r="AF69">
        <v>10</v>
      </c>
      <c r="AG69">
        <v>7.1</v>
      </c>
      <c r="AH69">
        <v>-14</v>
      </c>
    </row>
    <row r="70" spans="1:34" ht="21" x14ac:dyDescent="0.3">
      <c r="A70" t="s">
        <v>549</v>
      </c>
      <c r="B70" s="11">
        <v>63</v>
      </c>
      <c r="C70">
        <v>347</v>
      </c>
      <c r="D70">
        <v>69</v>
      </c>
      <c r="E70" s="4">
        <v>44631</v>
      </c>
      <c r="F70" t="s">
        <v>64</v>
      </c>
      <c r="G70" t="s">
        <v>37</v>
      </c>
      <c r="H70" t="s">
        <v>78</v>
      </c>
      <c r="I70" t="s">
        <v>423</v>
      </c>
      <c r="J70" t="s">
        <v>41</v>
      </c>
      <c r="K70" s="9">
        <v>1.5118055555555556</v>
      </c>
      <c r="L70">
        <v>10</v>
      </c>
      <c r="M70">
        <v>13</v>
      </c>
      <c r="N70">
        <v>0.76900000000000002</v>
      </c>
      <c r="O70">
        <v>0</v>
      </c>
      <c r="P70">
        <v>0</v>
      </c>
      <c r="Q70">
        <v>10</v>
      </c>
      <c r="R70">
        <v>13</v>
      </c>
      <c r="S70">
        <v>0.76900000000000002</v>
      </c>
      <c r="T70">
        <v>0.76900000000000002</v>
      </c>
      <c r="U70">
        <v>4</v>
      </c>
      <c r="V70">
        <v>4</v>
      </c>
      <c r="W70">
        <v>1</v>
      </c>
      <c r="X70">
        <v>4</v>
      </c>
      <c r="Y70">
        <v>8</v>
      </c>
      <c r="Z70">
        <v>12</v>
      </c>
      <c r="AA70">
        <v>4</v>
      </c>
      <c r="AB70">
        <v>1</v>
      </c>
      <c r="AC70">
        <v>2</v>
      </c>
      <c r="AD70">
        <v>1</v>
      </c>
      <c r="AE70">
        <v>4</v>
      </c>
      <c r="AF70">
        <v>24</v>
      </c>
      <c r="AG70">
        <v>26.7</v>
      </c>
      <c r="AH70">
        <v>8</v>
      </c>
    </row>
    <row r="71" spans="1:34" ht="21" x14ac:dyDescent="0.3">
      <c r="A71" t="s">
        <v>549</v>
      </c>
      <c r="B71" s="11">
        <v>64</v>
      </c>
      <c r="C71">
        <v>348</v>
      </c>
      <c r="D71">
        <v>70</v>
      </c>
      <c r="E71" s="4">
        <v>44633</v>
      </c>
      <c r="F71" t="s">
        <v>64</v>
      </c>
      <c r="G71" t="s">
        <v>37</v>
      </c>
      <c r="H71" t="s">
        <v>89</v>
      </c>
      <c r="I71" t="s">
        <v>424</v>
      </c>
      <c r="J71" t="s">
        <v>41</v>
      </c>
      <c r="K71" s="9">
        <v>1.2638888888888888</v>
      </c>
      <c r="L71">
        <v>6</v>
      </c>
      <c r="M71">
        <v>11</v>
      </c>
      <c r="N71">
        <v>0.54500000000000004</v>
      </c>
      <c r="O71">
        <v>0</v>
      </c>
      <c r="P71">
        <v>0</v>
      </c>
      <c r="Q71">
        <v>6</v>
      </c>
      <c r="R71">
        <v>11</v>
      </c>
      <c r="S71">
        <v>0.54500000000000004</v>
      </c>
      <c r="T71">
        <v>0.54500000000000004</v>
      </c>
      <c r="U71">
        <v>2</v>
      </c>
      <c r="V71">
        <v>4</v>
      </c>
      <c r="W71">
        <v>0.5</v>
      </c>
      <c r="X71">
        <v>4</v>
      </c>
      <c r="Y71">
        <v>11</v>
      </c>
      <c r="Z71">
        <v>15</v>
      </c>
      <c r="AA71">
        <v>1</v>
      </c>
      <c r="AB71">
        <v>1</v>
      </c>
      <c r="AC71">
        <v>1</v>
      </c>
      <c r="AD71">
        <v>2</v>
      </c>
      <c r="AE71">
        <v>2</v>
      </c>
      <c r="AF71">
        <v>14</v>
      </c>
      <c r="AG71">
        <v>13.6</v>
      </c>
      <c r="AH71">
        <v>10</v>
      </c>
    </row>
    <row r="72" spans="1:34" ht="21" x14ac:dyDescent="0.3">
      <c r="A72" t="s">
        <v>549</v>
      </c>
      <c r="B72" s="11">
        <v>65</v>
      </c>
      <c r="C72">
        <v>349</v>
      </c>
      <c r="D72">
        <v>71</v>
      </c>
      <c r="E72" s="4">
        <v>44634</v>
      </c>
      <c r="F72" t="s">
        <v>64</v>
      </c>
      <c r="G72" t="s">
        <v>37</v>
      </c>
      <c r="H72" t="s">
        <v>87</v>
      </c>
      <c r="I72" t="s">
        <v>425</v>
      </c>
      <c r="J72" t="s">
        <v>41</v>
      </c>
      <c r="K72" s="9">
        <v>1.507638888888889</v>
      </c>
      <c r="L72">
        <v>10</v>
      </c>
      <c r="M72">
        <v>15</v>
      </c>
      <c r="N72">
        <v>0.66700000000000004</v>
      </c>
      <c r="O72">
        <v>0</v>
      </c>
      <c r="P72">
        <v>0</v>
      </c>
      <c r="Q72">
        <v>10</v>
      </c>
      <c r="R72">
        <v>15</v>
      </c>
      <c r="S72">
        <v>0.66700000000000004</v>
      </c>
      <c r="T72">
        <v>0.66700000000000004</v>
      </c>
      <c r="U72">
        <v>4</v>
      </c>
      <c r="V72">
        <v>4</v>
      </c>
      <c r="W72">
        <v>1</v>
      </c>
      <c r="X72">
        <v>7</v>
      </c>
      <c r="Y72">
        <v>7</v>
      </c>
      <c r="Z72">
        <v>14</v>
      </c>
      <c r="AA72">
        <v>4</v>
      </c>
      <c r="AB72">
        <v>0</v>
      </c>
      <c r="AC72">
        <v>2</v>
      </c>
      <c r="AD72">
        <v>3</v>
      </c>
      <c r="AE72">
        <v>6</v>
      </c>
      <c r="AF72">
        <v>24</v>
      </c>
      <c r="AG72">
        <v>23.3</v>
      </c>
      <c r="AH72">
        <v>1</v>
      </c>
    </row>
    <row r="73" spans="1:34" ht="21" x14ac:dyDescent="0.3">
      <c r="A73" t="s">
        <v>549</v>
      </c>
      <c r="B73" s="11">
        <v>66</v>
      </c>
      <c r="C73">
        <v>350</v>
      </c>
      <c r="D73">
        <v>72</v>
      </c>
      <c r="E73" s="4">
        <v>44636</v>
      </c>
      <c r="F73" t="s">
        <v>64</v>
      </c>
      <c r="H73" t="s">
        <v>92</v>
      </c>
      <c r="I73" t="s">
        <v>393</v>
      </c>
      <c r="J73" t="s">
        <v>41</v>
      </c>
      <c r="K73" s="7">
        <v>0.70902777777777781</v>
      </c>
      <c r="L73">
        <v>1</v>
      </c>
      <c r="M73">
        <v>4</v>
      </c>
      <c r="N73">
        <v>0.25</v>
      </c>
      <c r="O73">
        <v>0</v>
      </c>
      <c r="P73">
        <v>0</v>
      </c>
      <c r="Q73">
        <v>1</v>
      </c>
      <c r="R73">
        <v>4</v>
      </c>
      <c r="S73">
        <v>0.25</v>
      </c>
      <c r="T73">
        <v>0.25</v>
      </c>
      <c r="U73">
        <v>0</v>
      </c>
      <c r="V73">
        <v>0</v>
      </c>
      <c r="X73">
        <v>1</v>
      </c>
      <c r="Y73">
        <v>6</v>
      </c>
      <c r="Z73">
        <v>7</v>
      </c>
      <c r="AA73">
        <v>2</v>
      </c>
      <c r="AB73">
        <v>1</v>
      </c>
      <c r="AC73">
        <v>0</v>
      </c>
      <c r="AD73">
        <v>3</v>
      </c>
      <c r="AE73">
        <v>1</v>
      </c>
      <c r="AF73">
        <v>2</v>
      </c>
      <c r="AG73">
        <v>1.1000000000000001</v>
      </c>
      <c r="AH73">
        <v>-13</v>
      </c>
    </row>
    <row r="74" spans="1:34" ht="21" x14ac:dyDescent="0.3">
      <c r="A74" t="s">
        <v>549</v>
      </c>
      <c r="B74" s="11">
        <v>67</v>
      </c>
      <c r="C74">
        <v>351</v>
      </c>
      <c r="D74">
        <v>73</v>
      </c>
      <c r="E74" s="4">
        <v>44638</v>
      </c>
      <c r="F74" t="s">
        <v>64</v>
      </c>
      <c r="G74" t="s">
        <v>37</v>
      </c>
      <c r="H74" t="s">
        <v>118</v>
      </c>
      <c r="I74" t="s">
        <v>426</v>
      </c>
      <c r="J74" t="s">
        <v>41</v>
      </c>
      <c r="K74" s="7">
        <v>0.85902777777777772</v>
      </c>
      <c r="L74">
        <v>3</v>
      </c>
      <c r="M74">
        <v>9</v>
      </c>
      <c r="N74">
        <v>0.33300000000000002</v>
      </c>
      <c r="O74">
        <v>0</v>
      </c>
      <c r="P74">
        <v>0</v>
      </c>
      <c r="Q74">
        <v>3</v>
      </c>
      <c r="R74">
        <v>9</v>
      </c>
      <c r="S74">
        <v>0.33300000000000002</v>
      </c>
      <c r="T74">
        <v>0.33300000000000002</v>
      </c>
      <c r="U74">
        <v>3</v>
      </c>
      <c r="V74">
        <v>3</v>
      </c>
      <c r="W74">
        <v>1</v>
      </c>
      <c r="X74">
        <v>3</v>
      </c>
      <c r="Y74">
        <v>3</v>
      </c>
      <c r="Z74">
        <v>6</v>
      </c>
      <c r="AA74">
        <v>1</v>
      </c>
      <c r="AB74">
        <v>1</v>
      </c>
      <c r="AC74">
        <v>1</v>
      </c>
      <c r="AD74">
        <v>1</v>
      </c>
      <c r="AE74">
        <v>4</v>
      </c>
      <c r="AF74">
        <v>9</v>
      </c>
      <c r="AG74">
        <v>6.7</v>
      </c>
      <c r="AH74">
        <v>-13</v>
      </c>
    </row>
    <row r="75" spans="1:34" ht="21" x14ac:dyDescent="0.3">
      <c r="A75" t="s">
        <v>549</v>
      </c>
      <c r="B75" s="11">
        <v>68</v>
      </c>
      <c r="C75">
        <v>352</v>
      </c>
      <c r="D75">
        <v>74</v>
      </c>
      <c r="E75" s="4">
        <v>44642</v>
      </c>
      <c r="F75" t="s">
        <v>64</v>
      </c>
      <c r="G75" t="s">
        <v>37</v>
      </c>
      <c r="H75" t="s">
        <v>34</v>
      </c>
      <c r="I75" t="s">
        <v>427</v>
      </c>
      <c r="J75" t="s">
        <v>41</v>
      </c>
      <c r="K75" s="7">
        <v>0.7104166666666667</v>
      </c>
      <c r="L75">
        <v>3</v>
      </c>
      <c r="M75">
        <v>5</v>
      </c>
      <c r="N75">
        <v>0.6</v>
      </c>
      <c r="O75">
        <v>0</v>
      </c>
      <c r="P75">
        <v>0</v>
      </c>
      <c r="Q75">
        <v>3</v>
      </c>
      <c r="R75">
        <v>5</v>
      </c>
      <c r="S75">
        <v>0.6</v>
      </c>
      <c r="T75">
        <v>0.6</v>
      </c>
      <c r="U75">
        <v>0</v>
      </c>
      <c r="V75">
        <v>0</v>
      </c>
      <c r="X75">
        <v>0</v>
      </c>
      <c r="Y75">
        <v>5</v>
      </c>
      <c r="Z75">
        <v>5</v>
      </c>
      <c r="AA75">
        <v>1</v>
      </c>
      <c r="AB75">
        <v>0</v>
      </c>
      <c r="AC75">
        <v>1</v>
      </c>
      <c r="AD75">
        <v>1</v>
      </c>
      <c r="AE75">
        <v>3</v>
      </c>
      <c r="AF75">
        <v>6</v>
      </c>
      <c r="AG75">
        <v>4.4000000000000004</v>
      </c>
      <c r="AH75">
        <v>-10</v>
      </c>
    </row>
    <row r="76" spans="1:34" ht="21" x14ac:dyDescent="0.3">
      <c r="A76" t="s">
        <v>549</v>
      </c>
      <c r="B76" s="11">
        <v>69</v>
      </c>
      <c r="C76">
        <v>353</v>
      </c>
      <c r="D76">
        <v>75</v>
      </c>
      <c r="E76" s="4">
        <v>44645</v>
      </c>
      <c r="F76" t="s">
        <v>64</v>
      </c>
      <c r="H76" t="s">
        <v>94</v>
      </c>
      <c r="I76" t="s">
        <v>428</v>
      </c>
      <c r="J76" t="s">
        <v>41</v>
      </c>
      <c r="K76" s="7">
        <v>0.98541666666666672</v>
      </c>
      <c r="L76">
        <v>3</v>
      </c>
      <c r="M76">
        <v>7</v>
      </c>
      <c r="N76">
        <v>0.42899999999999999</v>
      </c>
      <c r="O76">
        <v>0</v>
      </c>
      <c r="P76">
        <v>0</v>
      </c>
      <c r="Q76">
        <v>3</v>
      </c>
      <c r="R76">
        <v>7</v>
      </c>
      <c r="S76">
        <v>0.42899999999999999</v>
      </c>
      <c r="T76">
        <v>0.42899999999999999</v>
      </c>
      <c r="U76">
        <v>1</v>
      </c>
      <c r="V76">
        <v>2</v>
      </c>
      <c r="W76">
        <v>0.5</v>
      </c>
      <c r="X76">
        <v>4</v>
      </c>
      <c r="Y76">
        <v>3</v>
      </c>
      <c r="Z76">
        <v>7</v>
      </c>
      <c r="AA76">
        <v>6</v>
      </c>
      <c r="AB76">
        <v>0</v>
      </c>
      <c r="AC76">
        <v>1</v>
      </c>
      <c r="AD76">
        <v>0</v>
      </c>
      <c r="AE76">
        <v>4</v>
      </c>
      <c r="AF76">
        <v>7</v>
      </c>
      <c r="AG76">
        <v>9.9</v>
      </c>
      <c r="AH76">
        <v>-19</v>
      </c>
    </row>
    <row r="77" spans="1:34" ht="21" x14ac:dyDescent="0.3">
      <c r="A77" t="s">
        <v>549</v>
      </c>
      <c r="B77" s="11">
        <v>70</v>
      </c>
      <c r="C77">
        <v>354</v>
      </c>
      <c r="D77">
        <v>76</v>
      </c>
      <c r="E77" s="4">
        <v>44649</v>
      </c>
      <c r="F77" t="s">
        <v>64</v>
      </c>
      <c r="H77" t="s">
        <v>118</v>
      </c>
      <c r="I77" t="s">
        <v>429</v>
      </c>
      <c r="J77" t="s">
        <v>41</v>
      </c>
      <c r="K77" s="7">
        <v>0.71805555555555556</v>
      </c>
      <c r="L77">
        <v>2</v>
      </c>
      <c r="M77">
        <v>4</v>
      </c>
      <c r="N77">
        <v>0.5</v>
      </c>
      <c r="O77">
        <v>0</v>
      </c>
      <c r="P77">
        <v>0</v>
      </c>
      <c r="Q77">
        <v>2</v>
      </c>
      <c r="R77">
        <v>4</v>
      </c>
      <c r="S77">
        <v>0.5</v>
      </c>
      <c r="T77">
        <v>0.5</v>
      </c>
      <c r="U77">
        <v>4</v>
      </c>
      <c r="V77">
        <v>4</v>
      </c>
      <c r="W77">
        <v>1</v>
      </c>
      <c r="X77">
        <v>4</v>
      </c>
      <c r="Y77">
        <v>2</v>
      </c>
      <c r="Z77">
        <v>6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8</v>
      </c>
      <c r="AG77">
        <v>8.6</v>
      </c>
      <c r="AH77">
        <v>-21</v>
      </c>
    </row>
    <row r="78" spans="1:34" ht="21" x14ac:dyDescent="0.3">
      <c r="A78" t="s">
        <v>549</v>
      </c>
      <c r="B78" s="11">
        <v>71</v>
      </c>
      <c r="C78">
        <v>355</v>
      </c>
      <c r="D78">
        <v>77</v>
      </c>
      <c r="E78" s="4">
        <v>44651</v>
      </c>
      <c r="F78" t="s">
        <v>64</v>
      </c>
      <c r="G78" t="s">
        <v>37</v>
      </c>
      <c r="H78" t="s">
        <v>82</v>
      </c>
      <c r="I78" t="s">
        <v>430</v>
      </c>
      <c r="J78" t="s">
        <v>41</v>
      </c>
      <c r="K78" s="9">
        <v>1.3340277777777778</v>
      </c>
      <c r="L78">
        <v>5</v>
      </c>
      <c r="M78">
        <v>8</v>
      </c>
      <c r="N78">
        <v>0.625</v>
      </c>
      <c r="O78">
        <v>0</v>
      </c>
      <c r="P78">
        <v>0</v>
      </c>
      <c r="Q78">
        <v>5</v>
      </c>
      <c r="R78">
        <v>8</v>
      </c>
      <c r="S78">
        <v>0.625</v>
      </c>
      <c r="T78">
        <v>0.625</v>
      </c>
      <c r="U78">
        <v>1</v>
      </c>
      <c r="V78">
        <v>1</v>
      </c>
      <c r="W78">
        <v>1</v>
      </c>
      <c r="X78">
        <v>2</v>
      </c>
      <c r="Y78">
        <v>7</v>
      </c>
      <c r="Z78">
        <v>9</v>
      </c>
      <c r="AA78">
        <v>2</v>
      </c>
      <c r="AB78">
        <v>1</v>
      </c>
      <c r="AC78">
        <v>0</v>
      </c>
      <c r="AD78">
        <v>1</v>
      </c>
      <c r="AE78">
        <v>5</v>
      </c>
      <c r="AF78">
        <v>11</v>
      </c>
      <c r="AG78">
        <v>10.3</v>
      </c>
      <c r="AH78">
        <v>5</v>
      </c>
    </row>
    <row r="79" spans="1:34" ht="21" x14ac:dyDescent="0.3">
      <c r="A79" t="s">
        <v>549</v>
      </c>
      <c r="B79" s="11">
        <v>72</v>
      </c>
      <c r="C79">
        <v>356</v>
      </c>
      <c r="D79">
        <v>78</v>
      </c>
      <c r="E79" s="4">
        <v>44652</v>
      </c>
      <c r="F79" t="s">
        <v>64</v>
      </c>
      <c r="G79" t="s">
        <v>37</v>
      </c>
      <c r="H79" t="s">
        <v>126</v>
      </c>
      <c r="I79" t="s">
        <v>431</v>
      </c>
      <c r="J79" t="s">
        <v>41</v>
      </c>
      <c r="K79" s="7">
        <v>0.88472222222222219</v>
      </c>
      <c r="L79">
        <v>5</v>
      </c>
      <c r="M79">
        <v>7</v>
      </c>
      <c r="N79">
        <v>0.71399999999999997</v>
      </c>
      <c r="O79">
        <v>0</v>
      </c>
      <c r="P79">
        <v>0</v>
      </c>
      <c r="Q79">
        <v>5</v>
      </c>
      <c r="R79">
        <v>7</v>
      </c>
      <c r="S79">
        <v>0.71399999999999997</v>
      </c>
      <c r="T79">
        <v>0.71399999999999997</v>
      </c>
      <c r="U79">
        <v>1</v>
      </c>
      <c r="V79">
        <v>4</v>
      </c>
      <c r="W79">
        <v>0.25</v>
      </c>
      <c r="X79">
        <v>2</v>
      </c>
      <c r="Y79">
        <v>1</v>
      </c>
      <c r="Z79">
        <v>3</v>
      </c>
      <c r="AA79">
        <v>4</v>
      </c>
      <c r="AB79">
        <v>0</v>
      </c>
      <c r="AC79">
        <v>1</v>
      </c>
      <c r="AD79">
        <v>0</v>
      </c>
      <c r="AE79">
        <v>1</v>
      </c>
      <c r="AF79">
        <v>11</v>
      </c>
      <c r="AG79">
        <v>11.7</v>
      </c>
      <c r="AH79">
        <v>22</v>
      </c>
    </row>
    <row r="80" spans="1:34" ht="21" x14ac:dyDescent="0.3">
      <c r="A80" t="s">
        <v>549</v>
      </c>
      <c r="B80" s="11">
        <v>73</v>
      </c>
      <c r="C80">
        <v>357</v>
      </c>
      <c r="D80">
        <v>79</v>
      </c>
      <c r="E80" s="4">
        <v>44654</v>
      </c>
      <c r="F80" t="s">
        <v>64</v>
      </c>
      <c r="H80" t="s">
        <v>74</v>
      </c>
      <c r="I80" t="s">
        <v>432</v>
      </c>
      <c r="J80" t="s">
        <v>41</v>
      </c>
      <c r="K80" s="9">
        <v>1.0409722222222222</v>
      </c>
      <c r="L80">
        <v>7</v>
      </c>
      <c r="M80">
        <v>9</v>
      </c>
      <c r="N80">
        <v>0.77800000000000002</v>
      </c>
      <c r="O80">
        <v>0</v>
      </c>
      <c r="P80">
        <v>0</v>
      </c>
      <c r="Q80">
        <v>7</v>
      </c>
      <c r="R80">
        <v>9</v>
      </c>
      <c r="S80">
        <v>0.77800000000000002</v>
      </c>
      <c r="T80">
        <v>0.77800000000000002</v>
      </c>
      <c r="U80">
        <v>2</v>
      </c>
      <c r="V80">
        <v>3</v>
      </c>
      <c r="W80">
        <v>0.66700000000000004</v>
      </c>
      <c r="X80">
        <v>7</v>
      </c>
      <c r="Y80">
        <v>7</v>
      </c>
      <c r="Z80">
        <v>14</v>
      </c>
      <c r="AA80">
        <v>1</v>
      </c>
      <c r="AB80">
        <v>0</v>
      </c>
      <c r="AC80">
        <v>1</v>
      </c>
      <c r="AD80">
        <v>1</v>
      </c>
      <c r="AE80">
        <v>3</v>
      </c>
      <c r="AF80">
        <v>16</v>
      </c>
      <c r="AG80">
        <v>18.3</v>
      </c>
      <c r="AH80">
        <v>3</v>
      </c>
    </row>
    <row r="81" spans="1:34" ht="21" x14ac:dyDescent="0.3">
      <c r="A81" t="s">
        <v>549</v>
      </c>
      <c r="B81" s="11">
        <v>74</v>
      </c>
      <c r="C81">
        <v>358</v>
      </c>
      <c r="D81">
        <v>80</v>
      </c>
      <c r="E81" s="4">
        <v>44657</v>
      </c>
      <c r="F81" t="s">
        <v>64</v>
      </c>
      <c r="H81" t="s">
        <v>99</v>
      </c>
      <c r="I81" t="s">
        <v>433</v>
      </c>
      <c r="J81" t="s">
        <v>41</v>
      </c>
      <c r="K81" s="9">
        <v>1.0506944444444444</v>
      </c>
      <c r="L81">
        <v>5</v>
      </c>
      <c r="M81">
        <v>6</v>
      </c>
      <c r="N81">
        <v>0.83299999999999996</v>
      </c>
      <c r="O81">
        <v>0</v>
      </c>
      <c r="P81">
        <v>0</v>
      </c>
      <c r="Q81">
        <v>5</v>
      </c>
      <c r="R81">
        <v>6</v>
      </c>
      <c r="S81">
        <v>0.83299999999999996</v>
      </c>
      <c r="T81">
        <v>0.83299999999999996</v>
      </c>
      <c r="U81">
        <v>3</v>
      </c>
      <c r="V81">
        <v>4</v>
      </c>
      <c r="W81">
        <v>0.75</v>
      </c>
      <c r="X81">
        <v>1</v>
      </c>
      <c r="Y81">
        <v>10</v>
      </c>
      <c r="Z81">
        <v>11</v>
      </c>
      <c r="AA81">
        <v>1</v>
      </c>
      <c r="AB81">
        <v>0</v>
      </c>
      <c r="AC81">
        <v>2</v>
      </c>
      <c r="AD81">
        <v>2</v>
      </c>
      <c r="AE81">
        <v>4</v>
      </c>
      <c r="AF81">
        <v>13</v>
      </c>
      <c r="AG81">
        <v>12.6</v>
      </c>
      <c r="AH81">
        <v>14</v>
      </c>
    </row>
    <row r="82" spans="1:34" ht="21" x14ac:dyDescent="0.3">
      <c r="A82" t="s">
        <v>549</v>
      </c>
      <c r="B82" s="11">
        <v>75</v>
      </c>
      <c r="C82">
        <v>359</v>
      </c>
      <c r="D82">
        <v>81</v>
      </c>
      <c r="E82" s="4">
        <v>44660</v>
      </c>
      <c r="F82" t="s">
        <v>64</v>
      </c>
      <c r="H82" t="s">
        <v>66</v>
      </c>
      <c r="I82" t="s">
        <v>434</v>
      </c>
      <c r="J82" t="s">
        <v>41</v>
      </c>
      <c r="K82" s="9">
        <v>1.0222222222222221</v>
      </c>
      <c r="L82">
        <v>7</v>
      </c>
      <c r="M82">
        <v>11</v>
      </c>
      <c r="N82">
        <v>0.63600000000000001</v>
      </c>
      <c r="O82">
        <v>0</v>
      </c>
      <c r="P82">
        <v>0</v>
      </c>
      <c r="Q82">
        <v>7</v>
      </c>
      <c r="R82">
        <v>11</v>
      </c>
      <c r="S82">
        <v>0.63600000000000001</v>
      </c>
      <c r="T82">
        <v>0.63600000000000001</v>
      </c>
      <c r="U82">
        <v>1</v>
      </c>
      <c r="V82">
        <v>2</v>
      </c>
      <c r="W82">
        <v>0.5</v>
      </c>
      <c r="X82">
        <v>4</v>
      </c>
      <c r="Y82">
        <v>8</v>
      </c>
      <c r="Z82">
        <v>12</v>
      </c>
      <c r="AA82">
        <v>2</v>
      </c>
      <c r="AB82">
        <v>0</v>
      </c>
      <c r="AC82">
        <v>0</v>
      </c>
      <c r="AD82">
        <v>0</v>
      </c>
      <c r="AE82">
        <v>4</v>
      </c>
      <c r="AF82">
        <v>15</v>
      </c>
      <c r="AG82">
        <v>14.7</v>
      </c>
      <c r="AH82">
        <v>9</v>
      </c>
    </row>
    <row r="83" spans="1:34" ht="21" x14ac:dyDescent="0.3">
      <c r="A83" t="s">
        <v>549</v>
      </c>
      <c r="B83" s="11">
        <v>76</v>
      </c>
      <c r="C83">
        <v>360</v>
      </c>
      <c r="D83">
        <v>82</v>
      </c>
      <c r="E83" s="4">
        <v>44661</v>
      </c>
      <c r="F83" t="s">
        <v>64</v>
      </c>
      <c r="H83" t="s">
        <v>68</v>
      </c>
      <c r="I83" t="s">
        <v>435</v>
      </c>
      <c r="J83" t="s">
        <v>41</v>
      </c>
      <c r="K83" s="7">
        <v>0.96944444444444444</v>
      </c>
      <c r="L83">
        <v>6</v>
      </c>
      <c r="M83">
        <v>10</v>
      </c>
      <c r="N83">
        <v>0.6</v>
      </c>
      <c r="O83">
        <v>0</v>
      </c>
      <c r="P83">
        <v>0</v>
      </c>
      <c r="Q83">
        <v>6</v>
      </c>
      <c r="R83">
        <v>10</v>
      </c>
      <c r="S83">
        <v>0.6</v>
      </c>
      <c r="T83">
        <v>0.6</v>
      </c>
      <c r="U83">
        <v>0</v>
      </c>
      <c r="V83">
        <v>0</v>
      </c>
      <c r="X83">
        <v>4</v>
      </c>
      <c r="Y83">
        <v>7</v>
      </c>
      <c r="Z83">
        <v>11</v>
      </c>
      <c r="AA83">
        <v>2</v>
      </c>
      <c r="AB83">
        <v>0</v>
      </c>
      <c r="AC83">
        <v>2</v>
      </c>
      <c r="AD83">
        <v>1</v>
      </c>
      <c r="AE83">
        <v>2</v>
      </c>
      <c r="AF83">
        <v>12</v>
      </c>
      <c r="AG83">
        <v>13.3</v>
      </c>
      <c r="AH83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8752-EC2C-6B4C-9EDD-44B8B269E20F}">
  <dimension ref="A1:AI96"/>
  <sheetViews>
    <sheetView workbookViewId="0">
      <selection activeCell="H2" sqref="H2:H96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548</v>
      </c>
      <c r="B2" s="11">
        <v>1</v>
      </c>
      <c r="C2">
        <v>878</v>
      </c>
      <c r="D2">
        <v>1</v>
      </c>
      <c r="E2" s="4">
        <v>44488</v>
      </c>
      <c r="F2" t="s">
        <v>85</v>
      </c>
      <c r="G2" t="s">
        <v>37</v>
      </c>
      <c r="H2" t="s">
        <v>126</v>
      </c>
      <c r="I2" t="s">
        <v>436</v>
      </c>
      <c r="J2" t="s">
        <v>41</v>
      </c>
      <c r="K2" s="9">
        <v>1.2763888888888888</v>
      </c>
      <c r="L2">
        <v>6</v>
      </c>
      <c r="M2">
        <v>16</v>
      </c>
      <c r="N2">
        <v>0.375</v>
      </c>
      <c r="O2">
        <v>4</v>
      </c>
      <c r="P2">
        <v>8</v>
      </c>
      <c r="Q2">
        <v>0.5</v>
      </c>
      <c r="R2">
        <v>2</v>
      </c>
      <c r="S2">
        <v>8</v>
      </c>
      <c r="T2">
        <v>0.25</v>
      </c>
      <c r="U2">
        <v>0.5</v>
      </c>
      <c r="V2">
        <v>4</v>
      </c>
      <c r="W2">
        <v>4</v>
      </c>
      <c r="X2">
        <v>1</v>
      </c>
      <c r="Y2">
        <v>3</v>
      </c>
      <c r="Z2">
        <v>5</v>
      </c>
      <c r="AA2">
        <v>8</v>
      </c>
      <c r="AB2">
        <v>8</v>
      </c>
      <c r="AC2">
        <v>1</v>
      </c>
      <c r="AD2">
        <v>2</v>
      </c>
      <c r="AE2">
        <v>4</v>
      </c>
      <c r="AF2">
        <v>3</v>
      </c>
      <c r="AG2">
        <v>20</v>
      </c>
      <c r="AH2">
        <v>17.600000000000001</v>
      </c>
      <c r="AI2">
        <v>-20</v>
      </c>
    </row>
    <row r="3" spans="1:35" ht="21" x14ac:dyDescent="0.3">
      <c r="A3" t="s">
        <v>548</v>
      </c>
      <c r="B3" s="11">
        <v>2</v>
      </c>
      <c r="C3">
        <v>879</v>
      </c>
      <c r="D3">
        <v>2</v>
      </c>
      <c r="E3" s="4">
        <v>44491</v>
      </c>
      <c r="F3" t="s">
        <v>85</v>
      </c>
      <c r="G3" t="s">
        <v>37</v>
      </c>
      <c r="H3" t="s">
        <v>94</v>
      </c>
      <c r="I3" t="s">
        <v>317</v>
      </c>
      <c r="J3" t="s">
        <v>41</v>
      </c>
      <c r="K3" s="9">
        <v>1.6006944444444444</v>
      </c>
      <c r="L3">
        <v>7</v>
      </c>
      <c r="M3">
        <v>17</v>
      </c>
      <c r="N3">
        <v>0.41199999999999998</v>
      </c>
      <c r="O3">
        <v>3</v>
      </c>
      <c r="P3">
        <v>7</v>
      </c>
      <c r="Q3">
        <v>0.42899999999999999</v>
      </c>
      <c r="R3">
        <v>4</v>
      </c>
      <c r="S3">
        <v>10</v>
      </c>
      <c r="T3">
        <v>0.4</v>
      </c>
      <c r="U3">
        <v>0.5</v>
      </c>
      <c r="V3">
        <v>3</v>
      </c>
      <c r="W3">
        <v>4</v>
      </c>
      <c r="X3">
        <v>0.75</v>
      </c>
      <c r="Y3">
        <v>1</v>
      </c>
      <c r="Z3">
        <v>6</v>
      </c>
      <c r="AA3">
        <v>7</v>
      </c>
      <c r="AB3">
        <v>8</v>
      </c>
      <c r="AC3">
        <v>2</v>
      </c>
      <c r="AD3">
        <v>0</v>
      </c>
      <c r="AE3">
        <v>5</v>
      </c>
      <c r="AF3">
        <v>0</v>
      </c>
      <c r="AG3">
        <v>20</v>
      </c>
      <c r="AH3">
        <v>15.6</v>
      </c>
      <c r="AI3">
        <v>-1</v>
      </c>
    </row>
    <row r="4" spans="1:35" ht="21" x14ac:dyDescent="0.3">
      <c r="A4" t="s">
        <v>548</v>
      </c>
      <c r="B4" s="11">
        <v>3</v>
      </c>
      <c r="C4">
        <v>880</v>
      </c>
      <c r="D4">
        <v>3</v>
      </c>
      <c r="E4" s="4">
        <v>44493</v>
      </c>
      <c r="F4" t="s">
        <v>85</v>
      </c>
      <c r="H4" t="s">
        <v>72</v>
      </c>
      <c r="I4" t="s">
        <v>291</v>
      </c>
      <c r="J4" t="s">
        <v>41</v>
      </c>
      <c r="K4" s="9">
        <v>1.3812500000000001</v>
      </c>
      <c r="L4">
        <v>6</v>
      </c>
      <c r="M4">
        <v>16</v>
      </c>
      <c r="N4">
        <v>0.375</v>
      </c>
      <c r="O4">
        <v>2</v>
      </c>
      <c r="P4">
        <v>8</v>
      </c>
      <c r="Q4">
        <v>0.25</v>
      </c>
      <c r="R4">
        <v>4</v>
      </c>
      <c r="S4">
        <v>8</v>
      </c>
      <c r="T4">
        <v>0.5</v>
      </c>
      <c r="U4">
        <v>0.438</v>
      </c>
      <c r="V4">
        <v>1</v>
      </c>
      <c r="W4">
        <v>1</v>
      </c>
      <c r="X4">
        <v>1</v>
      </c>
      <c r="Y4">
        <v>2</v>
      </c>
      <c r="Z4">
        <v>5</v>
      </c>
      <c r="AA4">
        <v>7</v>
      </c>
      <c r="AB4">
        <v>8</v>
      </c>
      <c r="AC4">
        <v>1</v>
      </c>
      <c r="AD4">
        <v>1</v>
      </c>
      <c r="AE4">
        <v>8</v>
      </c>
      <c r="AF4">
        <v>5</v>
      </c>
      <c r="AG4">
        <v>15</v>
      </c>
      <c r="AH4">
        <v>6.4</v>
      </c>
      <c r="AI4">
        <v>-15</v>
      </c>
    </row>
    <row r="5" spans="1:35" ht="21" x14ac:dyDescent="0.3">
      <c r="A5" t="s">
        <v>548</v>
      </c>
      <c r="B5" s="11">
        <v>4</v>
      </c>
      <c r="C5">
        <v>881</v>
      </c>
      <c r="D5">
        <v>4</v>
      </c>
      <c r="E5" s="4">
        <v>44494</v>
      </c>
      <c r="F5" t="s">
        <v>85</v>
      </c>
      <c r="H5" t="s">
        <v>155</v>
      </c>
      <c r="I5" t="s">
        <v>437</v>
      </c>
      <c r="J5" t="s">
        <v>41</v>
      </c>
      <c r="K5" s="9">
        <v>1.2673611111111112</v>
      </c>
      <c r="L5">
        <v>5</v>
      </c>
      <c r="M5">
        <v>17</v>
      </c>
      <c r="N5">
        <v>0.29399999999999998</v>
      </c>
      <c r="O5">
        <v>1</v>
      </c>
      <c r="P5">
        <v>8</v>
      </c>
      <c r="Q5">
        <v>0.125</v>
      </c>
      <c r="R5">
        <v>4</v>
      </c>
      <c r="S5">
        <v>9</v>
      </c>
      <c r="T5">
        <v>0.44400000000000001</v>
      </c>
      <c r="U5">
        <v>0.32400000000000001</v>
      </c>
      <c r="V5">
        <v>3</v>
      </c>
      <c r="W5">
        <v>3</v>
      </c>
      <c r="X5">
        <v>1</v>
      </c>
      <c r="Y5">
        <v>1</v>
      </c>
      <c r="Z5">
        <v>5</v>
      </c>
      <c r="AA5">
        <v>6</v>
      </c>
      <c r="AB5">
        <v>9</v>
      </c>
      <c r="AC5">
        <v>1</v>
      </c>
      <c r="AD5">
        <v>1</v>
      </c>
      <c r="AE5">
        <v>2</v>
      </c>
      <c r="AF5">
        <v>1</v>
      </c>
      <c r="AG5">
        <v>14</v>
      </c>
      <c r="AH5">
        <v>11.9</v>
      </c>
      <c r="AI5">
        <v>6</v>
      </c>
    </row>
    <row r="6" spans="1:35" ht="21" x14ac:dyDescent="0.3">
      <c r="A6" t="s">
        <v>548</v>
      </c>
      <c r="B6" s="11">
        <v>5</v>
      </c>
      <c r="C6">
        <v>882</v>
      </c>
      <c r="D6">
        <v>5</v>
      </c>
      <c r="E6" s="4">
        <v>44496</v>
      </c>
      <c r="F6" t="s">
        <v>85</v>
      </c>
      <c r="H6" t="s">
        <v>120</v>
      </c>
      <c r="I6" t="s">
        <v>438</v>
      </c>
      <c r="J6" t="s">
        <v>41</v>
      </c>
      <c r="K6" s="9">
        <v>1.4833333333333334</v>
      </c>
      <c r="L6">
        <v>4</v>
      </c>
      <c r="M6">
        <v>12</v>
      </c>
      <c r="N6">
        <v>0.33300000000000002</v>
      </c>
      <c r="O6">
        <v>3</v>
      </c>
      <c r="P6">
        <v>8</v>
      </c>
      <c r="Q6">
        <v>0.375</v>
      </c>
      <c r="R6">
        <v>1</v>
      </c>
      <c r="S6">
        <v>4</v>
      </c>
      <c r="T6">
        <v>0.25</v>
      </c>
      <c r="U6">
        <v>0.45800000000000002</v>
      </c>
      <c r="V6">
        <v>3</v>
      </c>
      <c r="W6">
        <v>3</v>
      </c>
      <c r="X6">
        <v>1</v>
      </c>
      <c r="Y6">
        <v>0</v>
      </c>
      <c r="Z6">
        <v>7</v>
      </c>
      <c r="AA6">
        <v>7</v>
      </c>
      <c r="AB6">
        <v>7</v>
      </c>
      <c r="AC6">
        <v>1</v>
      </c>
      <c r="AD6">
        <v>1</v>
      </c>
      <c r="AE6">
        <v>4</v>
      </c>
      <c r="AF6">
        <v>3</v>
      </c>
      <c r="AG6">
        <v>14</v>
      </c>
      <c r="AH6">
        <v>10.7</v>
      </c>
      <c r="AI6">
        <v>-12</v>
      </c>
    </row>
    <row r="7" spans="1:35" ht="21" x14ac:dyDescent="0.3">
      <c r="A7" t="s">
        <v>548</v>
      </c>
      <c r="B7" s="11">
        <v>6</v>
      </c>
      <c r="C7">
        <v>883</v>
      </c>
      <c r="D7">
        <v>6</v>
      </c>
      <c r="E7" s="4">
        <v>44498</v>
      </c>
      <c r="F7" t="s">
        <v>85</v>
      </c>
      <c r="H7" t="s">
        <v>108</v>
      </c>
      <c r="I7" t="s">
        <v>279</v>
      </c>
      <c r="J7" t="s">
        <v>41</v>
      </c>
      <c r="K7" s="9">
        <v>1.4597222222222221</v>
      </c>
      <c r="L7">
        <v>5</v>
      </c>
      <c r="M7">
        <v>11</v>
      </c>
      <c r="N7">
        <v>0.45500000000000002</v>
      </c>
      <c r="O7">
        <v>3</v>
      </c>
      <c r="P7">
        <v>6</v>
      </c>
      <c r="Q7">
        <v>0.5</v>
      </c>
      <c r="R7">
        <v>2</v>
      </c>
      <c r="S7">
        <v>5</v>
      </c>
      <c r="T7">
        <v>0.4</v>
      </c>
      <c r="U7">
        <v>0.59099999999999997</v>
      </c>
      <c r="V7">
        <v>16</v>
      </c>
      <c r="W7">
        <v>19</v>
      </c>
      <c r="X7">
        <v>0.84199999999999997</v>
      </c>
      <c r="Y7">
        <v>1</v>
      </c>
      <c r="Z7">
        <v>7</v>
      </c>
      <c r="AA7">
        <v>8</v>
      </c>
      <c r="AB7">
        <v>8</v>
      </c>
      <c r="AC7">
        <v>1</v>
      </c>
      <c r="AD7">
        <v>2</v>
      </c>
      <c r="AE7">
        <v>4</v>
      </c>
      <c r="AF7">
        <v>3</v>
      </c>
      <c r="AG7">
        <v>29</v>
      </c>
      <c r="AH7">
        <v>27.7</v>
      </c>
      <c r="AI7">
        <v>17</v>
      </c>
    </row>
    <row r="8" spans="1:35" ht="21" x14ac:dyDescent="0.3">
      <c r="A8" t="s">
        <v>548</v>
      </c>
      <c r="B8" s="11">
        <v>7</v>
      </c>
      <c r="C8">
        <v>884</v>
      </c>
      <c r="D8">
        <v>7</v>
      </c>
      <c r="E8" s="4">
        <v>44500</v>
      </c>
      <c r="F8" t="s">
        <v>85</v>
      </c>
      <c r="H8" t="s">
        <v>89</v>
      </c>
      <c r="I8" t="s">
        <v>439</v>
      </c>
      <c r="J8" t="s">
        <v>41</v>
      </c>
      <c r="K8" s="9">
        <v>1.2236111111111112</v>
      </c>
      <c r="L8">
        <v>6</v>
      </c>
      <c r="M8">
        <v>9</v>
      </c>
      <c r="N8">
        <v>0.66700000000000004</v>
      </c>
      <c r="O8">
        <v>4</v>
      </c>
      <c r="P8">
        <v>7</v>
      </c>
      <c r="Q8">
        <v>0.57099999999999995</v>
      </c>
      <c r="R8">
        <v>2</v>
      </c>
      <c r="S8">
        <v>2</v>
      </c>
      <c r="T8">
        <v>1</v>
      </c>
      <c r="U8">
        <v>0.88900000000000001</v>
      </c>
      <c r="V8">
        <v>2</v>
      </c>
      <c r="W8">
        <v>3</v>
      </c>
      <c r="X8">
        <v>0.66700000000000004</v>
      </c>
      <c r="Y8">
        <v>0</v>
      </c>
      <c r="Z8">
        <v>10</v>
      </c>
      <c r="AA8">
        <v>10</v>
      </c>
      <c r="AB8">
        <v>12</v>
      </c>
      <c r="AC8">
        <v>0</v>
      </c>
      <c r="AD8">
        <v>0</v>
      </c>
      <c r="AE8">
        <v>5</v>
      </c>
      <c r="AF8">
        <v>0</v>
      </c>
      <c r="AG8">
        <v>18</v>
      </c>
      <c r="AH8">
        <v>20.100000000000001</v>
      </c>
      <c r="AI8">
        <v>19</v>
      </c>
    </row>
    <row r="9" spans="1:35" ht="21" x14ac:dyDescent="0.3">
      <c r="A9" t="s">
        <v>548</v>
      </c>
      <c r="B9" s="11">
        <v>8</v>
      </c>
      <c r="C9">
        <v>885</v>
      </c>
      <c r="D9">
        <v>8</v>
      </c>
      <c r="E9" s="4">
        <v>44503</v>
      </c>
      <c r="F9" t="s">
        <v>85</v>
      </c>
      <c r="H9" t="s">
        <v>78</v>
      </c>
      <c r="I9" t="s">
        <v>440</v>
      </c>
      <c r="J9" t="s">
        <v>41</v>
      </c>
      <c r="K9" s="9">
        <v>1.4819444444444445</v>
      </c>
      <c r="L9">
        <v>5</v>
      </c>
      <c r="M9">
        <v>14</v>
      </c>
      <c r="N9">
        <v>0.35699999999999998</v>
      </c>
      <c r="O9">
        <v>5</v>
      </c>
      <c r="P9">
        <v>11</v>
      </c>
      <c r="Q9">
        <v>0.45500000000000002</v>
      </c>
      <c r="R9">
        <v>0</v>
      </c>
      <c r="S9">
        <v>3</v>
      </c>
      <c r="T9">
        <v>0</v>
      </c>
      <c r="U9">
        <v>0.53600000000000003</v>
      </c>
      <c r="V9">
        <v>1</v>
      </c>
      <c r="W9">
        <v>1</v>
      </c>
      <c r="X9">
        <v>1</v>
      </c>
      <c r="Y9">
        <v>0</v>
      </c>
      <c r="Z9">
        <v>4</v>
      </c>
      <c r="AA9">
        <v>4</v>
      </c>
      <c r="AB9">
        <v>11</v>
      </c>
      <c r="AC9">
        <v>1</v>
      </c>
      <c r="AD9">
        <v>1</v>
      </c>
      <c r="AE9">
        <v>3</v>
      </c>
      <c r="AF9">
        <v>2</v>
      </c>
      <c r="AG9">
        <v>16</v>
      </c>
      <c r="AH9">
        <v>15</v>
      </c>
      <c r="AI9">
        <v>-9</v>
      </c>
    </row>
    <row r="10" spans="1:35" ht="21" x14ac:dyDescent="0.3">
      <c r="A10" t="s">
        <v>548</v>
      </c>
      <c r="B10" s="11">
        <v>9</v>
      </c>
      <c r="C10">
        <v>886</v>
      </c>
      <c r="D10">
        <v>9</v>
      </c>
      <c r="E10" s="4">
        <v>44505</v>
      </c>
      <c r="F10" t="s">
        <v>85</v>
      </c>
      <c r="G10" t="s">
        <v>37</v>
      </c>
      <c r="H10" t="s">
        <v>89</v>
      </c>
      <c r="I10" t="s">
        <v>441</v>
      </c>
      <c r="J10" t="s">
        <v>41</v>
      </c>
      <c r="K10" s="9">
        <v>1.5201388888888889</v>
      </c>
      <c r="L10">
        <v>3</v>
      </c>
      <c r="M10">
        <v>10</v>
      </c>
      <c r="N10">
        <v>0.3</v>
      </c>
      <c r="O10">
        <v>3</v>
      </c>
      <c r="P10">
        <v>5</v>
      </c>
      <c r="Q10">
        <v>0.6</v>
      </c>
      <c r="R10">
        <v>0</v>
      </c>
      <c r="S10">
        <v>5</v>
      </c>
      <c r="T10">
        <v>0</v>
      </c>
      <c r="U10">
        <v>0.45</v>
      </c>
      <c r="V10">
        <v>4</v>
      </c>
      <c r="W10">
        <v>4</v>
      </c>
      <c r="X10">
        <v>1</v>
      </c>
      <c r="Y10">
        <v>0</v>
      </c>
      <c r="Z10">
        <v>10</v>
      </c>
      <c r="AA10">
        <v>10</v>
      </c>
      <c r="AB10">
        <v>10</v>
      </c>
      <c r="AC10">
        <v>2</v>
      </c>
      <c r="AD10">
        <v>1</v>
      </c>
      <c r="AE10">
        <v>9</v>
      </c>
      <c r="AF10">
        <v>4</v>
      </c>
      <c r="AG10">
        <v>13</v>
      </c>
      <c r="AH10">
        <v>9.3000000000000007</v>
      </c>
      <c r="AI10">
        <v>15</v>
      </c>
    </row>
    <row r="11" spans="1:35" ht="21" x14ac:dyDescent="0.3">
      <c r="A11" t="s">
        <v>548</v>
      </c>
      <c r="B11" s="11">
        <v>10</v>
      </c>
      <c r="C11">
        <v>887</v>
      </c>
      <c r="D11">
        <v>10</v>
      </c>
      <c r="E11" s="4">
        <v>44507</v>
      </c>
      <c r="F11" t="s">
        <v>85</v>
      </c>
      <c r="G11" t="s">
        <v>37</v>
      </c>
      <c r="H11" t="s">
        <v>92</v>
      </c>
      <c r="I11" t="s">
        <v>442</v>
      </c>
      <c r="J11" t="s">
        <v>41</v>
      </c>
      <c r="K11" s="9">
        <v>1.6069444444444445</v>
      </c>
      <c r="L11">
        <v>10</v>
      </c>
      <c r="M11">
        <v>20</v>
      </c>
      <c r="N11">
        <v>0.5</v>
      </c>
      <c r="O11">
        <v>3</v>
      </c>
      <c r="P11">
        <v>10</v>
      </c>
      <c r="Q11">
        <v>0.3</v>
      </c>
      <c r="R11">
        <v>7</v>
      </c>
      <c r="S11">
        <v>10</v>
      </c>
      <c r="T11">
        <v>0.7</v>
      </c>
      <c r="U11">
        <v>0.57499999999999996</v>
      </c>
      <c r="V11">
        <v>5</v>
      </c>
      <c r="W11">
        <v>6</v>
      </c>
      <c r="X11">
        <v>0.83299999999999996</v>
      </c>
      <c r="Y11">
        <v>5</v>
      </c>
      <c r="Z11">
        <v>5</v>
      </c>
      <c r="AA11">
        <v>10</v>
      </c>
      <c r="AB11">
        <v>8</v>
      </c>
      <c r="AC11">
        <v>0</v>
      </c>
      <c r="AD11">
        <v>0</v>
      </c>
      <c r="AE11">
        <v>2</v>
      </c>
      <c r="AF11">
        <v>4</v>
      </c>
      <c r="AG11">
        <v>28</v>
      </c>
      <c r="AH11">
        <v>24.6</v>
      </c>
      <c r="AI11">
        <v>11</v>
      </c>
    </row>
    <row r="12" spans="1:35" ht="21" x14ac:dyDescent="0.3">
      <c r="A12" t="s">
        <v>548</v>
      </c>
      <c r="B12" s="11">
        <v>11</v>
      </c>
      <c r="C12">
        <v>888</v>
      </c>
      <c r="D12">
        <v>11</v>
      </c>
      <c r="E12" s="4">
        <v>44508</v>
      </c>
      <c r="F12" t="s">
        <v>85</v>
      </c>
      <c r="G12" t="s">
        <v>37</v>
      </c>
      <c r="H12" t="s">
        <v>82</v>
      </c>
      <c r="I12" t="s">
        <v>443</v>
      </c>
      <c r="J12" t="s">
        <v>41</v>
      </c>
      <c r="K12" s="9">
        <v>1.4180555555555556</v>
      </c>
      <c r="L12">
        <v>4</v>
      </c>
      <c r="M12">
        <v>11</v>
      </c>
      <c r="N12">
        <v>0.36399999999999999</v>
      </c>
      <c r="O12">
        <v>3</v>
      </c>
      <c r="P12">
        <v>7</v>
      </c>
      <c r="Q12">
        <v>0.42899999999999999</v>
      </c>
      <c r="R12">
        <v>1</v>
      </c>
      <c r="S12">
        <v>4</v>
      </c>
      <c r="T12">
        <v>0.25</v>
      </c>
      <c r="U12">
        <v>0.5</v>
      </c>
      <c r="V12">
        <v>3</v>
      </c>
      <c r="W12">
        <v>3</v>
      </c>
      <c r="X12">
        <v>1</v>
      </c>
      <c r="Y12">
        <v>0</v>
      </c>
      <c r="Z12">
        <v>8</v>
      </c>
      <c r="AA12">
        <v>8</v>
      </c>
      <c r="AB12">
        <v>5</v>
      </c>
      <c r="AC12">
        <v>1</v>
      </c>
      <c r="AD12">
        <v>1</v>
      </c>
      <c r="AE12">
        <v>4</v>
      </c>
      <c r="AF12">
        <v>2</v>
      </c>
      <c r="AG12">
        <v>14</v>
      </c>
      <c r="AH12">
        <v>10.7</v>
      </c>
      <c r="AI12">
        <v>-23</v>
      </c>
    </row>
    <row r="13" spans="1:35" ht="21" x14ac:dyDescent="0.3">
      <c r="A13" t="s">
        <v>548</v>
      </c>
      <c r="B13" s="11">
        <v>12</v>
      </c>
      <c r="C13">
        <v>889</v>
      </c>
      <c r="D13">
        <v>12</v>
      </c>
      <c r="E13" s="4">
        <v>44510</v>
      </c>
      <c r="F13" t="s">
        <v>85</v>
      </c>
      <c r="G13" t="s">
        <v>37</v>
      </c>
      <c r="H13" t="s">
        <v>104</v>
      </c>
      <c r="I13" t="s">
        <v>444</v>
      </c>
      <c r="J13" t="s">
        <v>41</v>
      </c>
      <c r="K13" s="9">
        <v>1.23125</v>
      </c>
      <c r="L13">
        <v>6</v>
      </c>
      <c r="M13">
        <v>11</v>
      </c>
      <c r="N13">
        <v>0.54500000000000004</v>
      </c>
      <c r="O13">
        <v>1</v>
      </c>
      <c r="P13">
        <v>4</v>
      </c>
      <c r="Q13">
        <v>0.25</v>
      </c>
      <c r="R13">
        <v>5</v>
      </c>
      <c r="S13">
        <v>7</v>
      </c>
      <c r="T13">
        <v>0.71399999999999997</v>
      </c>
      <c r="U13">
        <v>0.59099999999999997</v>
      </c>
      <c r="V13">
        <v>4</v>
      </c>
      <c r="W13">
        <v>5</v>
      </c>
      <c r="X13">
        <v>0.8</v>
      </c>
      <c r="Y13">
        <v>1</v>
      </c>
      <c r="Z13">
        <v>10</v>
      </c>
      <c r="AA13">
        <v>11</v>
      </c>
      <c r="AB13">
        <v>11</v>
      </c>
      <c r="AC13">
        <v>2</v>
      </c>
      <c r="AD13">
        <v>0</v>
      </c>
      <c r="AE13">
        <v>6</v>
      </c>
      <c r="AF13">
        <v>1</v>
      </c>
      <c r="AG13">
        <v>17</v>
      </c>
      <c r="AH13">
        <v>18.3</v>
      </c>
      <c r="AI13">
        <v>16</v>
      </c>
    </row>
    <row r="14" spans="1:35" ht="21" x14ac:dyDescent="0.3">
      <c r="A14" t="s">
        <v>548</v>
      </c>
      <c r="B14" s="11">
        <v>13</v>
      </c>
      <c r="C14">
        <v>890</v>
      </c>
      <c r="D14">
        <v>13</v>
      </c>
      <c r="E14" s="4">
        <v>44512</v>
      </c>
      <c r="F14" t="s">
        <v>85</v>
      </c>
      <c r="G14" t="s">
        <v>37</v>
      </c>
      <c r="H14" t="s">
        <v>74</v>
      </c>
      <c r="I14" t="s">
        <v>445</v>
      </c>
      <c r="J14" t="s">
        <v>41</v>
      </c>
      <c r="K14" s="9">
        <v>1.5840277777777778</v>
      </c>
      <c r="L14">
        <v>11</v>
      </c>
      <c r="M14">
        <v>18</v>
      </c>
      <c r="N14">
        <v>0.61099999999999999</v>
      </c>
      <c r="O14">
        <v>6</v>
      </c>
      <c r="P14">
        <v>10</v>
      </c>
      <c r="Q14">
        <v>0.6</v>
      </c>
      <c r="R14">
        <v>5</v>
      </c>
      <c r="S14">
        <v>8</v>
      </c>
      <c r="T14">
        <v>0.625</v>
      </c>
      <c r="U14">
        <v>0.77800000000000002</v>
      </c>
      <c r="V14">
        <v>11</v>
      </c>
      <c r="W14">
        <v>15</v>
      </c>
      <c r="X14">
        <v>0.73299999999999998</v>
      </c>
      <c r="Y14">
        <v>0</v>
      </c>
      <c r="Z14">
        <v>5</v>
      </c>
      <c r="AA14">
        <v>5</v>
      </c>
      <c r="AB14">
        <v>12</v>
      </c>
      <c r="AC14">
        <v>1</v>
      </c>
      <c r="AD14">
        <v>1</v>
      </c>
      <c r="AE14">
        <v>6</v>
      </c>
      <c r="AF14">
        <v>3</v>
      </c>
      <c r="AG14">
        <v>39</v>
      </c>
      <c r="AH14">
        <v>33.6</v>
      </c>
      <c r="AI14">
        <v>17</v>
      </c>
    </row>
    <row r="15" spans="1:35" ht="21" x14ac:dyDescent="0.3">
      <c r="A15" t="s">
        <v>548</v>
      </c>
      <c r="B15" s="11">
        <v>14</v>
      </c>
      <c r="C15">
        <v>891</v>
      </c>
      <c r="D15">
        <v>14</v>
      </c>
      <c r="E15" s="4">
        <v>44514</v>
      </c>
      <c r="F15" t="s">
        <v>85</v>
      </c>
      <c r="G15" t="s">
        <v>37</v>
      </c>
      <c r="H15" t="s">
        <v>68</v>
      </c>
      <c r="I15" t="s">
        <v>446</v>
      </c>
      <c r="J15" t="s">
        <v>41</v>
      </c>
      <c r="K15" s="9">
        <v>1.5131944444444445</v>
      </c>
      <c r="L15">
        <v>5</v>
      </c>
      <c r="M15">
        <v>13</v>
      </c>
      <c r="N15">
        <v>0.38500000000000001</v>
      </c>
      <c r="O15">
        <v>1</v>
      </c>
      <c r="P15">
        <v>8</v>
      </c>
      <c r="Q15">
        <v>0.125</v>
      </c>
      <c r="R15">
        <v>4</v>
      </c>
      <c r="S15">
        <v>5</v>
      </c>
      <c r="T15">
        <v>0.8</v>
      </c>
      <c r="U15">
        <v>0.42299999999999999</v>
      </c>
      <c r="V15">
        <v>5</v>
      </c>
      <c r="W15">
        <v>5</v>
      </c>
      <c r="X15">
        <v>1</v>
      </c>
      <c r="Y15">
        <v>1</v>
      </c>
      <c r="Z15">
        <v>5</v>
      </c>
      <c r="AA15">
        <v>6</v>
      </c>
      <c r="AB15">
        <v>13</v>
      </c>
      <c r="AC15">
        <v>3</v>
      </c>
      <c r="AD15">
        <v>0</v>
      </c>
      <c r="AE15">
        <v>6</v>
      </c>
      <c r="AF15">
        <v>1</v>
      </c>
      <c r="AG15">
        <v>16</v>
      </c>
      <c r="AH15">
        <v>16.8</v>
      </c>
      <c r="AI15">
        <v>19</v>
      </c>
    </row>
    <row r="16" spans="1:35" ht="21" x14ac:dyDescent="0.3">
      <c r="A16" t="s">
        <v>548</v>
      </c>
      <c r="B16" s="11">
        <v>15</v>
      </c>
      <c r="C16">
        <v>892</v>
      </c>
      <c r="D16">
        <v>15</v>
      </c>
      <c r="E16" s="4">
        <v>44516</v>
      </c>
      <c r="F16" t="s">
        <v>85</v>
      </c>
      <c r="H16" t="s">
        <v>33</v>
      </c>
      <c r="I16" t="s">
        <v>447</v>
      </c>
      <c r="J16" t="s">
        <v>41</v>
      </c>
      <c r="K16" s="9">
        <v>1.3270833333333334</v>
      </c>
      <c r="L16">
        <v>6</v>
      </c>
      <c r="M16">
        <v>13</v>
      </c>
      <c r="N16">
        <v>0.46200000000000002</v>
      </c>
      <c r="O16">
        <v>2</v>
      </c>
      <c r="P16">
        <v>6</v>
      </c>
      <c r="Q16">
        <v>0.33300000000000002</v>
      </c>
      <c r="R16">
        <v>4</v>
      </c>
      <c r="S16">
        <v>7</v>
      </c>
      <c r="T16">
        <v>0.57099999999999995</v>
      </c>
      <c r="U16">
        <v>0.53800000000000003</v>
      </c>
      <c r="V16">
        <v>10</v>
      </c>
      <c r="W16">
        <v>11</v>
      </c>
      <c r="X16">
        <v>0.90900000000000003</v>
      </c>
      <c r="Y16">
        <v>0</v>
      </c>
      <c r="Z16">
        <v>4</v>
      </c>
      <c r="AA16">
        <v>4</v>
      </c>
      <c r="AB16">
        <v>4</v>
      </c>
      <c r="AC16">
        <v>0</v>
      </c>
      <c r="AD16">
        <v>0</v>
      </c>
      <c r="AE16">
        <v>5</v>
      </c>
      <c r="AF16">
        <v>3</v>
      </c>
      <c r="AG16">
        <v>24</v>
      </c>
      <c r="AH16">
        <v>14.7</v>
      </c>
      <c r="AI16">
        <v>-22</v>
      </c>
    </row>
    <row r="17" spans="1:35" ht="21" x14ac:dyDescent="0.3">
      <c r="A17" t="s">
        <v>548</v>
      </c>
      <c r="B17" s="11">
        <v>16</v>
      </c>
      <c r="C17">
        <v>893</v>
      </c>
      <c r="D17">
        <v>16</v>
      </c>
      <c r="E17" s="4">
        <v>44517</v>
      </c>
      <c r="F17" t="s">
        <v>85</v>
      </c>
      <c r="H17" t="s">
        <v>87</v>
      </c>
      <c r="I17" t="s">
        <v>448</v>
      </c>
      <c r="J17" t="s">
        <v>41</v>
      </c>
      <c r="K17" s="9">
        <v>1.5395833333333333</v>
      </c>
      <c r="L17">
        <v>6</v>
      </c>
      <c r="M17">
        <v>12</v>
      </c>
      <c r="N17">
        <v>0.5</v>
      </c>
      <c r="O17">
        <v>3</v>
      </c>
      <c r="P17">
        <v>6</v>
      </c>
      <c r="Q17">
        <v>0.5</v>
      </c>
      <c r="R17">
        <v>3</v>
      </c>
      <c r="S17">
        <v>6</v>
      </c>
      <c r="T17">
        <v>0.5</v>
      </c>
      <c r="U17">
        <v>0.625</v>
      </c>
      <c r="V17">
        <v>12</v>
      </c>
      <c r="W17">
        <v>12</v>
      </c>
      <c r="X17">
        <v>1</v>
      </c>
      <c r="Y17">
        <v>0</v>
      </c>
      <c r="Z17">
        <v>10</v>
      </c>
      <c r="AA17">
        <v>10</v>
      </c>
      <c r="AB17">
        <v>7</v>
      </c>
      <c r="AC17">
        <v>2</v>
      </c>
      <c r="AD17">
        <v>1</v>
      </c>
      <c r="AE17">
        <v>6</v>
      </c>
      <c r="AF17">
        <v>1</v>
      </c>
      <c r="AG17">
        <v>27</v>
      </c>
      <c r="AH17">
        <v>25.2</v>
      </c>
      <c r="AI17">
        <v>5</v>
      </c>
    </row>
    <row r="18" spans="1:35" ht="21" x14ac:dyDescent="0.3">
      <c r="A18" t="s">
        <v>548</v>
      </c>
      <c r="B18" s="11">
        <v>17</v>
      </c>
      <c r="C18">
        <v>894</v>
      </c>
      <c r="D18">
        <v>17</v>
      </c>
      <c r="E18" s="4">
        <v>44519</v>
      </c>
      <c r="F18" t="s">
        <v>85</v>
      </c>
      <c r="H18" t="s">
        <v>104</v>
      </c>
      <c r="I18" t="s">
        <v>65</v>
      </c>
      <c r="J18" t="s">
        <v>41</v>
      </c>
      <c r="K18" s="9">
        <v>1.7090277777777778</v>
      </c>
      <c r="L18">
        <v>7</v>
      </c>
      <c r="M18">
        <v>25</v>
      </c>
      <c r="N18">
        <v>0.28000000000000003</v>
      </c>
      <c r="O18">
        <v>3</v>
      </c>
      <c r="P18">
        <v>13</v>
      </c>
      <c r="Q18">
        <v>0.23100000000000001</v>
      </c>
      <c r="R18">
        <v>4</v>
      </c>
      <c r="S18">
        <v>12</v>
      </c>
      <c r="T18">
        <v>0.33300000000000002</v>
      </c>
      <c r="U18">
        <v>0.34</v>
      </c>
      <c r="V18">
        <v>19</v>
      </c>
      <c r="W18">
        <v>20</v>
      </c>
      <c r="X18">
        <v>0.95</v>
      </c>
      <c r="Y18">
        <v>1</v>
      </c>
      <c r="Z18">
        <v>9</v>
      </c>
      <c r="AA18">
        <v>10</v>
      </c>
      <c r="AB18">
        <v>8</v>
      </c>
      <c r="AC18">
        <v>3</v>
      </c>
      <c r="AD18">
        <v>2</v>
      </c>
      <c r="AE18">
        <v>6</v>
      </c>
      <c r="AF18">
        <v>4</v>
      </c>
      <c r="AG18">
        <v>36</v>
      </c>
      <c r="AH18">
        <v>26.7</v>
      </c>
      <c r="AI18">
        <v>10</v>
      </c>
    </row>
    <row r="19" spans="1:35" ht="21" x14ac:dyDescent="0.3">
      <c r="A19" t="s">
        <v>548</v>
      </c>
      <c r="B19" s="11">
        <v>18</v>
      </c>
      <c r="C19">
        <v>895</v>
      </c>
      <c r="D19">
        <v>18</v>
      </c>
      <c r="E19" s="4">
        <v>44522</v>
      </c>
      <c r="F19" t="s">
        <v>85</v>
      </c>
      <c r="G19" t="s">
        <v>37</v>
      </c>
      <c r="H19" t="s">
        <v>87</v>
      </c>
      <c r="I19" t="s">
        <v>449</v>
      </c>
      <c r="J19" t="s">
        <v>41</v>
      </c>
      <c r="K19" s="9">
        <v>1.5965277777777778</v>
      </c>
      <c r="L19">
        <v>5</v>
      </c>
      <c r="M19">
        <v>10</v>
      </c>
      <c r="N19">
        <v>0.5</v>
      </c>
      <c r="O19">
        <v>0</v>
      </c>
      <c r="P19">
        <v>2</v>
      </c>
      <c r="Q19">
        <v>0</v>
      </c>
      <c r="R19">
        <v>5</v>
      </c>
      <c r="S19">
        <v>8</v>
      </c>
      <c r="T19">
        <v>0.625</v>
      </c>
      <c r="U19">
        <v>0.5</v>
      </c>
      <c r="V19">
        <v>4</v>
      </c>
      <c r="W19">
        <v>4</v>
      </c>
      <c r="X19">
        <v>1</v>
      </c>
      <c r="Y19">
        <v>1</v>
      </c>
      <c r="Z19">
        <v>5</v>
      </c>
      <c r="AA19">
        <v>6</v>
      </c>
      <c r="AB19">
        <v>14</v>
      </c>
      <c r="AC19">
        <v>3</v>
      </c>
      <c r="AD19">
        <v>0</v>
      </c>
      <c r="AE19">
        <v>5</v>
      </c>
      <c r="AF19">
        <v>2</v>
      </c>
      <c r="AG19">
        <v>14</v>
      </c>
      <c r="AH19">
        <v>18.2</v>
      </c>
      <c r="AI19">
        <v>-6</v>
      </c>
    </row>
    <row r="20" spans="1:35" ht="21" x14ac:dyDescent="0.3">
      <c r="A20" t="s">
        <v>548</v>
      </c>
      <c r="B20" s="11">
        <v>19</v>
      </c>
      <c r="C20">
        <v>896</v>
      </c>
      <c r="D20">
        <v>19</v>
      </c>
      <c r="E20" s="4">
        <v>44524</v>
      </c>
      <c r="F20" t="s">
        <v>85</v>
      </c>
      <c r="G20" t="s">
        <v>37</v>
      </c>
      <c r="H20" t="s">
        <v>55</v>
      </c>
      <c r="I20" t="s">
        <v>450</v>
      </c>
      <c r="J20" t="s">
        <v>41</v>
      </c>
      <c r="K20" s="9">
        <v>1.4965277777777777</v>
      </c>
      <c r="L20">
        <v>4</v>
      </c>
      <c r="M20">
        <v>13</v>
      </c>
      <c r="N20">
        <v>0.308</v>
      </c>
      <c r="O20">
        <v>4</v>
      </c>
      <c r="P20">
        <v>9</v>
      </c>
      <c r="Q20">
        <v>0.44400000000000001</v>
      </c>
      <c r="R20">
        <v>0</v>
      </c>
      <c r="S20">
        <v>4</v>
      </c>
      <c r="T20">
        <v>0</v>
      </c>
      <c r="U20">
        <v>0.46200000000000002</v>
      </c>
      <c r="V20">
        <v>8</v>
      </c>
      <c r="W20">
        <v>9</v>
      </c>
      <c r="X20">
        <v>0.88900000000000001</v>
      </c>
      <c r="Y20">
        <v>1</v>
      </c>
      <c r="Z20">
        <v>6</v>
      </c>
      <c r="AA20">
        <v>7</v>
      </c>
      <c r="AB20">
        <v>11</v>
      </c>
      <c r="AC20">
        <v>2</v>
      </c>
      <c r="AD20">
        <v>0</v>
      </c>
      <c r="AE20">
        <v>3</v>
      </c>
      <c r="AF20">
        <v>4</v>
      </c>
      <c r="AG20">
        <v>20</v>
      </c>
      <c r="AH20">
        <v>19.7</v>
      </c>
      <c r="AI20">
        <v>29</v>
      </c>
    </row>
    <row r="21" spans="1:35" ht="21" x14ac:dyDescent="0.3">
      <c r="A21" t="s">
        <v>548</v>
      </c>
      <c r="B21" s="11">
        <v>20</v>
      </c>
      <c r="C21">
        <v>897</v>
      </c>
      <c r="D21">
        <v>20</v>
      </c>
      <c r="E21" s="4">
        <v>44527</v>
      </c>
      <c r="F21" t="s">
        <v>85</v>
      </c>
      <c r="H21" t="s">
        <v>99</v>
      </c>
      <c r="I21" t="s">
        <v>236</v>
      </c>
      <c r="J21" t="s">
        <v>41</v>
      </c>
      <c r="K21" s="9">
        <v>1.6597222222222223</v>
      </c>
      <c r="L21">
        <v>4</v>
      </c>
      <c r="M21">
        <v>15</v>
      </c>
      <c r="N21">
        <v>0.26700000000000002</v>
      </c>
      <c r="O21">
        <v>0</v>
      </c>
      <c r="P21">
        <v>6</v>
      </c>
      <c r="Q21">
        <v>0</v>
      </c>
      <c r="R21">
        <v>4</v>
      </c>
      <c r="S21">
        <v>9</v>
      </c>
      <c r="T21">
        <v>0.44400000000000001</v>
      </c>
      <c r="U21">
        <v>0.26700000000000002</v>
      </c>
      <c r="V21">
        <v>4</v>
      </c>
      <c r="W21">
        <v>4</v>
      </c>
      <c r="X21">
        <v>1</v>
      </c>
      <c r="Y21">
        <v>2</v>
      </c>
      <c r="Z21">
        <v>11</v>
      </c>
      <c r="AA21">
        <v>13</v>
      </c>
      <c r="AB21">
        <v>14</v>
      </c>
      <c r="AC21">
        <v>1</v>
      </c>
      <c r="AD21">
        <v>2</v>
      </c>
      <c r="AE21">
        <v>7</v>
      </c>
      <c r="AF21">
        <v>3</v>
      </c>
      <c r="AG21">
        <v>12</v>
      </c>
      <c r="AH21">
        <v>11.8</v>
      </c>
      <c r="AI21">
        <v>-8</v>
      </c>
    </row>
    <row r="22" spans="1:35" ht="21" x14ac:dyDescent="0.3">
      <c r="A22" t="s">
        <v>548</v>
      </c>
      <c r="B22" s="11">
        <v>21</v>
      </c>
      <c r="C22">
        <v>898</v>
      </c>
      <c r="D22">
        <v>21</v>
      </c>
      <c r="E22" s="4">
        <v>44530</v>
      </c>
      <c r="F22" t="s">
        <v>85</v>
      </c>
      <c r="H22" t="s">
        <v>110</v>
      </c>
      <c r="I22" t="s">
        <v>451</v>
      </c>
      <c r="J22" t="s">
        <v>41</v>
      </c>
      <c r="K22" s="9">
        <v>1.6576388888888889</v>
      </c>
      <c r="L22">
        <v>11</v>
      </c>
      <c r="M22">
        <v>20</v>
      </c>
      <c r="N22">
        <v>0.55000000000000004</v>
      </c>
      <c r="O22">
        <v>3</v>
      </c>
      <c r="P22">
        <v>8</v>
      </c>
      <c r="Q22">
        <v>0.375</v>
      </c>
      <c r="R22">
        <v>8</v>
      </c>
      <c r="S22">
        <v>12</v>
      </c>
      <c r="T22">
        <v>0.66700000000000004</v>
      </c>
      <c r="U22">
        <v>0.625</v>
      </c>
      <c r="V22">
        <v>9</v>
      </c>
      <c r="W22">
        <v>10</v>
      </c>
      <c r="X22">
        <v>0.9</v>
      </c>
      <c r="Y22">
        <v>2</v>
      </c>
      <c r="Z22">
        <v>8</v>
      </c>
      <c r="AA22">
        <v>10</v>
      </c>
      <c r="AB22">
        <v>8</v>
      </c>
      <c r="AC22">
        <v>3</v>
      </c>
      <c r="AD22">
        <v>0</v>
      </c>
      <c r="AE22">
        <v>5</v>
      </c>
      <c r="AF22">
        <v>1</v>
      </c>
      <c r="AG22">
        <v>34</v>
      </c>
      <c r="AH22">
        <v>31</v>
      </c>
      <c r="AI22">
        <v>6</v>
      </c>
    </row>
    <row r="23" spans="1:35" ht="21" x14ac:dyDescent="0.3">
      <c r="A23" t="s">
        <v>548</v>
      </c>
      <c r="B23" s="11">
        <v>22</v>
      </c>
      <c r="C23">
        <v>899</v>
      </c>
      <c r="D23">
        <v>22</v>
      </c>
      <c r="E23" s="4">
        <v>44533</v>
      </c>
      <c r="F23" t="s">
        <v>85</v>
      </c>
      <c r="H23" t="s">
        <v>80</v>
      </c>
      <c r="I23" t="s">
        <v>452</v>
      </c>
      <c r="J23" t="s">
        <v>41</v>
      </c>
      <c r="K23" s="9">
        <v>1.4881944444444444</v>
      </c>
      <c r="L23">
        <v>4</v>
      </c>
      <c r="M23">
        <v>11</v>
      </c>
      <c r="N23">
        <v>0.36399999999999999</v>
      </c>
      <c r="O23">
        <v>0</v>
      </c>
      <c r="P23">
        <v>5</v>
      </c>
      <c r="Q23">
        <v>0</v>
      </c>
      <c r="R23">
        <v>4</v>
      </c>
      <c r="S23">
        <v>6</v>
      </c>
      <c r="T23">
        <v>0.66700000000000004</v>
      </c>
      <c r="U23">
        <v>0.36399999999999999</v>
      </c>
      <c r="V23">
        <v>12</v>
      </c>
      <c r="W23">
        <v>15</v>
      </c>
      <c r="X23">
        <v>0.8</v>
      </c>
      <c r="Y23">
        <v>0</v>
      </c>
      <c r="Z23">
        <v>7</v>
      </c>
      <c r="AA23">
        <v>7</v>
      </c>
      <c r="AB23">
        <v>9</v>
      </c>
      <c r="AC23">
        <v>2</v>
      </c>
      <c r="AD23">
        <v>0</v>
      </c>
      <c r="AE23">
        <v>6</v>
      </c>
      <c r="AF23">
        <v>4</v>
      </c>
      <c r="AG23">
        <v>20</v>
      </c>
      <c r="AH23">
        <v>15.5</v>
      </c>
      <c r="AI23">
        <v>10</v>
      </c>
    </row>
    <row r="24" spans="1:35" ht="21" x14ac:dyDescent="0.3">
      <c r="A24" t="s">
        <v>548</v>
      </c>
      <c r="B24" s="11">
        <v>23</v>
      </c>
      <c r="C24">
        <v>900</v>
      </c>
      <c r="D24">
        <v>23</v>
      </c>
      <c r="E24" s="4">
        <v>44534</v>
      </c>
      <c r="F24" t="s">
        <v>85</v>
      </c>
      <c r="H24" t="s">
        <v>82</v>
      </c>
      <c r="I24" t="s">
        <v>453</v>
      </c>
      <c r="J24" t="s">
        <v>41</v>
      </c>
      <c r="K24" s="9">
        <v>1.6548611111111111</v>
      </c>
      <c r="L24">
        <v>5</v>
      </c>
      <c r="M24">
        <v>21</v>
      </c>
      <c r="N24">
        <v>0.23799999999999999</v>
      </c>
      <c r="O24">
        <v>1</v>
      </c>
      <c r="P24">
        <v>5</v>
      </c>
      <c r="Q24">
        <v>0.2</v>
      </c>
      <c r="R24">
        <v>4</v>
      </c>
      <c r="S24">
        <v>16</v>
      </c>
      <c r="T24">
        <v>0.25</v>
      </c>
      <c r="U24">
        <v>0.26200000000000001</v>
      </c>
      <c r="V24">
        <v>3</v>
      </c>
      <c r="W24">
        <v>4</v>
      </c>
      <c r="X24">
        <v>0.75</v>
      </c>
      <c r="Y24">
        <v>1</v>
      </c>
      <c r="Z24">
        <v>6</v>
      </c>
      <c r="AA24">
        <v>7</v>
      </c>
      <c r="AB24">
        <v>14</v>
      </c>
      <c r="AC24">
        <v>1</v>
      </c>
      <c r="AD24">
        <v>0</v>
      </c>
      <c r="AE24">
        <v>0</v>
      </c>
      <c r="AF24">
        <v>2</v>
      </c>
      <c r="AG24">
        <v>14</v>
      </c>
      <c r="AH24">
        <v>13.4</v>
      </c>
      <c r="AI24">
        <v>-4</v>
      </c>
    </row>
    <row r="25" spans="1:35" ht="21" x14ac:dyDescent="0.3">
      <c r="A25" t="s">
        <v>548</v>
      </c>
      <c r="B25" s="11">
        <v>24</v>
      </c>
      <c r="C25">
        <v>901</v>
      </c>
      <c r="D25">
        <v>24</v>
      </c>
      <c r="E25" s="4">
        <v>44537</v>
      </c>
      <c r="F25" t="s">
        <v>85</v>
      </c>
      <c r="G25" t="s">
        <v>37</v>
      </c>
      <c r="H25" t="s">
        <v>49</v>
      </c>
      <c r="I25" t="s">
        <v>328</v>
      </c>
      <c r="J25" t="s">
        <v>41</v>
      </c>
      <c r="K25" s="9">
        <v>1.7326388888888888</v>
      </c>
      <c r="L25">
        <v>7</v>
      </c>
      <c r="M25">
        <v>13</v>
      </c>
      <c r="N25">
        <v>0.53800000000000003</v>
      </c>
      <c r="O25">
        <v>3</v>
      </c>
      <c r="P25">
        <v>6</v>
      </c>
      <c r="Q25">
        <v>0.5</v>
      </c>
      <c r="R25">
        <v>4</v>
      </c>
      <c r="S25">
        <v>7</v>
      </c>
      <c r="T25">
        <v>0.57099999999999995</v>
      </c>
      <c r="U25">
        <v>0.65400000000000003</v>
      </c>
      <c r="V25">
        <v>6</v>
      </c>
      <c r="W25">
        <v>7</v>
      </c>
      <c r="X25">
        <v>0.85699999999999998</v>
      </c>
      <c r="Y25">
        <v>0</v>
      </c>
      <c r="Z25">
        <v>9</v>
      </c>
      <c r="AA25">
        <v>9</v>
      </c>
      <c r="AB25">
        <v>12</v>
      </c>
      <c r="AC25">
        <v>0</v>
      </c>
      <c r="AD25">
        <v>1</v>
      </c>
      <c r="AE25">
        <v>5</v>
      </c>
      <c r="AF25">
        <v>2</v>
      </c>
      <c r="AG25">
        <v>23</v>
      </c>
      <c r="AH25">
        <v>22.3</v>
      </c>
      <c r="AI25">
        <v>7</v>
      </c>
    </row>
    <row r="26" spans="1:35" ht="21" x14ac:dyDescent="0.3">
      <c r="A26" t="s">
        <v>548</v>
      </c>
      <c r="B26" s="11">
        <v>25</v>
      </c>
      <c r="C26">
        <v>902</v>
      </c>
      <c r="D26">
        <v>25</v>
      </c>
      <c r="E26" s="4">
        <v>44538</v>
      </c>
      <c r="F26" t="s">
        <v>85</v>
      </c>
      <c r="G26" t="s">
        <v>37</v>
      </c>
      <c r="H26" t="s">
        <v>76</v>
      </c>
      <c r="I26" t="s">
        <v>454</v>
      </c>
      <c r="J26" t="s">
        <v>41</v>
      </c>
      <c r="K26" s="9">
        <v>1.6381944444444445</v>
      </c>
      <c r="L26">
        <v>4</v>
      </c>
      <c r="M26">
        <v>16</v>
      </c>
      <c r="N26">
        <v>0.25</v>
      </c>
      <c r="O26">
        <v>3</v>
      </c>
      <c r="P26">
        <v>12</v>
      </c>
      <c r="Q26">
        <v>0.25</v>
      </c>
      <c r="R26">
        <v>1</v>
      </c>
      <c r="S26">
        <v>4</v>
      </c>
      <c r="T26">
        <v>0.25</v>
      </c>
      <c r="U26">
        <v>0.34399999999999997</v>
      </c>
      <c r="V26">
        <v>14</v>
      </c>
      <c r="W26">
        <v>16</v>
      </c>
      <c r="X26">
        <v>0.875</v>
      </c>
      <c r="Y26">
        <v>0</v>
      </c>
      <c r="Z26">
        <v>11</v>
      </c>
      <c r="AA26">
        <v>11</v>
      </c>
      <c r="AB26">
        <v>8</v>
      </c>
      <c r="AC26">
        <v>2</v>
      </c>
      <c r="AD26">
        <v>0</v>
      </c>
      <c r="AE26">
        <v>8</v>
      </c>
      <c r="AF26">
        <v>3</v>
      </c>
      <c r="AG26">
        <v>25</v>
      </c>
      <c r="AH26">
        <v>16.3</v>
      </c>
      <c r="AI26">
        <v>-5</v>
      </c>
    </row>
    <row r="27" spans="1:35" ht="21" x14ac:dyDescent="0.3">
      <c r="A27" t="s">
        <v>548</v>
      </c>
      <c r="B27" s="11">
        <v>26</v>
      </c>
      <c r="C27">
        <v>903</v>
      </c>
      <c r="D27">
        <v>26</v>
      </c>
      <c r="E27" s="4">
        <v>44540</v>
      </c>
      <c r="F27" t="s">
        <v>85</v>
      </c>
      <c r="G27" t="s">
        <v>37</v>
      </c>
      <c r="H27" t="s">
        <v>78</v>
      </c>
      <c r="I27" t="s">
        <v>455</v>
      </c>
      <c r="J27" t="s">
        <v>41</v>
      </c>
      <c r="K27" s="9">
        <v>1.6881944444444446</v>
      </c>
      <c r="L27">
        <v>8</v>
      </c>
      <c r="M27">
        <v>17</v>
      </c>
      <c r="N27">
        <v>0.47099999999999997</v>
      </c>
      <c r="O27">
        <v>0</v>
      </c>
      <c r="P27">
        <v>5</v>
      </c>
      <c r="Q27">
        <v>0</v>
      </c>
      <c r="R27">
        <v>8</v>
      </c>
      <c r="S27">
        <v>12</v>
      </c>
      <c r="T27">
        <v>0.66700000000000004</v>
      </c>
      <c r="U27">
        <v>0.47099999999999997</v>
      </c>
      <c r="V27">
        <v>4</v>
      </c>
      <c r="W27">
        <v>4</v>
      </c>
      <c r="X27">
        <v>1</v>
      </c>
      <c r="Y27">
        <v>0</v>
      </c>
      <c r="Z27">
        <v>5</v>
      </c>
      <c r="AA27">
        <v>5</v>
      </c>
      <c r="AB27">
        <v>11</v>
      </c>
      <c r="AC27">
        <v>0</v>
      </c>
      <c r="AD27">
        <v>0</v>
      </c>
      <c r="AE27">
        <v>6</v>
      </c>
      <c r="AF27">
        <v>1</v>
      </c>
      <c r="AG27">
        <v>20</v>
      </c>
      <c r="AH27">
        <v>14.1</v>
      </c>
      <c r="AI27">
        <v>8</v>
      </c>
    </row>
    <row r="28" spans="1:35" ht="21" x14ac:dyDescent="0.3">
      <c r="A28" t="s">
        <v>548</v>
      </c>
      <c r="B28" s="11">
        <v>26</v>
      </c>
      <c r="D28">
        <v>27</v>
      </c>
      <c r="E28" s="4">
        <v>44542</v>
      </c>
      <c r="F28" t="s">
        <v>85</v>
      </c>
      <c r="G28" t="s">
        <v>37</v>
      </c>
      <c r="H28" t="s">
        <v>89</v>
      </c>
      <c r="I28" t="s">
        <v>456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91</v>
      </c>
      <c r="Q28" t="s">
        <v>91</v>
      </c>
      <c r="R28" t="s">
        <v>91</v>
      </c>
      <c r="S28" t="s">
        <v>91</v>
      </c>
      <c r="T28" t="s">
        <v>91</v>
      </c>
      <c r="U28" t="s">
        <v>91</v>
      </c>
      <c r="V28" t="s">
        <v>91</v>
      </c>
      <c r="W28" t="s">
        <v>91</v>
      </c>
      <c r="X28" t="s">
        <v>91</v>
      </c>
      <c r="Y28" t="s">
        <v>91</v>
      </c>
      <c r="Z28" t="s">
        <v>91</v>
      </c>
      <c r="AA28" t="s">
        <v>91</v>
      </c>
      <c r="AB28" t="s">
        <v>91</v>
      </c>
      <c r="AC28" t="s">
        <v>91</v>
      </c>
      <c r="AD28" t="s">
        <v>91</v>
      </c>
      <c r="AE28" t="s">
        <v>91</v>
      </c>
      <c r="AF28" t="s">
        <v>91</v>
      </c>
      <c r="AG28" t="s">
        <v>91</v>
      </c>
      <c r="AH28" t="s">
        <v>91</v>
      </c>
      <c r="AI28" t="s">
        <v>91</v>
      </c>
    </row>
    <row r="29" spans="1:35" ht="21" x14ac:dyDescent="0.3">
      <c r="A29" t="s">
        <v>548</v>
      </c>
      <c r="B29" s="11">
        <v>26</v>
      </c>
      <c r="D29">
        <v>28</v>
      </c>
      <c r="E29" s="4">
        <v>44544</v>
      </c>
      <c r="F29" t="s">
        <v>85</v>
      </c>
      <c r="H29" t="s">
        <v>92</v>
      </c>
      <c r="I29" t="s">
        <v>457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91</v>
      </c>
      <c r="Q29" t="s">
        <v>91</v>
      </c>
      <c r="R29" t="s">
        <v>91</v>
      </c>
      <c r="S29" t="s">
        <v>91</v>
      </c>
      <c r="T29" t="s">
        <v>91</v>
      </c>
      <c r="U29" t="s">
        <v>91</v>
      </c>
      <c r="V29" t="s">
        <v>91</v>
      </c>
      <c r="W29" t="s">
        <v>91</v>
      </c>
      <c r="X29" t="s">
        <v>91</v>
      </c>
      <c r="Y29" t="s">
        <v>91</v>
      </c>
      <c r="Z29" t="s">
        <v>91</v>
      </c>
      <c r="AA29" t="s">
        <v>91</v>
      </c>
      <c r="AB29" t="s">
        <v>91</v>
      </c>
      <c r="AC29" t="s">
        <v>91</v>
      </c>
      <c r="AD29" t="s">
        <v>91</v>
      </c>
      <c r="AE29" t="s">
        <v>91</v>
      </c>
      <c r="AF29" t="s">
        <v>91</v>
      </c>
      <c r="AG29" t="s">
        <v>91</v>
      </c>
      <c r="AH29" t="s">
        <v>91</v>
      </c>
      <c r="AI29" t="s">
        <v>91</v>
      </c>
    </row>
    <row r="30" spans="1:35" ht="21" x14ac:dyDescent="0.3">
      <c r="A30" t="s">
        <v>548</v>
      </c>
      <c r="B30" s="11">
        <v>26</v>
      </c>
      <c r="D30">
        <v>29</v>
      </c>
      <c r="E30" s="4">
        <v>44546</v>
      </c>
      <c r="F30" t="s">
        <v>85</v>
      </c>
      <c r="H30" t="s">
        <v>94</v>
      </c>
      <c r="I30" t="s">
        <v>458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  <c r="O30" t="s">
        <v>91</v>
      </c>
      <c r="P30" t="s">
        <v>91</v>
      </c>
      <c r="Q30" t="s">
        <v>91</v>
      </c>
      <c r="R30" t="s">
        <v>91</v>
      </c>
      <c r="S30" t="s">
        <v>91</v>
      </c>
      <c r="T30" t="s">
        <v>91</v>
      </c>
      <c r="U30" t="s">
        <v>91</v>
      </c>
      <c r="V30" t="s">
        <v>91</v>
      </c>
      <c r="W30" t="s">
        <v>91</v>
      </c>
      <c r="X30" t="s">
        <v>91</v>
      </c>
      <c r="Y30" t="s">
        <v>91</v>
      </c>
      <c r="Z30" t="s">
        <v>91</v>
      </c>
      <c r="AA30" t="s">
        <v>91</v>
      </c>
      <c r="AB30" t="s">
        <v>91</v>
      </c>
      <c r="AC30" t="s">
        <v>91</v>
      </c>
      <c r="AD30" t="s">
        <v>91</v>
      </c>
      <c r="AE30" t="s">
        <v>91</v>
      </c>
      <c r="AF30" t="s">
        <v>91</v>
      </c>
      <c r="AG30" t="s">
        <v>91</v>
      </c>
      <c r="AH30" t="s">
        <v>91</v>
      </c>
      <c r="AI30" t="s">
        <v>91</v>
      </c>
    </row>
    <row r="31" spans="1:35" ht="21" x14ac:dyDescent="0.3">
      <c r="A31" t="s">
        <v>548</v>
      </c>
      <c r="B31" s="11">
        <v>26</v>
      </c>
      <c r="D31">
        <v>30</v>
      </c>
      <c r="E31" s="4">
        <v>44548</v>
      </c>
      <c r="F31" t="s">
        <v>85</v>
      </c>
      <c r="H31" t="s">
        <v>104</v>
      </c>
      <c r="I31" t="s">
        <v>459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  <c r="O31" t="s">
        <v>91</v>
      </c>
      <c r="P31" t="s">
        <v>91</v>
      </c>
      <c r="Q31" t="s">
        <v>91</v>
      </c>
      <c r="R31" t="s">
        <v>91</v>
      </c>
      <c r="S31" t="s">
        <v>91</v>
      </c>
      <c r="T31" t="s">
        <v>91</v>
      </c>
      <c r="U31" t="s">
        <v>91</v>
      </c>
      <c r="V31" t="s">
        <v>91</v>
      </c>
      <c r="W31" t="s">
        <v>91</v>
      </c>
      <c r="X31" t="s">
        <v>91</v>
      </c>
      <c r="Y31" t="s">
        <v>91</v>
      </c>
      <c r="Z31" t="s">
        <v>91</v>
      </c>
      <c r="AA31" t="s">
        <v>91</v>
      </c>
      <c r="AB31" t="s">
        <v>91</v>
      </c>
      <c r="AC31" t="s">
        <v>91</v>
      </c>
      <c r="AD31" t="s">
        <v>91</v>
      </c>
      <c r="AE31" t="s">
        <v>91</v>
      </c>
      <c r="AF31" t="s">
        <v>91</v>
      </c>
      <c r="AG31" t="s">
        <v>91</v>
      </c>
      <c r="AH31" t="s">
        <v>91</v>
      </c>
      <c r="AI31" t="s">
        <v>91</v>
      </c>
    </row>
    <row r="32" spans="1:35" ht="21" x14ac:dyDescent="0.3">
      <c r="A32" t="s">
        <v>548</v>
      </c>
      <c r="B32" s="11">
        <v>27</v>
      </c>
      <c r="C32">
        <v>904</v>
      </c>
      <c r="D32">
        <v>31</v>
      </c>
      <c r="E32" s="4">
        <v>44555</v>
      </c>
      <c r="F32" t="s">
        <v>85</v>
      </c>
      <c r="G32" t="s">
        <v>37</v>
      </c>
      <c r="H32" t="s">
        <v>62</v>
      </c>
      <c r="I32" t="s">
        <v>460</v>
      </c>
      <c r="J32" t="s">
        <v>41</v>
      </c>
      <c r="K32" s="9">
        <v>1.6208333333333333</v>
      </c>
      <c r="L32">
        <v>10</v>
      </c>
      <c r="M32">
        <v>25</v>
      </c>
      <c r="N32">
        <v>0.4</v>
      </c>
      <c r="O32">
        <v>3</v>
      </c>
      <c r="P32">
        <v>8</v>
      </c>
      <c r="Q32">
        <v>0.375</v>
      </c>
      <c r="R32">
        <v>7</v>
      </c>
      <c r="S32">
        <v>17</v>
      </c>
      <c r="T32">
        <v>0.41199999999999998</v>
      </c>
      <c r="U32">
        <v>0.46</v>
      </c>
      <c r="V32">
        <v>13</v>
      </c>
      <c r="W32">
        <v>17</v>
      </c>
      <c r="X32">
        <v>0.76500000000000001</v>
      </c>
      <c r="Y32">
        <v>2</v>
      </c>
      <c r="Z32">
        <v>8</v>
      </c>
      <c r="AA32">
        <v>10</v>
      </c>
      <c r="AB32">
        <v>10</v>
      </c>
      <c r="AC32">
        <v>1</v>
      </c>
      <c r="AD32">
        <v>3</v>
      </c>
      <c r="AE32">
        <v>4</v>
      </c>
      <c r="AF32">
        <v>5</v>
      </c>
      <c r="AG32">
        <v>36</v>
      </c>
      <c r="AH32">
        <v>28.8</v>
      </c>
      <c r="AI32">
        <v>5</v>
      </c>
    </row>
    <row r="33" spans="1:35" ht="21" x14ac:dyDescent="0.3">
      <c r="A33" t="s">
        <v>548</v>
      </c>
      <c r="B33" s="11">
        <v>28</v>
      </c>
      <c r="C33">
        <v>905</v>
      </c>
      <c r="D33">
        <v>32</v>
      </c>
      <c r="E33" s="4">
        <v>44557</v>
      </c>
      <c r="F33" t="s">
        <v>85</v>
      </c>
      <c r="G33" t="s">
        <v>37</v>
      </c>
      <c r="H33" t="s">
        <v>64</v>
      </c>
      <c r="I33" t="s">
        <v>461</v>
      </c>
      <c r="J33" t="s">
        <v>41</v>
      </c>
      <c r="K33" s="9">
        <v>1.6694444444444445</v>
      </c>
      <c r="L33">
        <v>15</v>
      </c>
      <c r="M33">
        <v>25</v>
      </c>
      <c r="N33">
        <v>0.6</v>
      </c>
      <c r="O33">
        <v>4</v>
      </c>
      <c r="P33">
        <v>9</v>
      </c>
      <c r="Q33">
        <v>0.44400000000000001</v>
      </c>
      <c r="R33">
        <v>11</v>
      </c>
      <c r="S33">
        <v>16</v>
      </c>
      <c r="T33">
        <v>0.68799999999999994</v>
      </c>
      <c r="U33">
        <v>0.68</v>
      </c>
      <c r="V33">
        <v>5</v>
      </c>
      <c r="W33">
        <v>5</v>
      </c>
      <c r="X33">
        <v>1</v>
      </c>
      <c r="Y33">
        <v>0</v>
      </c>
      <c r="Z33">
        <v>8</v>
      </c>
      <c r="AA33">
        <v>8</v>
      </c>
      <c r="AB33">
        <v>15</v>
      </c>
      <c r="AC33">
        <v>2</v>
      </c>
      <c r="AD33">
        <v>0</v>
      </c>
      <c r="AE33">
        <v>3</v>
      </c>
      <c r="AF33">
        <v>4</v>
      </c>
      <c r="AG33">
        <v>39</v>
      </c>
      <c r="AH33">
        <v>37.799999999999997</v>
      </c>
      <c r="AI33">
        <v>17</v>
      </c>
    </row>
    <row r="34" spans="1:35" ht="21" x14ac:dyDescent="0.3">
      <c r="A34" t="s">
        <v>548</v>
      </c>
      <c r="B34" s="11">
        <v>29</v>
      </c>
      <c r="C34">
        <v>906</v>
      </c>
      <c r="D34">
        <v>33</v>
      </c>
      <c r="E34" s="4">
        <v>44560</v>
      </c>
      <c r="F34" t="s">
        <v>85</v>
      </c>
      <c r="H34" t="s">
        <v>94</v>
      </c>
      <c r="I34" t="s">
        <v>406</v>
      </c>
      <c r="J34" t="s">
        <v>41</v>
      </c>
      <c r="K34" s="9">
        <v>1.6625000000000001</v>
      </c>
      <c r="L34">
        <v>9</v>
      </c>
      <c r="M34">
        <v>20</v>
      </c>
      <c r="N34">
        <v>0.45</v>
      </c>
      <c r="O34">
        <v>1</v>
      </c>
      <c r="P34">
        <v>5</v>
      </c>
      <c r="Q34">
        <v>0.2</v>
      </c>
      <c r="R34">
        <v>8</v>
      </c>
      <c r="S34">
        <v>15</v>
      </c>
      <c r="T34">
        <v>0.53300000000000003</v>
      </c>
      <c r="U34">
        <v>0.47499999999999998</v>
      </c>
      <c r="V34">
        <v>14</v>
      </c>
      <c r="W34">
        <v>18</v>
      </c>
      <c r="X34">
        <v>0.77800000000000002</v>
      </c>
      <c r="Y34">
        <v>3</v>
      </c>
      <c r="Z34">
        <v>11</v>
      </c>
      <c r="AA34">
        <v>14</v>
      </c>
      <c r="AB34">
        <v>10</v>
      </c>
      <c r="AC34">
        <v>2</v>
      </c>
      <c r="AD34">
        <v>0</v>
      </c>
      <c r="AE34">
        <v>6</v>
      </c>
      <c r="AF34">
        <v>3</v>
      </c>
      <c r="AG34">
        <v>33</v>
      </c>
      <c r="AH34">
        <v>28.2</v>
      </c>
      <c r="AI34">
        <v>-3</v>
      </c>
    </row>
    <row r="35" spans="1:35" ht="21" x14ac:dyDescent="0.3">
      <c r="A35" t="s">
        <v>548</v>
      </c>
      <c r="B35" s="11">
        <v>30</v>
      </c>
      <c r="C35">
        <v>907</v>
      </c>
      <c r="D35">
        <v>34</v>
      </c>
      <c r="E35" s="4">
        <v>44562</v>
      </c>
      <c r="F35" t="s">
        <v>85</v>
      </c>
      <c r="H35" t="s">
        <v>64</v>
      </c>
      <c r="I35" t="s">
        <v>462</v>
      </c>
      <c r="J35" t="s">
        <v>41</v>
      </c>
      <c r="K35" s="9">
        <v>1.6826388888888888</v>
      </c>
      <c r="L35">
        <v>9</v>
      </c>
      <c r="M35">
        <v>22</v>
      </c>
      <c r="N35">
        <v>0.40899999999999997</v>
      </c>
      <c r="O35">
        <v>3</v>
      </c>
      <c r="P35">
        <v>11</v>
      </c>
      <c r="Q35">
        <v>0.27300000000000002</v>
      </c>
      <c r="R35">
        <v>6</v>
      </c>
      <c r="S35">
        <v>11</v>
      </c>
      <c r="T35">
        <v>0.54500000000000004</v>
      </c>
      <c r="U35">
        <v>0.47699999999999998</v>
      </c>
      <c r="V35">
        <v>13</v>
      </c>
      <c r="W35">
        <v>15</v>
      </c>
      <c r="X35">
        <v>0.86699999999999999</v>
      </c>
      <c r="Y35">
        <v>2</v>
      </c>
      <c r="Z35">
        <v>10</v>
      </c>
      <c r="AA35">
        <v>12</v>
      </c>
      <c r="AB35">
        <v>13</v>
      </c>
      <c r="AC35">
        <v>1</v>
      </c>
      <c r="AD35">
        <v>0</v>
      </c>
      <c r="AE35">
        <v>4</v>
      </c>
      <c r="AF35">
        <v>3</v>
      </c>
      <c r="AG35">
        <v>34</v>
      </c>
      <c r="AH35">
        <v>30.7</v>
      </c>
      <c r="AI35">
        <v>-9</v>
      </c>
    </row>
    <row r="36" spans="1:35" ht="21" x14ac:dyDescent="0.3">
      <c r="A36" t="s">
        <v>548</v>
      </c>
      <c r="B36" s="11">
        <v>31</v>
      </c>
      <c r="C36">
        <v>908</v>
      </c>
      <c r="D36">
        <v>35</v>
      </c>
      <c r="E36" s="4">
        <v>44564</v>
      </c>
      <c r="F36" t="s">
        <v>85</v>
      </c>
      <c r="H36" t="s">
        <v>42</v>
      </c>
      <c r="I36" t="s">
        <v>463</v>
      </c>
      <c r="J36" t="s">
        <v>41</v>
      </c>
      <c r="K36" s="9">
        <v>1.3534722222222222</v>
      </c>
      <c r="L36">
        <v>5</v>
      </c>
      <c r="M36">
        <v>14</v>
      </c>
      <c r="N36">
        <v>0.35699999999999998</v>
      </c>
      <c r="O36">
        <v>2</v>
      </c>
      <c r="P36">
        <v>7</v>
      </c>
      <c r="Q36">
        <v>0.28599999999999998</v>
      </c>
      <c r="R36">
        <v>3</v>
      </c>
      <c r="S36">
        <v>7</v>
      </c>
      <c r="T36">
        <v>0.42899999999999999</v>
      </c>
      <c r="U36">
        <v>0.42899999999999999</v>
      </c>
      <c r="V36">
        <v>7</v>
      </c>
      <c r="W36">
        <v>8</v>
      </c>
      <c r="X36">
        <v>0.875</v>
      </c>
      <c r="Y36">
        <v>2</v>
      </c>
      <c r="Z36">
        <v>2</v>
      </c>
      <c r="AA36">
        <v>4</v>
      </c>
      <c r="AB36">
        <v>8</v>
      </c>
      <c r="AC36">
        <v>1</v>
      </c>
      <c r="AD36">
        <v>1</v>
      </c>
      <c r="AE36">
        <v>5</v>
      </c>
      <c r="AF36">
        <v>1</v>
      </c>
      <c r="AG36">
        <v>19</v>
      </c>
      <c r="AH36">
        <v>14.7</v>
      </c>
      <c r="AI36">
        <v>-15</v>
      </c>
    </row>
    <row r="37" spans="1:35" ht="21" x14ac:dyDescent="0.3">
      <c r="A37" t="s">
        <v>548</v>
      </c>
      <c r="B37" s="11">
        <v>32</v>
      </c>
      <c r="C37">
        <v>909</v>
      </c>
      <c r="D37">
        <v>36</v>
      </c>
      <c r="E37" s="4">
        <v>44566</v>
      </c>
      <c r="F37" t="s">
        <v>85</v>
      </c>
      <c r="G37" t="s">
        <v>37</v>
      </c>
      <c r="H37" t="s">
        <v>108</v>
      </c>
      <c r="I37" t="s">
        <v>464</v>
      </c>
      <c r="J37" t="s">
        <v>41</v>
      </c>
      <c r="K37" s="9">
        <v>1.6729166666666666</v>
      </c>
      <c r="L37">
        <v>5</v>
      </c>
      <c r="M37">
        <v>12</v>
      </c>
      <c r="N37">
        <v>0.41699999999999998</v>
      </c>
      <c r="O37">
        <v>0</v>
      </c>
      <c r="P37">
        <v>4</v>
      </c>
      <c r="Q37">
        <v>0</v>
      </c>
      <c r="R37">
        <v>5</v>
      </c>
      <c r="S37">
        <v>8</v>
      </c>
      <c r="T37">
        <v>0.625</v>
      </c>
      <c r="U37">
        <v>0.41699999999999998</v>
      </c>
      <c r="V37">
        <v>8</v>
      </c>
      <c r="W37">
        <v>10</v>
      </c>
      <c r="X37">
        <v>0.8</v>
      </c>
      <c r="Y37">
        <v>0</v>
      </c>
      <c r="Z37">
        <v>5</v>
      </c>
      <c r="AA37">
        <v>5</v>
      </c>
      <c r="AB37">
        <v>6</v>
      </c>
      <c r="AC37">
        <v>1</v>
      </c>
      <c r="AD37">
        <v>0</v>
      </c>
      <c r="AE37">
        <v>1</v>
      </c>
      <c r="AF37">
        <v>3</v>
      </c>
      <c r="AG37">
        <v>18</v>
      </c>
      <c r="AH37">
        <v>15.3</v>
      </c>
      <c r="AI37">
        <v>3</v>
      </c>
    </row>
    <row r="38" spans="1:35" ht="21" x14ac:dyDescent="0.3">
      <c r="A38" t="s">
        <v>548</v>
      </c>
      <c r="B38" s="11">
        <v>33</v>
      </c>
      <c r="C38">
        <v>910</v>
      </c>
      <c r="D38">
        <v>37</v>
      </c>
      <c r="E38" s="4">
        <v>44568</v>
      </c>
      <c r="F38" t="s">
        <v>85</v>
      </c>
      <c r="H38" t="s">
        <v>126</v>
      </c>
      <c r="I38" t="s">
        <v>465</v>
      </c>
      <c r="J38" t="s">
        <v>41</v>
      </c>
      <c r="K38" s="9">
        <v>1.4805555555555556</v>
      </c>
      <c r="L38">
        <v>6</v>
      </c>
      <c r="M38">
        <v>15</v>
      </c>
      <c r="N38">
        <v>0.4</v>
      </c>
      <c r="O38">
        <v>1</v>
      </c>
      <c r="P38">
        <v>3</v>
      </c>
      <c r="Q38">
        <v>0.33300000000000002</v>
      </c>
      <c r="R38">
        <v>5</v>
      </c>
      <c r="S38">
        <v>12</v>
      </c>
      <c r="T38">
        <v>0.41699999999999998</v>
      </c>
      <c r="U38">
        <v>0.433</v>
      </c>
      <c r="V38">
        <v>3</v>
      </c>
      <c r="W38">
        <v>3</v>
      </c>
      <c r="X38">
        <v>1</v>
      </c>
      <c r="Y38">
        <v>0</v>
      </c>
      <c r="Z38">
        <v>9</v>
      </c>
      <c r="AA38">
        <v>9</v>
      </c>
      <c r="AB38">
        <v>7</v>
      </c>
      <c r="AC38">
        <v>0</v>
      </c>
      <c r="AD38">
        <v>1</v>
      </c>
      <c r="AE38">
        <v>5</v>
      </c>
      <c r="AF38">
        <v>1</v>
      </c>
      <c r="AG38">
        <v>16</v>
      </c>
      <c r="AH38">
        <v>10.8</v>
      </c>
      <c r="AI38">
        <v>-20</v>
      </c>
    </row>
    <row r="39" spans="1:35" ht="21" x14ac:dyDescent="0.3">
      <c r="A39" t="s">
        <v>548</v>
      </c>
      <c r="B39" s="11">
        <v>34</v>
      </c>
      <c r="C39">
        <v>911</v>
      </c>
      <c r="D39">
        <v>38</v>
      </c>
      <c r="E39" s="4">
        <v>44570</v>
      </c>
      <c r="F39" t="s">
        <v>85</v>
      </c>
      <c r="H39" t="s">
        <v>102</v>
      </c>
      <c r="I39" t="s">
        <v>466</v>
      </c>
      <c r="J39" t="s">
        <v>41</v>
      </c>
      <c r="K39" s="9">
        <v>1.83125</v>
      </c>
      <c r="L39">
        <v>9</v>
      </c>
      <c r="M39">
        <v>18</v>
      </c>
      <c r="N39">
        <v>0.5</v>
      </c>
      <c r="O39">
        <v>2</v>
      </c>
      <c r="P39">
        <v>5</v>
      </c>
      <c r="Q39">
        <v>0.4</v>
      </c>
      <c r="R39">
        <v>7</v>
      </c>
      <c r="S39">
        <v>13</v>
      </c>
      <c r="T39">
        <v>0.53800000000000003</v>
      </c>
      <c r="U39">
        <v>0.55600000000000005</v>
      </c>
      <c r="V39">
        <v>6</v>
      </c>
      <c r="W39">
        <v>7</v>
      </c>
      <c r="X39">
        <v>0.85699999999999998</v>
      </c>
      <c r="Y39">
        <v>0</v>
      </c>
      <c r="Z39">
        <v>7</v>
      </c>
      <c r="AA39">
        <v>7</v>
      </c>
      <c r="AB39">
        <v>12</v>
      </c>
      <c r="AC39">
        <v>1</v>
      </c>
      <c r="AD39">
        <v>1</v>
      </c>
      <c r="AE39">
        <v>6</v>
      </c>
      <c r="AF39">
        <v>3</v>
      </c>
      <c r="AG39">
        <v>26</v>
      </c>
      <c r="AH39">
        <v>21.6</v>
      </c>
      <c r="AI39">
        <v>5</v>
      </c>
    </row>
    <row r="40" spans="1:35" ht="21" x14ac:dyDescent="0.3">
      <c r="A40" t="s">
        <v>548</v>
      </c>
      <c r="B40" s="11">
        <v>34</v>
      </c>
      <c r="D40">
        <v>39</v>
      </c>
      <c r="E40" s="4">
        <v>44571</v>
      </c>
      <c r="F40" t="s">
        <v>85</v>
      </c>
      <c r="G40" t="s">
        <v>37</v>
      </c>
      <c r="H40" t="s">
        <v>96</v>
      </c>
      <c r="I40" t="s">
        <v>467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  <c r="O40" t="s">
        <v>91</v>
      </c>
      <c r="P40" t="s">
        <v>91</v>
      </c>
      <c r="Q40" t="s">
        <v>91</v>
      </c>
      <c r="R40" t="s">
        <v>91</v>
      </c>
      <c r="S40" t="s">
        <v>91</v>
      </c>
      <c r="T40" t="s">
        <v>91</v>
      </c>
      <c r="U40" t="s">
        <v>91</v>
      </c>
      <c r="V40" t="s">
        <v>91</v>
      </c>
      <c r="W40" t="s">
        <v>91</v>
      </c>
      <c r="X40" t="s">
        <v>91</v>
      </c>
      <c r="Y40" t="s">
        <v>91</v>
      </c>
      <c r="Z40" t="s">
        <v>91</v>
      </c>
      <c r="AA40" t="s">
        <v>91</v>
      </c>
      <c r="AB40" t="s">
        <v>91</v>
      </c>
      <c r="AC40" t="s">
        <v>91</v>
      </c>
      <c r="AD40" t="s">
        <v>91</v>
      </c>
      <c r="AE40" t="s">
        <v>91</v>
      </c>
      <c r="AF40" t="s">
        <v>91</v>
      </c>
      <c r="AG40" t="s">
        <v>91</v>
      </c>
      <c r="AH40" t="s">
        <v>91</v>
      </c>
      <c r="AI40" t="s">
        <v>91</v>
      </c>
    </row>
    <row r="41" spans="1:35" ht="21" x14ac:dyDescent="0.3">
      <c r="A41" t="s">
        <v>548</v>
      </c>
      <c r="B41" s="11">
        <v>35</v>
      </c>
      <c r="C41">
        <v>912</v>
      </c>
      <c r="D41">
        <v>40</v>
      </c>
      <c r="E41" s="4">
        <v>44573</v>
      </c>
      <c r="F41" t="s">
        <v>85</v>
      </c>
      <c r="G41" t="s">
        <v>37</v>
      </c>
      <c r="H41" t="s">
        <v>82</v>
      </c>
      <c r="I41" t="s">
        <v>468</v>
      </c>
      <c r="J41" t="s">
        <v>41</v>
      </c>
      <c r="K41" s="9">
        <v>1.3861111111111111</v>
      </c>
      <c r="L41">
        <v>6</v>
      </c>
      <c r="M41">
        <v>13</v>
      </c>
      <c r="N41">
        <v>0.46200000000000002</v>
      </c>
      <c r="O41">
        <v>5</v>
      </c>
      <c r="P41">
        <v>8</v>
      </c>
      <c r="Q41">
        <v>0.625</v>
      </c>
      <c r="R41">
        <v>1</v>
      </c>
      <c r="S41">
        <v>5</v>
      </c>
      <c r="T41">
        <v>0.2</v>
      </c>
      <c r="U41">
        <v>0.65400000000000003</v>
      </c>
      <c r="V41">
        <v>8</v>
      </c>
      <c r="W41">
        <v>8</v>
      </c>
      <c r="X41">
        <v>1</v>
      </c>
      <c r="Y41">
        <v>1</v>
      </c>
      <c r="Z41">
        <v>6</v>
      </c>
      <c r="AA41">
        <v>7</v>
      </c>
      <c r="AB41">
        <v>16</v>
      </c>
      <c r="AC41">
        <v>1</v>
      </c>
      <c r="AD41">
        <v>1</v>
      </c>
      <c r="AE41">
        <v>2</v>
      </c>
      <c r="AF41">
        <v>0</v>
      </c>
      <c r="AG41">
        <v>25</v>
      </c>
      <c r="AH41">
        <v>31.7</v>
      </c>
      <c r="AI41">
        <v>24</v>
      </c>
    </row>
    <row r="42" spans="1:35" ht="21" x14ac:dyDescent="0.3">
      <c r="A42" t="s">
        <v>548</v>
      </c>
      <c r="B42" s="11">
        <v>36</v>
      </c>
      <c r="C42">
        <v>913</v>
      </c>
      <c r="D42">
        <v>41</v>
      </c>
      <c r="E42" s="4">
        <v>44574</v>
      </c>
      <c r="F42" t="s">
        <v>85</v>
      </c>
      <c r="H42" t="s">
        <v>68</v>
      </c>
      <c r="I42" t="s">
        <v>469</v>
      </c>
      <c r="J42" t="s">
        <v>41</v>
      </c>
      <c r="K42" s="9">
        <v>1.5152777777777777</v>
      </c>
      <c r="L42">
        <v>7</v>
      </c>
      <c r="M42">
        <v>22</v>
      </c>
      <c r="N42">
        <v>0.318</v>
      </c>
      <c r="O42">
        <v>3</v>
      </c>
      <c r="P42">
        <v>11</v>
      </c>
      <c r="Q42">
        <v>0.27300000000000002</v>
      </c>
      <c r="R42">
        <v>4</v>
      </c>
      <c r="S42">
        <v>11</v>
      </c>
      <c r="T42">
        <v>0.36399999999999999</v>
      </c>
      <c r="U42">
        <v>0.38600000000000001</v>
      </c>
      <c r="V42">
        <v>9</v>
      </c>
      <c r="W42">
        <v>9</v>
      </c>
      <c r="X42">
        <v>1</v>
      </c>
      <c r="Y42">
        <v>1</v>
      </c>
      <c r="Z42">
        <v>6</v>
      </c>
      <c r="AA42">
        <v>7</v>
      </c>
      <c r="AB42">
        <v>9</v>
      </c>
      <c r="AC42">
        <v>3</v>
      </c>
      <c r="AD42">
        <v>3</v>
      </c>
      <c r="AE42">
        <v>3</v>
      </c>
      <c r="AF42">
        <v>2</v>
      </c>
      <c r="AG42">
        <v>26</v>
      </c>
      <c r="AH42">
        <v>23.5</v>
      </c>
      <c r="AI42">
        <v>-9</v>
      </c>
    </row>
    <row r="43" spans="1:35" ht="21" x14ac:dyDescent="0.3">
      <c r="A43" t="s">
        <v>548</v>
      </c>
      <c r="B43" s="11">
        <v>37</v>
      </c>
      <c r="C43">
        <v>914</v>
      </c>
      <c r="D43">
        <v>42</v>
      </c>
      <c r="E43" s="4">
        <v>44576</v>
      </c>
      <c r="F43" t="s">
        <v>85</v>
      </c>
      <c r="H43" t="s">
        <v>74</v>
      </c>
      <c r="I43" t="s">
        <v>470</v>
      </c>
      <c r="J43" t="s">
        <v>41</v>
      </c>
      <c r="K43" s="9">
        <v>1.6736111111111112</v>
      </c>
      <c r="L43">
        <v>9</v>
      </c>
      <c r="M43">
        <v>15</v>
      </c>
      <c r="N43">
        <v>0.6</v>
      </c>
      <c r="O43">
        <v>2</v>
      </c>
      <c r="P43">
        <v>5</v>
      </c>
      <c r="Q43">
        <v>0.4</v>
      </c>
      <c r="R43">
        <v>7</v>
      </c>
      <c r="S43">
        <v>10</v>
      </c>
      <c r="T43">
        <v>0.7</v>
      </c>
      <c r="U43">
        <v>0.66700000000000004</v>
      </c>
      <c r="V43">
        <v>7</v>
      </c>
      <c r="W43">
        <v>8</v>
      </c>
      <c r="X43">
        <v>0.875</v>
      </c>
      <c r="Y43">
        <v>1</v>
      </c>
      <c r="Z43">
        <v>7</v>
      </c>
      <c r="AA43">
        <v>8</v>
      </c>
      <c r="AB43">
        <v>15</v>
      </c>
      <c r="AC43">
        <v>1</v>
      </c>
      <c r="AD43">
        <v>1</v>
      </c>
      <c r="AE43">
        <v>6</v>
      </c>
      <c r="AF43">
        <v>3</v>
      </c>
      <c r="AG43">
        <v>27</v>
      </c>
      <c r="AH43">
        <v>27.5</v>
      </c>
      <c r="AI43">
        <v>21</v>
      </c>
    </row>
    <row r="44" spans="1:35" ht="21" x14ac:dyDescent="0.3">
      <c r="A44" t="s">
        <v>548</v>
      </c>
      <c r="B44" s="11">
        <v>38</v>
      </c>
      <c r="C44">
        <v>915</v>
      </c>
      <c r="D44">
        <v>43</v>
      </c>
      <c r="E44" s="4">
        <v>44578</v>
      </c>
      <c r="F44" t="s">
        <v>85</v>
      </c>
      <c r="G44" t="s">
        <v>37</v>
      </c>
      <c r="H44" t="s">
        <v>87</v>
      </c>
      <c r="I44" t="s">
        <v>471</v>
      </c>
      <c r="J44" t="s">
        <v>41</v>
      </c>
      <c r="K44" s="9">
        <v>1.6840277777777777</v>
      </c>
      <c r="L44">
        <v>5</v>
      </c>
      <c r="M44">
        <v>12</v>
      </c>
      <c r="N44">
        <v>0.41699999999999998</v>
      </c>
      <c r="O44">
        <v>2</v>
      </c>
      <c r="P44">
        <v>4</v>
      </c>
      <c r="Q44">
        <v>0.5</v>
      </c>
      <c r="R44">
        <v>3</v>
      </c>
      <c r="S44">
        <v>8</v>
      </c>
      <c r="T44">
        <v>0.375</v>
      </c>
      <c r="U44">
        <v>0.5</v>
      </c>
      <c r="V44">
        <v>10</v>
      </c>
      <c r="W44">
        <v>15</v>
      </c>
      <c r="X44">
        <v>0.66700000000000004</v>
      </c>
      <c r="Y44">
        <v>2</v>
      </c>
      <c r="Z44">
        <v>5</v>
      </c>
      <c r="AA44">
        <v>7</v>
      </c>
      <c r="AB44">
        <v>10</v>
      </c>
      <c r="AC44">
        <v>2</v>
      </c>
      <c r="AD44">
        <v>0</v>
      </c>
      <c r="AE44">
        <v>4</v>
      </c>
      <c r="AF44">
        <v>2</v>
      </c>
      <c r="AG44">
        <v>22</v>
      </c>
      <c r="AH44">
        <v>20.7</v>
      </c>
      <c r="AI44">
        <v>-18</v>
      </c>
    </row>
    <row r="45" spans="1:35" ht="21" x14ac:dyDescent="0.3">
      <c r="A45" t="s">
        <v>548</v>
      </c>
      <c r="B45" s="11">
        <v>39</v>
      </c>
      <c r="C45">
        <v>916</v>
      </c>
      <c r="D45">
        <v>44</v>
      </c>
      <c r="E45" s="4">
        <v>44580</v>
      </c>
      <c r="F45" t="s">
        <v>85</v>
      </c>
      <c r="G45" t="s">
        <v>37</v>
      </c>
      <c r="H45" t="s">
        <v>155</v>
      </c>
      <c r="I45" t="s">
        <v>472</v>
      </c>
      <c r="J45" t="s">
        <v>41</v>
      </c>
      <c r="K45" s="9">
        <v>1.6354166666666667</v>
      </c>
      <c r="L45">
        <v>7</v>
      </c>
      <c r="M45">
        <v>21</v>
      </c>
      <c r="N45">
        <v>0.33300000000000002</v>
      </c>
      <c r="O45">
        <v>0</v>
      </c>
      <c r="P45">
        <v>5</v>
      </c>
      <c r="Q45">
        <v>0</v>
      </c>
      <c r="R45">
        <v>7</v>
      </c>
      <c r="S45">
        <v>16</v>
      </c>
      <c r="T45">
        <v>0.438</v>
      </c>
      <c r="U45">
        <v>0.33300000000000002</v>
      </c>
      <c r="V45">
        <v>4</v>
      </c>
      <c r="W45">
        <v>6</v>
      </c>
      <c r="X45">
        <v>0.66700000000000004</v>
      </c>
      <c r="Y45">
        <v>0</v>
      </c>
      <c r="Z45">
        <v>8</v>
      </c>
      <c r="AA45">
        <v>8</v>
      </c>
      <c r="AB45">
        <v>9</v>
      </c>
      <c r="AC45">
        <v>0</v>
      </c>
      <c r="AD45">
        <v>0</v>
      </c>
      <c r="AE45">
        <v>8</v>
      </c>
      <c r="AF45">
        <v>3</v>
      </c>
      <c r="AG45">
        <v>18</v>
      </c>
      <c r="AH45">
        <v>4.8</v>
      </c>
      <c r="AI45">
        <v>-8</v>
      </c>
    </row>
    <row r="46" spans="1:35" ht="21" x14ac:dyDescent="0.3">
      <c r="A46" t="s">
        <v>548</v>
      </c>
      <c r="B46" s="11">
        <v>40</v>
      </c>
      <c r="C46">
        <v>917</v>
      </c>
      <c r="D46">
        <v>45</v>
      </c>
      <c r="E46" s="4">
        <v>44582</v>
      </c>
      <c r="F46" t="s">
        <v>85</v>
      </c>
      <c r="G46" t="s">
        <v>37</v>
      </c>
      <c r="H46" t="s">
        <v>102</v>
      </c>
      <c r="I46" t="s">
        <v>214</v>
      </c>
      <c r="J46" t="s">
        <v>41</v>
      </c>
      <c r="K46" s="9">
        <v>1.5472222222222223</v>
      </c>
      <c r="L46">
        <v>13</v>
      </c>
      <c r="M46">
        <v>24</v>
      </c>
      <c r="N46">
        <v>0.54200000000000004</v>
      </c>
      <c r="O46">
        <v>4</v>
      </c>
      <c r="P46">
        <v>8</v>
      </c>
      <c r="Q46">
        <v>0.5</v>
      </c>
      <c r="R46">
        <v>9</v>
      </c>
      <c r="S46">
        <v>16</v>
      </c>
      <c r="T46">
        <v>0.56299999999999994</v>
      </c>
      <c r="U46">
        <v>0.625</v>
      </c>
      <c r="V46">
        <v>7</v>
      </c>
      <c r="W46">
        <v>7</v>
      </c>
      <c r="X46">
        <v>1</v>
      </c>
      <c r="Y46">
        <v>1</v>
      </c>
      <c r="Z46">
        <v>9</v>
      </c>
      <c r="AA46">
        <v>10</v>
      </c>
      <c r="AB46">
        <v>11</v>
      </c>
      <c r="AC46">
        <v>0</v>
      </c>
      <c r="AD46">
        <v>1</v>
      </c>
      <c r="AE46">
        <v>3</v>
      </c>
      <c r="AF46">
        <v>3</v>
      </c>
      <c r="AG46">
        <v>37</v>
      </c>
      <c r="AH46">
        <v>33</v>
      </c>
      <c r="AI46">
        <v>18</v>
      </c>
    </row>
    <row r="47" spans="1:35" ht="21" x14ac:dyDescent="0.3">
      <c r="A47" t="s">
        <v>548</v>
      </c>
      <c r="B47" s="11">
        <v>41</v>
      </c>
      <c r="C47">
        <v>918</v>
      </c>
      <c r="D47">
        <v>46</v>
      </c>
      <c r="E47" s="4">
        <v>44584</v>
      </c>
      <c r="F47" t="s">
        <v>85</v>
      </c>
      <c r="G47" t="s">
        <v>37</v>
      </c>
      <c r="H47" t="s">
        <v>80</v>
      </c>
      <c r="I47" t="s">
        <v>473</v>
      </c>
      <c r="J47" t="s">
        <v>41</v>
      </c>
      <c r="K47" s="9">
        <v>1.4597222222222221</v>
      </c>
      <c r="L47">
        <v>4</v>
      </c>
      <c r="M47">
        <v>13</v>
      </c>
      <c r="N47">
        <v>0.308</v>
      </c>
      <c r="O47">
        <v>1</v>
      </c>
      <c r="P47">
        <v>4</v>
      </c>
      <c r="Q47">
        <v>0.25</v>
      </c>
      <c r="R47">
        <v>3</v>
      </c>
      <c r="S47">
        <v>9</v>
      </c>
      <c r="T47">
        <v>0.33300000000000002</v>
      </c>
      <c r="U47">
        <v>0.34599999999999997</v>
      </c>
      <c r="V47">
        <v>4</v>
      </c>
      <c r="W47">
        <v>4</v>
      </c>
      <c r="X47">
        <v>1</v>
      </c>
      <c r="Y47">
        <v>0</v>
      </c>
      <c r="Z47">
        <v>5</v>
      </c>
      <c r="AA47">
        <v>5</v>
      </c>
      <c r="AB47">
        <v>13</v>
      </c>
      <c r="AC47">
        <v>1</v>
      </c>
      <c r="AD47">
        <v>0</v>
      </c>
      <c r="AE47">
        <v>6</v>
      </c>
      <c r="AF47">
        <v>2</v>
      </c>
      <c r="AG47">
        <v>13</v>
      </c>
      <c r="AH47">
        <v>10.3</v>
      </c>
      <c r="AI47">
        <v>-14</v>
      </c>
    </row>
    <row r="48" spans="1:35" ht="21" x14ac:dyDescent="0.3">
      <c r="A48" t="s">
        <v>548</v>
      </c>
      <c r="B48" s="11">
        <v>42</v>
      </c>
      <c r="C48">
        <v>919</v>
      </c>
      <c r="D48">
        <v>47</v>
      </c>
      <c r="E48" s="4">
        <v>44586</v>
      </c>
      <c r="F48" t="s">
        <v>85</v>
      </c>
      <c r="H48" t="s">
        <v>62</v>
      </c>
      <c r="I48" t="s">
        <v>474</v>
      </c>
      <c r="J48" t="s">
        <v>41</v>
      </c>
      <c r="K48" s="9">
        <v>1.5986111111111112</v>
      </c>
      <c r="L48">
        <v>11</v>
      </c>
      <c r="M48">
        <v>24</v>
      </c>
      <c r="N48">
        <v>0.45800000000000002</v>
      </c>
      <c r="O48">
        <v>2</v>
      </c>
      <c r="P48">
        <v>7</v>
      </c>
      <c r="Q48">
        <v>0.28599999999999998</v>
      </c>
      <c r="R48">
        <v>9</v>
      </c>
      <c r="S48">
        <v>17</v>
      </c>
      <c r="T48">
        <v>0.52900000000000003</v>
      </c>
      <c r="U48">
        <v>0.5</v>
      </c>
      <c r="V48">
        <v>9</v>
      </c>
      <c r="W48">
        <v>9</v>
      </c>
      <c r="X48">
        <v>1</v>
      </c>
      <c r="Y48">
        <v>3</v>
      </c>
      <c r="Z48">
        <v>9</v>
      </c>
      <c r="AA48">
        <v>12</v>
      </c>
      <c r="AB48">
        <v>11</v>
      </c>
      <c r="AC48">
        <v>2</v>
      </c>
      <c r="AD48">
        <v>1</v>
      </c>
      <c r="AE48">
        <v>6</v>
      </c>
      <c r="AF48">
        <v>1</v>
      </c>
      <c r="AG48">
        <v>33</v>
      </c>
      <c r="AH48">
        <v>29.4</v>
      </c>
      <c r="AI48">
        <v>-12</v>
      </c>
    </row>
    <row r="49" spans="1:35" ht="21" x14ac:dyDescent="0.3">
      <c r="A49" t="s">
        <v>548</v>
      </c>
      <c r="B49" s="11">
        <v>42</v>
      </c>
      <c r="D49">
        <v>48</v>
      </c>
      <c r="E49" s="4">
        <v>44587</v>
      </c>
      <c r="F49" t="s">
        <v>85</v>
      </c>
      <c r="H49" t="s">
        <v>34</v>
      </c>
      <c r="I49" t="s">
        <v>475</v>
      </c>
      <c r="J49" t="s">
        <v>210</v>
      </c>
      <c r="K49" t="s">
        <v>210</v>
      </c>
      <c r="L49" t="s">
        <v>210</v>
      </c>
      <c r="M49" t="s">
        <v>210</v>
      </c>
      <c r="N49" t="s">
        <v>210</v>
      </c>
      <c r="O49" t="s">
        <v>210</v>
      </c>
      <c r="P49" t="s">
        <v>210</v>
      </c>
      <c r="Q49" t="s">
        <v>210</v>
      </c>
      <c r="R49" t="s">
        <v>210</v>
      </c>
      <c r="S49" t="s">
        <v>210</v>
      </c>
      <c r="T49" t="s">
        <v>210</v>
      </c>
      <c r="U49" t="s">
        <v>210</v>
      </c>
      <c r="V49" t="s">
        <v>210</v>
      </c>
      <c r="W49" t="s">
        <v>210</v>
      </c>
      <c r="X49" t="s">
        <v>210</v>
      </c>
      <c r="Y49" t="s">
        <v>210</v>
      </c>
      <c r="Z49" t="s">
        <v>210</v>
      </c>
      <c r="AA49" t="s">
        <v>210</v>
      </c>
      <c r="AB49" t="s">
        <v>210</v>
      </c>
      <c r="AC49" t="s">
        <v>210</v>
      </c>
      <c r="AD49" t="s">
        <v>210</v>
      </c>
      <c r="AE49" t="s">
        <v>210</v>
      </c>
      <c r="AF49" t="s">
        <v>210</v>
      </c>
      <c r="AG49" t="s">
        <v>210</v>
      </c>
      <c r="AH49" t="s">
        <v>210</v>
      </c>
      <c r="AI49" t="s">
        <v>210</v>
      </c>
    </row>
    <row r="50" spans="1:35" ht="21" x14ac:dyDescent="0.3">
      <c r="A50" t="s">
        <v>548</v>
      </c>
      <c r="B50" s="11">
        <v>42</v>
      </c>
      <c r="D50">
        <v>49</v>
      </c>
      <c r="E50" s="4">
        <v>44590</v>
      </c>
      <c r="F50" t="s">
        <v>85</v>
      </c>
      <c r="G50" t="s">
        <v>37</v>
      </c>
      <c r="H50" t="s">
        <v>33</v>
      </c>
      <c r="I50" t="s">
        <v>476</v>
      </c>
      <c r="J50" t="s">
        <v>358</v>
      </c>
      <c r="K50" t="s">
        <v>358</v>
      </c>
      <c r="L50" t="s">
        <v>358</v>
      </c>
      <c r="M50" t="s">
        <v>358</v>
      </c>
      <c r="N50" t="s">
        <v>358</v>
      </c>
      <c r="O50" t="s">
        <v>358</v>
      </c>
      <c r="P50" t="s">
        <v>358</v>
      </c>
      <c r="Q50" t="s">
        <v>358</v>
      </c>
      <c r="R50" t="s">
        <v>358</v>
      </c>
      <c r="S50" t="s">
        <v>358</v>
      </c>
      <c r="T50" t="s">
        <v>358</v>
      </c>
      <c r="U50" t="s">
        <v>358</v>
      </c>
      <c r="V50" t="s">
        <v>358</v>
      </c>
      <c r="W50" t="s">
        <v>358</v>
      </c>
      <c r="X50" t="s">
        <v>358</v>
      </c>
      <c r="Y50" t="s">
        <v>358</v>
      </c>
      <c r="Z50" t="s">
        <v>358</v>
      </c>
      <c r="AA50" t="s">
        <v>358</v>
      </c>
      <c r="AB50" t="s">
        <v>358</v>
      </c>
      <c r="AC50" t="s">
        <v>358</v>
      </c>
      <c r="AD50" t="s">
        <v>358</v>
      </c>
      <c r="AE50" t="s">
        <v>358</v>
      </c>
      <c r="AF50" t="s">
        <v>358</v>
      </c>
      <c r="AG50" t="s">
        <v>358</v>
      </c>
      <c r="AH50" t="s">
        <v>358</v>
      </c>
      <c r="AI50" t="s">
        <v>358</v>
      </c>
    </row>
    <row r="51" spans="1:35" ht="21" x14ac:dyDescent="0.3">
      <c r="A51" t="s">
        <v>548</v>
      </c>
      <c r="B51" s="11">
        <v>43</v>
      </c>
      <c r="C51">
        <v>920</v>
      </c>
      <c r="D51">
        <v>50</v>
      </c>
      <c r="E51" s="4">
        <v>44593</v>
      </c>
      <c r="F51" t="s">
        <v>85</v>
      </c>
      <c r="G51" t="s">
        <v>37</v>
      </c>
      <c r="H51" t="s">
        <v>99</v>
      </c>
      <c r="I51" t="s">
        <v>477</v>
      </c>
      <c r="J51" t="s">
        <v>41</v>
      </c>
      <c r="K51" s="9">
        <v>1.5465277777777777</v>
      </c>
      <c r="L51">
        <v>6</v>
      </c>
      <c r="M51">
        <v>19</v>
      </c>
      <c r="N51">
        <v>0.316</v>
      </c>
      <c r="O51">
        <v>3</v>
      </c>
      <c r="P51">
        <v>8</v>
      </c>
      <c r="Q51">
        <v>0.375</v>
      </c>
      <c r="R51">
        <v>3</v>
      </c>
      <c r="S51">
        <v>11</v>
      </c>
      <c r="T51">
        <v>0.27300000000000002</v>
      </c>
      <c r="U51">
        <v>0.39500000000000002</v>
      </c>
      <c r="V51">
        <v>7</v>
      </c>
      <c r="W51">
        <v>9</v>
      </c>
      <c r="X51">
        <v>0.77800000000000002</v>
      </c>
      <c r="Y51">
        <v>1</v>
      </c>
      <c r="Z51">
        <v>4</v>
      </c>
      <c r="AA51">
        <v>5</v>
      </c>
      <c r="AB51">
        <v>10</v>
      </c>
      <c r="AC51">
        <v>1</v>
      </c>
      <c r="AD51">
        <v>0</v>
      </c>
      <c r="AE51">
        <v>4</v>
      </c>
      <c r="AF51">
        <v>1</v>
      </c>
      <c r="AG51">
        <v>22</v>
      </c>
      <c r="AH51">
        <v>15.8</v>
      </c>
      <c r="AI51">
        <v>-11</v>
      </c>
    </row>
    <row r="52" spans="1:35" ht="21" x14ac:dyDescent="0.3">
      <c r="A52" t="s">
        <v>548</v>
      </c>
      <c r="B52" s="11">
        <v>44</v>
      </c>
      <c r="C52">
        <v>921</v>
      </c>
      <c r="D52">
        <v>51</v>
      </c>
      <c r="E52" s="4">
        <v>44594</v>
      </c>
      <c r="F52" t="s">
        <v>85</v>
      </c>
      <c r="G52" t="s">
        <v>37</v>
      </c>
      <c r="H52" t="s">
        <v>66</v>
      </c>
      <c r="I52" t="s">
        <v>478</v>
      </c>
      <c r="J52" t="s">
        <v>41</v>
      </c>
      <c r="K52" s="9">
        <v>1.54375</v>
      </c>
      <c r="L52">
        <v>2</v>
      </c>
      <c r="M52">
        <v>11</v>
      </c>
      <c r="N52">
        <v>0.182</v>
      </c>
      <c r="O52">
        <v>0</v>
      </c>
      <c r="P52">
        <v>5</v>
      </c>
      <c r="Q52">
        <v>0</v>
      </c>
      <c r="R52">
        <v>2</v>
      </c>
      <c r="S52">
        <v>6</v>
      </c>
      <c r="T52">
        <v>0.33300000000000002</v>
      </c>
      <c r="U52">
        <v>0.182</v>
      </c>
      <c r="V52">
        <v>0</v>
      </c>
      <c r="W52">
        <v>0</v>
      </c>
      <c r="Y52">
        <v>0</v>
      </c>
      <c r="Z52">
        <v>7</v>
      </c>
      <c r="AA52">
        <v>7</v>
      </c>
      <c r="AB52">
        <v>12</v>
      </c>
      <c r="AC52">
        <v>0</v>
      </c>
      <c r="AD52">
        <v>1</v>
      </c>
      <c r="AE52">
        <v>6</v>
      </c>
      <c r="AF52">
        <v>3</v>
      </c>
      <c r="AG52">
        <v>4</v>
      </c>
      <c r="AH52">
        <v>1.1000000000000001</v>
      </c>
      <c r="AI52">
        <v>-21</v>
      </c>
    </row>
    <row r="53" spans="1:35" ht="21" x14ac:dyDescent="0.3">
      <c r="A53" t="s">
        <v>548</v>
      </c>
      <c r="B53" s="11">
        <v>44</v>
      </c>
      <c r="D53">
        <v>52</v>
      </c>
      <c r="E53" s="4">
        <v>44596</v>
      </c>
      <c r="F53" t="s">
        <v>85</v>
      </c>
      <c r="G53" t="s">
        <v>37</v>
      </c>
      <c r="H53" t="s">
        <v>118</v>
      </c>
      <c r="I53" t="s">
        <v>479</v>
      </c>
      <c r="J53" t="s">
        <v>210</v>
      </c>
      <c r="K53" t="s">
        <v>210</v>
      </c>
      <c r="L53" t="s">
        <v>210</v>
      </c>
      <c r="M53" t="s">
        <v>210</v>
      </c>
      <c r="N53" t="s">
        <v>210</v>
      </c>
      <c r="O53" t="s">
        <v>210</v>
      </c>
      <c r="P53" t="s">
        <v>210</v>
      </c>
      <c r="Q53" t="s">
        <v>210</v>
      </c>
      <c r="R53" t="s">
        <v>210</v>
      </c>
      <c r="S53" t="s">
        <v>210</v>
      </c>
      <c r="T53" t="s">
        <v>210</v>
      </c>
      <c r="U53" t="s">
        <v>210</v>
      </c>
      <c r="V53" t="s">
        <v>210</v>
      </c>
      <c r="W53" t="s">
        <v>210</v>
      </c>
      <c r="X53" t="s">
        <v>210</v>
      </c>
      <c r="Y53" t="s">
        <v>210</v>
      </c>
      <c r="Z53" t="s">
        <v>210</v>
      </c>
      <c r="AA53" t="s">
        <v>210</v>
      </c>
      <c r="AB53" t="s">
        <v>210</v>
      </c>
      <c r="AC53" t="s">
        <v>210</v>
      </c>
      <c r="AD53" t="s">
        <v>210</v>
      </c>
      <c r="AE53" t="s">
        <v>210</v>
      </c>
      <c r="AF53" t="s">
        <v>210</v>
      </c>
      <c r="AG53" t="s">
        <v>210</v>
      </c>
      <c r="AH53" t="s">
        <v>210</v>
      </c>
      <c r="AI53" t="s">
        <v>210</v>
      </c>
    </row>
    <row r="54" spans="1:35" ht="21" x14ac:dyDescent="0.3">
      <c r="A54" t="s">
        <v>548</v>
      </c>
      <c r="B54" s="11">
        <v>44</v>
      </c>
      <c r="D54">
        <v>53</v>
      </c>
      <c r="E54" s="4">
        <v>44598</v>
      </c>
      <c r="F54" t="s">
        <v>85</v>
      </c>
      <c r="G54" t="s">
        <v>37</v>
      </c>
      <c r="H54" t="s">
        <v>34</v>
      </c>
      <c r="I54" t="s">
        <v>256</v>
      </c>
      <c r="J54" t="s">
        <v>358</v>
      </c>
      <c r="K54" t="s">
        <v>358</v>
      </c>
      <c r="L54" t="s">
        <v>358</v>
      </c>
      <c r="M54" t="s">
        <v>358</v>
      </c>
      <c r="N54" t="s">
        <v>358</v>
      </c>
      <c r="O54" t="s">
        <v>358</v>
      </c>
      <c r="P54" t="s">
        <v>358</v>
      </c>
      <c r="Q54" t="s">
        <v>358</v>
      </c>
      <c r="R54" t="s">
        <v>358</v>
      </c>
      <c r="S54" t="s">
        <v>358</v>
      </c>
      <c r="T54" t="s">
        <v>358</v>
      </c>
      <c r="U54" t="s">
        <v>358</v>
      </c>
      <c r="V54" t="s">
        <v>358</v>
      </c>
      <c r="W54" t="s">
        <v>358</v>
      </c>
      <c r="X54" t="s">
        <v>358</v>
      </c>
      <c r="Y54" t="s">
        <v>358</v>
      </c>
      <c r="Z54" t="s">
        <v>358</v>
      </c>
      <c r="AA54" t="s">
        <v>358</v>
      </c>
      <c r="AB54" t="s">
        <v>358</v>
      </c>
      <c r="AC54" t="s">
        <v>358</v>
      </c>
      <c r="AD54" t="s">
        <v>358</v>
      </c>
      <c r="AE54" t="s">
        <v>358</v>
      </c>
      <c r="AF54" t="s">
        <v>358</v>
      </c>
      <c r="AG54" t="s">
        <v>358</v>
      </c>
      <c r="AH54" t="s">
        <v>358</v>
      </c>
      <c r="AI54" t="s">
        <v>358</v>
      </c>
    </row>
    <row r="55" spans="1:35" ht="21" x14ac:dyDescent="0.3">
      <c r="A55" t="s">
        <v>548</v>
      </c>
      <c r="B55" s="11">
        <v>44</v>
      </c>
      <c r="D55">
        <v>54</v>
      </c>
      <c r="E55" s="4">
        <v>44600</v>
      </c>
      <c r="F55" t="s">
        <v>85</v>
      </c>
      <c r="H55" t="s">
        <v>55</v>
      </c>
      <c r="I55" t="s">
        <v>480</v>
      </c>
      <c r="J55" t="s">
        <v>210</v>
      </c>
      <c r="K55" t="s">
        <v>210</v>
      </c>
      <c r="L55" t="s">
        <v>210</v>
      </c>
      <c r="M55" t="s">
        <v>210</v>
      </c>
      <c r="N55" t="s">
        <v>210</v>
      </c>
      <c r="O55" t="s">
        <v>210</v>
      </c>
      <c r="P55" t="s">
        <v>210</v>
      </c>
      <c r="Q55" t="s">
        <v>210</v>
      </c>
      <c r="R55" t="s">
        <v>210</v>
      </c>
      <c r="S55" t="s">
        <v>210</v>
      </c>
      <c r="T55" t="s">
        <v>210</v>
      </c>
      <c r="U55" t="s">
        <v>210</v>
      </c>
      <c r="V55" t="s">
        <v>210</v>
      </c>
      <c r="W55" t="s">
        <v>210</v>
      </c>
      <c r="X55" t="s">
        <v>210</v>
      </c>
      <c r="Y55" t="s">
        <v>210</v>
      </c>
      <c r="Z55" t="s">
        <v>210</v>
      </c>
      <c r="AA55" t="s">
        <v>210</v>
      </c>
      <c r="AB55" t="s">
        <v>210</v>
      </c>
      <c r="AC55" t="s">
        <v>210</v>
      </c>
      <c r="AD55" t="s">
        <v>210</v>
      </c>
      <c r="AE55" t="s">
        <v>210</v>
      </c>
      <c r="AF55" t="s">
        <v>210</v>
      </c>
      <c r="AG55" t="s">
        <v>210</v>
      </c>
      <c r="AH55" t="s">
        <v>210</v>
      </c>
      <c r="AI55" t="s">
        <v>210</v>
      </c>
    </row>
    <row r="56" spans="1:35" ht="21" x14ac:dyDescent="0.3">
      <c r="A56" t="s">
        <v>548</v>
      </c>
      <c r="B56" s="11">
        <v>44</v>
      </c>
      <c r="D56">
        <v>55</v>
      </c>
      <c r="E56" s="4">
        <v>44602</v>
      </c>
      <c r="F56" t="s">
        <v>85</v>
      </c>
      <c r="G56" t="s">
        <v>37</v>
      </c>
      <c r="H56" t="s">
        <v>155</v>
      </c>
      <c r="I56" t="s">
        <v>481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  <c r="O56" t="s">
        <v>91</v>
      </c>
      <c r="P56" t="s">
        <v>91</v>
      </c>
      <c r="Q56" t="s">
        <v>91</v>
      </c>
      <c r="R56" t="s">
        <v>91</v>
      </c>
      <c r="S56" t="s">
        <v>91</v>
      </c>
      <c r="T56" t="s">
        <v>91</v>
      </c>
      <c r="U56" t="s">
        <v>91</v>
      </c>
      <c r="V56" t="s">
        <v>91</v>
      </c>
      <c r="W56" t="s">
        <v>91</v>
      </c>
      <c r="X56" t="s">
        <v>91</v>
      </c>
      <c r="Y56" t="s">
        <v>91</v>
      </c>
      <c r="Z56" t="s">
        <v>91</v>
      </c>
      <c r="AA56" t="s">
        <v>91</v>
      </c>
      <c r="AB56" t="s">
        <v>91</v>
      </c>
      <c r="AC56" t="s">
        <v>91</v>
      </c>
      <c r="AD56" t="s">
        <v>91</v>
      </c>
      <c r="AE56" t="s">
        <v>91</v>
      </c>
      <c r="AF56" t="s">
        <v>91</v>
      </c>
      <c r="AG56" t="s">
        <v>91</v>
      </c>
      <c r="AH56" t="s">
        <v>91</v>
      </c>
      <c r="AI56" t="s">
        <v>91</v>
      </c>
    </row>
    <row r="57" spans="1:35" ht="21" x14ac:dyDescent="0.3">
      <c r="A57" t="s">
        <v>548</v>
      </c>
      <c r="B57" s="11">
        <v>44</v>
      </c>
      <c r="D57">
        <v>55</v>
      </c>
      <c r="E57" s="4">
        <v>44603</v>
      </c>
      <c r="F57" t="s">
        <v>94</v>
      </c>
      <c r="H57" t="s">
        <v>68</v>
      </c>
      <c r="I57" t="s">
        <v>482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  <c r="O57" t="s">
        <v>91</v>
      </c>
      <c r="P57" t="s">
        <v>91</v>
      </c>
      <c r="Q57" t="s">
        <v>91</v>
      </c>
      <c r="R57" t="s">
        <v>91</v>
      </c>
      <c r="S57" t="s">
        <v>91</v>
      </c>
      <c r="T57" t="s">
        <v>91</v>
      </c>
      <c r="U57" t="s">
        <v>91</v>
      </c>
      <c r="V57" t="s">
        <v>91</v>
      </c>
      <c r="W57" t="s">
        <v>91</v>
      </c>
      <c r="X57" t="s">
        <v>91</v>
      </c>
      <c r="Y57" t="s">
        <v>91</v>
      </c>
      <c r="Z57" t="s">
        <v>91</v>
      </c>
      <c r="AA57" t="s">
        <v>91</v>
      </c>
      <c r="AB57" t="s">
        <v>91</v>
      </c>
      <c r="AC57" t="s">
        <v>91</v>
      </c>
      <c r="AD57" t="s">
        <v>91</v>
      </c>
      <c r="AE57" t="s">
        <v>91</v>
      </c>
      <c r="AF57" t="s">
        <v>91</v>
      </c>
      <c r="AG57" t="s">
        <v>91</v>
      </c>
      <c r="AH57" t="s">
        <v>91</v>
      </c>
      <c r="AI57" t="s">
        <v>91</v>
      </c>
    </row>
    <row r="58" spans="1:35" ht="21" x14ac:dyDescent="0.3">
      <c r="A58" t="s">
        <v>548</v>
      </c>
      <c r="B58" s="11">
        <v>44</v>
      </c>
      <c r="D58">
        <v>56</v>
      </c>
      <c r="E58" s="4">
        <v>44604</v>
      </c>
      <c r="F58" t="s">
        <v>94</v>
      </c>
      <c r="H58" t="s">
        <v>87</v>
      </c>
      <c r="I58" t="s">
        <v>483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  <c r="O58" t="s">
        <v>91</v>
      </c>
      <c r="P58" t="s">
        <v>91</v>
      </c>
      <c r="Q58" t="s">
        <v>91</v>
      </c>
      <c r="R58" t="s">
        <v>91</v>
      </c>
      <c r="S58" t="s">
        <v>91</v>
      </c>
      <c r="T58" t="s">
        <v>91</v>
      </c>
      <c r="U58" t="s">
        <v>91</v>
      </c>
      <c r="V58" t="s">
        <v>91</v>
      </c>
      <c r="W58" t="s">
        <v>91</v>
      </c>
      <c r="X58" t="s">
        <v>91</v>
      </c>
      <c r="Y58" t="s">
        <v>91</v>
      </c>
      <c r="Z58" t="s">
        <v>91</v>
      </c>
      <c r="AA58" t="s">
        <v>91</v>
      </c>
      <c r="AB58" t="s">
        <v>91</v>
      </c>
      <c r="AC58" t="s">
        <v>91</v>
      </c>
      <c r="AD58" t="s">
        <v>91</v>
      </c>
      <c r="AE58" t="s">
        <v>91</v>
      </c>
      <c r="AF58" t="s">
        <v>91</v>
      </c>
      <c r="AG58" t="s">
        <v>91</v>
      </c>
      <c r="AH58" t="s">
        <v>91</v>
      </c>
      <c r="AI58" t="s">
        <v>91</v>
      </c>
    </row>
    <row r="59" spans="1:35" ht="21" x14ac:dyDescent="0.3">
      <c r="A59" t="s">
        <v>548</v>
      </c>
      <c r="B59" s="11">
        <v>44</v>
      </c>
      <c r="D59">
        <v>57</v>
      </c>
      <c r="E59" s="4">
        <v>44607</v>
      </c>
      <c r="F59" t="s">
        <v>94</v>
      </c>
      <c r="H59" t="s">
        <v>55</v>
      </c>
      <c r="I59" t="s">
        <v>484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  <c r="O59" t="s">
        <v>91</v>
      </c>
      <c r="P59" t="s">
        <v>91</v>
      </c>
      <c r="Q59" t="s">
        <v>91</v>
      </c>
      <c r="R59" t="s">
        <v>91</v>
      </c>
      <c r="S59" t="s">
        <v>91</v>
      </c>
      <c r="T59" t="s">
        <v>91</v>
      </c>
      <c r="U59" t="s">
        <v>91</v>
      </c>
      <c r="V59" t="s">
        <v>91</v>
      </c>
      <c r="W59" t="s">
        <v>91</v>
      </c>
      <c r="X59" t="s">
        <v>91</v>
      </c>
      <c r="Y59" t="s">
        <v>91</v>
      </c>
      <c r="Z59" t="s">
        <v>91</v>
      </c>
      <c r="AA59" t="s">
        <v>91</v>
      </c>
      <c r="AB59" t="s">
        <v>91</v>
      </c>
      <c r="AC59" t="s">
        <v>91</v>
      </c>
      <c r="AD59" t="s">
        <v>91</v>
      </c>
      <c r="AE59" t="s">
        <v>91</v>
      </c>
      <c r="AF59" t="s">
        <v>91</v>
      </c>
      <c r="AG59" t="s">
        <v>91</v>
      </c>
      <c r="AH59" t="s">
        <v>91</v>
      </c>
      <c r="AI59" t="s">
        <v>91</v>
      </c>
    </row>
    <row r="60" spans="1:35" ht="21" x14ac:dyDescent="0.3">
      <c r="A60" t="s">
        <v>548</v>
      </c>
      <c r="B60" s="11">
        <v>44</v>
      </c>
      <c r="D60">
        <v>58</v>
      </c>
      <c r="E60" s="4">
        <v>44609</v>
      </c>
      <c r="F60" t="s">
        <v>94</v>
      </c>
      <c r="G60" t="s">
        <v>37</v>
      </c>
      <c r="H60" t="s">
        <v>126</v>
      </c>
      <c r="I60" t="s">
        <v>485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  <c r="O60" t="s">
        <v>91</v>
      </c>
      <c r="P60" t="s">
        <v>91</v>
      </c>
      <c r="Q60" t="s">
        <v>91</v>
      </c>
      <c r="R60" t="s">
        <v>91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91</v>
      </c>
      <c r="Y60" t="s">
        <v>91</v>
      </c>
      <c r="Z60" t="s">
        <v>91</v>
      </c>
      <c r="AA60" t="s">
        <v>91</v>
      </c>
      <c r="AB60" t="s">
        <v>91</v>
      </c>
      <c r="AC60" t="s">
        <v>91</v>
      </c>
      <c r="AD60" t="s">
        <v>91</v>
      </c>
      <c r="AE60" t="s">
        <v>91</v>
      </c>
      <c r="AF60" t="s">
        <v>91</v>
      </c>
      <c r="AG60" t="s">
        <v>91</v>
      </c>
      <c r="AH60" t="s">
        <v>91</v>
      </c>
      <c r="AI60" t="s">
        <v>91</v>
      </c>
    </row>
    <row r="61" spans="1:35" ht="21" x14ac:dyDescent="0.3">
      <c r="A61" t="s">
        <v>548</v>
      </c>
      <c r="B61" s="11">
        <v>45</v>
      </c>
      <c r="C61">
        <v>922</v>
      </c>
      <c r="D61">
        <v>59</v>
      </c>
      <c r="E61" s="4">
        <v>44617</v>
      </c>
      <c r="F61" t="s">
        <v>94</v>
      </c>
      <c r="G61" t="s">
        <v>37</v>
      </c>
      <c r="H61" t="s">
        <v>80</v>
      </c>
      <c r="I61" t="s">
        <v>486</v>
      </c>
      <c r="J61" t="s">
        <v>41</v>
      </c>
      <c r="K61" s="9">
        <v>1.4652777777777777</v>
      </c>
      <c r="L61">
        <v>7</v>
      </c>
      <c r="M61">
        <v>12</v>
      </c>
      <c r="N61">
        <v>0.58299999999999996</v>
      </c>
      <c r="O61">
        <v>5</v>
      </c>
      <c r="P61">
        <v>7</v>
      </c>
      <c r="Q61">
        <v>0.71399999999999997</v>
      </c>
      <c r="R61">
        <v>2</v>
      </c>
      <c r="S61">
        <v>5</v>
      </c>
      <c r="T61">
        <v>0.4</v>
      </c>
      <c r="U61">
        <v>0.79200000000000004</v>
      </c>
      <c r="V61">
        <v>8</v>
      </c>
      <c r="W61">
        <v>9</v>
      </c>
      <c r="X61">
        <v>0.88900000000000001</v>
      </c>
      <c r="Y61">
        <v>1</v>
      </c>
      <c r="Z61">
        <v>7</v>
      </c>
      <c r="AA61">
        <v>8</v>
      </c>
      <c r="AB61">
        <v>12</v>
      </c>
      <c r="AC61">
        <v>0</v>
      </c>
      <c r="AD61">
        <v>0</v>
      </c>
      <c r="AE61">
        <v>2</v>
      </c>
      <c r="AF61">
        <v>4</v>
      </c>
      <c r="AG61">
        <v>27</v>
      </c>
      <c r="AH61">
        <v>28.6</v>
      </c>
      <c r="AI61">
        <v>35</v>
      </c>
    </row>
    <row r="62" spans="1:35" ht="21" x14ac:dyDescent="0.3">
      <c r="A62" t="s">
        <v>548</v>
      </c>
      <c r="B62" s="11">
        <v>46</v>
      </c>
      <c r="C62">
        <v>923</v>
      </c>
      <c r="D62">
        <v>60</v>
      </c>
      <c r="E62" s="4">
        <v>44619</v>
      </c>
      <c r="F62" t="s">
        <v>94</v>
      </c>
      <c r="G62" t="s">
        <v>37</v>
      </c>
      <c r="H62" t="s">
        <v>110</v>
      </c>
      <c r="I62" t="s">
        <v>487</v>
      </c>
      <c r="J62" t="s">
        <v>41</v>
      </c>
      <c r="K62" s="9">
        <v>1.6333333333333333</v>
      </c>
      <c r="L62">
        <v>8</v>
      </c>
      <c r="M62">
        <v>14</v>
      </c>
      <c r="N62">
        <v>0.57099999999999995</v>
      </c>
      <c r="O62">
        <v>3</v>
      </c>
      <c r="P62">
        <v>7</v>
      </c>
      <c r="Q62">
        <v>0.42899999999999999</v>
      </c>
      <c r="R62">
        <v>5</v>
      </c>
      <c r="S62">
        <v>7</v>
      </c>
      <c r="T62">
        <v>0.71399999999999997</v>
      </c>
      <c r="U62">
        <v>0.67900000000000005</v>
      </c>
      <c r="V62">
        <v>10</v>
      </c>
      <c r="W62">
        <v>10</v>
      </c>
      <c r="X62">
        <v>1</v>
      </c>
      <c r="Y62">
        <v>0</v>
      </c>
      <c r="Z62">
        <v>10</v>
      </c>
      <c r="AA62">
        <v>10</v>
      </c>
      <c r="AB62">
        <v>16</v>
      </c>
      <c r="AC62">
        <v>5</v>
      </c>
      <c r="AD62">
        <v>0</v>
      </c>
      <c r="AE62">
        <v>3</v>
      </c>
      <c r="AF62">
        <v>4</v>
      </c>
      <c r="AG62">
        <v>29</v>
      </c>
      <c r="AH62">
        <v>37</v>
      </c>
      <c r="AI62">
        <v>19</v>
      </c>
    </row>
    <row r="63" spans="1:35" ht="21" x14ac:dyDescent="0.3">
      <c r="A63" t="s">
        <v>548</v>
      </c>
      <c r="B63" s="11">
        <v>47</v>
      </c>
      <c r="C63">
        <v>924</v>
      </c>
      <c r="D63">
        <v>61</v>
      </c>
      <c r="E63" s="4">
        <v>44622</v>
      </c>
      <c r="F63" t="s">
        <v>94</v>
      </c>
      <c r="H63" t="s">
        <v>110</v>
      </c>
      <c r="I63" t="s">
        <v>488</v>
      </c>
      <c r="J63" t="s">
        <v>41</v>
      </c>
      <c r="K63" s="9">
        <v>1.4875</v>
      </c>
      <c r="L63">
        <v>8</v>
      </c>
      <c r="M63">
        <v>13</v>
      </c>
      <c r="N63">
        <v>0.61499999999999999</v>
      </c>
      <c r="O63">
        <v>2</v>
      </c>
      <c r="P63">
        <v>6</v>
      </c>
      <c r="Q63">
        <v>0.33300000000000002</v>
      </c>
      <c r="R63">
        <v>6</v>
      </c>
      <c r="S63">
        <v>7</v>
      </c>
      <c r="T63">
        <v>0.85699999999999998</v>
      </c>
      <c r="U63">
        <v>0.69199999999999995</v>
      </c>
      <c r="V63">
        <v>8</v>
      </c>
      <c r="W63">
        <v>10</v>
      </c>
      <c r="X63">
        <v>0.8</v>
      </c>
      <c r="Y63">
        <v>0</v>
      </c>
      <c r="Z63">
        <v>9</v>
      </c>
      <c r="AA63">
        <v>9</v>
      </c>
      <c r="AB63">
        <v>9</v>
      </c>
      <c r="AC63">
        <v>0</v>
      </c>
      <c r="AD63">
        <v>0</v>
      </c>
      <c r="AE63">
        <v>3</v>
      </c>
      <c r="AF63">
        <v>3</v>
      </c>
      <c r="AG63">
        <v>26</v>
      </c>
      <c r="AH63">
        <v>24.1</v>
      </c>
      <c r="AI63">
        <v>9</v>
      </c>
    </row>
    <row r="64" spans="1:35" ht="21" x14ac:dyDescent="0.3">
      <c r="A64" t="s">
        <v>548</v>
      </c>
      <c r="B64" s="11">
        <v>48</v>
      </c>
      <c r="C64">
        <v>925</v>
      </c>
      <c r="D64">
        <v>62</v>
      </c>
      <c r="E64" s="4">
        <v>44624</v>
      </c>
      <c r="F64" t="s">
        <v>94</v>
      </c>
      <c r="H64" t="s">
        <v>87</v>
      </c>
      <c r="I64" t="s">
        <v>489</v>
      </c>
      <c r="J64" t="s">
        <v>41</v>
      </c>
      <c r="K64" s="9">
        <v>1.4861111111111112</v>
      </c>
      <c r="L64">
        <v>6</v>
      </c>
      <c r="M64">
        <v>10</v>
      </c>
      <c r="N64">
        <v>0.6</v>
      </c>
      <c r="O64">
        <v>2</v>
      </c>
      <c r="P64">
        <v>4</v>
      </c>
      <c r="Q64">
        <v>0.5</v>
      </c>
      <c r="R64">
        <v>4</v>
      </c>
      <c r="S64">
        <v>6</v>
      </c>
      <c r="T64">
        <v>0.66700000000000004</v>
      </c>
      <c r="U64">
        <v>0.7</v>
      </c>
      <c r="V64">
        <v>11</v>
      </c>
      <c r="W64">
        <v>12</v>
      </c>
      <c r="X64">
        <v>0.91700000000000004</v>
      </c>
      <c r="Y64">
        <v>0</v>
      </c>
      <c r="Z64">
        <v>3</v>
      </c>
      <c r="AA64">
        <v>3</v>
      </c>
      <c r="AB64">
        <v>11</v>
      </c>
      <c r="AC64">
        <v>1</v>
      </c>
      <c r="AD64">
        <v>0</v>
      </c>
      <c r="AE64">
        <v>3</v>
      </c>
      <c r="AF64">
        <v>4</v>
      </c>
      <c r="AG64">
        <v>25</v>
      </c>
      <c r="AH64">
        <v>25</v>
      </c>
      <c r="AI64">
        <v>6</v>
      </c>
    </row>
    <row r="65" spans="1:35" ht="21" x14ac:dyDescent="0.3">
      <c r="A65" t="s">
        <v>548</v>
      </c>
      <c r="B65" s="11">
        <v>48</v>
      </c>
      <c r="D65">
        <v>63</v>
      </c>
      <c r="E65" s="4">
        <v>44625</v>
      </c>
      <c r="F65" t="s">
        <v>94</v>
      </c>
      <c r="G65" t="s">
        <v>37</v>
      </c>
      <c r="H65" t="s">
        <v>120</v>
      </c>
      <c r="I65" t="s">
        <v>122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  <c r="O65" t="s">
        <v>91</v>
      </c>
      <c r="P65" t="s">
        <v>91</v>
      </c>
      <c r="Q65" t="s">
        <v>91</v>
      </c>
      <c r="R65" t="s">
        <v>91</v>
      </c>
      <c r="S65" t="s">
        <v>91</v>
      </c>
      <c r="T65" t="s">
        <v>91</v>
      </c>
      <c r="U65" t="s">
        <v>91</v>
      </c>
      <c r="V65" t="s">
        <v>91</v>
      </c>
      <c r="W65" t="s">
        <v>91</v>
      </c>
      <c r="X65" t="s">
        <v>91</v>
      </c>
      <c r="Y65" t="s">
        <v>91</v>
      </c>
      <c r="Z65" t="s">
        <v>91</v>
      </c>
      <c r="AA65" t="s">
        <v>91</v>
      </c>
      <c r="AB65" t="s">
        <v>91</v>
      </c>
      <c r="AC65" t="s">
        <v>91</v>
      </c>
      <c r="AD65" t="s">
        <v>91</v>
      </c>
      <c r="AE65" t="s">
        <v>91</v>
      </c>
      <c r="AF65" t="s">
        <v>91</v>
      </c>
      <c r="AG65" t="s">
        <v>91</v>
      </c>
      <c r="AH65" t="s">
        <v>91</v>
      </c>
      <c r="AI65" t="s">
        <v>91</v>
      </c>
    </row>
    <row r="66" spans="1:35" ht="21" x14ac:dyDescent="0.3">
      <c r="A66" t="s">
        <v>548</v>
      </c>
      <c r="B66" s="11">
        <v>49</v>
      </c>
      <c r="C66">
        <v>926</v>
      </c>
      <c r="D66">
        <v>64</v>
      </c>
      <c r="E66" s="4">
        <v>44627</v>
      </c>
      <c r="F66" t="s">
        <v>94</v>
      </c>
      <c r="H66" t="s">
        <v>82</v>
      </c>
      <c r="I66" t="s">
        <v>490</v>
      </c>
      <c r="J66" t="s">
        <v>41</v>
      </c>
      <c r="K66" s="9">
        <v>1.601388888888889</v>
      </c>
      <c r="L66">
        <v>5</v>
      </c>
      <c r="M66">
        <v>15</v>
      </c>
      <c r="N66">
        <v>0.33300000000000002</v>
      </c>
      <c r="O66">
        <v>1</v>
      </c>
      <c r="P66">
        <v>5</v>
      </c>
      <c r="Q66">
        <v>0.2</v>
      </c>
      <c r="R66">
        <v>4</v>
      </c>
      <c r="S66">
        <v>10</v>
      </c>
      <c r="T66">
        <v>0.4</v>
      </c>
      <c r="U66">
        <v>0.36699999999999999</v>
      </c>
      <c r="V66">
        <v>5</v>
      </c>
      <c r="W66">
        <v>6</v>
      </c>
      <c r="X66">
        <v>0.83299999999999996</v>
      </c>
      <c r="Y66">
        <v>1</v>
      </c>
      <c r="Z66">
        <v>7</v>
      </c>
      <c r="AA66">
        <v>8</v>
      </c>
      <c r="AB66">
        <v>14</v>
      </c>
      <c r="AC66">
        <v>0</v>
      </c>
      <c r="AD66">
        <v>0</v>
      </c>
      <c r="AE66">
        <v>3</v>
      </c>
      <c r="AF66">
        <v>3</v>
      </c>
      <c r="AG66">
        <v>16</v>
      </c>
      <c r="AH66">
        <v>15.5</v>
      </c>
      <c r="AI66">
        <v>12</v>
      </c>
    </row>
    <row r="67" spans="1:35" ht="21" x14ac:dyDescent="0.3">
      <c r="A67" t="s">
        <v>548</v>
      </c>
      <c r="B67" s="11">
        <v>50</v>
      </c>
      <c r="C67">
        <v>927</v>
      </c>
      <c r="D67">
        <v>65</v>
      </c>
      <c r="E67" s="4">
        <v>44630</v>
      </c>
      <c r="F67" t="s">
        <v>94</v>
      </c>
      <c r="H67" t="s">
        <v>85</v>
      </c>
      <c r="I67" t="s">
        <v>491</v>
      </c>
      <c r="J67" t="s">
        <v>41</v>
      </c>
      <c r="K67" s="9">
        <v>1.1937500000000001</v>
      </c>
      <c r="L67">
        <v>3</v>
      </c>
      <c r="M67">
        <v>17</v>
      </c>
      <c r="N67">
        <v>0.17599999999999999</v>
      </c>
      <c r="O67">
        <v>3</v>
      </c>
      <c r="P67">
        <v>7</v>
      </c>
      <c r="Q67">
        <v>0.42899999999999999</v>
      </c>
      <c r="R67">
        <v>0</v>
      </c>
      <c r="S67">
        <v>10</v>
      </c>
      <c r="T67">
        <v>0</v>
      </c>
      <c r="U67">
        <v>0.26500000000000001</v>
      </c>
      <c r="V67">
        <v>2</v>
      </c>
      <c r="W67">
        <v>2</v>
      </c>
      <c r="X67">
        <v>1</v>
      </c>
      <c r="Y67">
        <v>1</v>
      </c>
      <c r="Z67">
        <v>5</v>
      </c>
      <c r="AA67">
        <v>6</v>
      </c>
      <c r="AB67">
        <v>5</v>
      </c>
      <c r="AC67">
        <v>2</v>
      </c>
      <c r="AD67">
        <v>0</v>
      </c>
      <c r="AE67">
        <v>4</v>
      </c>
      <c r="AF67">
        <v>3</v>
      </c>
      <c r="AG67">
        <v>11</v>
      </c>
      <c r="AH67">
        <v>2.8</v>
      </c>
      <c r="AI67">
        <v>-30</v>
      </c>
    </row>
    <row r="68" spans="1:35" ht="21" x14ac:dyDescent="0.3">
      <c r="A68" t="s">
        <v>548</v>
      </c>
      <c r="B68" s="11">
        <v>51</v>
      </c>
      <c r="C68">
        <v>928</v>
      </c>
      <c r="D68">
        <v>66</v>
      </c>
      <c r="E68" s="4">
        <v>44633</v>
      </c>
      <c r="F68" t="s">
        <v>94</v>
      </c>
      <c r="G68" t="s">
        <v>37</v>
      </c>
      <c r="H68" t="s">
        <v>104</v>
      </c>
      <c r="I68" t="s">
        <v>492</v>
      </c>
      <c r="J68" t="s">
        <v>41</v>
      </c>
      <c r="K68" s="9">
        <v>1.836111111111111</v>
      </c>
      <c r="L68">
        <v>5</v>
      </c>
      <c r="M68">
        <v>19</v>
      </c>
      <c r="N68">
        <v>0.26300000000000001</v>
      </c>
      <c r="O68">
        <v>3</v>
      </c>
      <c r="P68">
        <v>11</v>
      </c>
      <c r="Q68">
        <v>0.27300000000000002</v>
      </c>
      <c r="R68">
        <v>2</v>
      </c>
      <c r="S68">
        <v>8</v>
      </c>
      <c r="T68">
        <v>0.25</v>
      </c>
      <c r="U68">
        <v>0.34200000000000003</v>
      </c>
      <c r="V68">
        <v>13</v>
      </c>
      <c r="W68">
        <v>15</v>
      </c>
      <c r="X68">
        <v>0.86699999999999999</v>
      </c>
      <c r="Y68">
        <v>1</v>
      </c>
      <c r="Z68">
        <v>5</v>
      </c>
      <c r="AA68">
        <v>6</v>
      </c>
      <c r="AB68">
        <v>6</v>
      </c>
      <c r="AC68">
        <v>3</v>
      </c>
      <c r="AD68">
        <v>0</v>
      </c>
      <c r="AE68">
        <v>3</v>
      </c>
      <c r="AF68">
        <v>1</v>
      </c>
      <c r="AG68">
        <v>26</v>
      </c>
      <c r="AH68">
        <v>19.899999999999999</v>
      </c>
      <c r="AI68">
        <v>4</v>
      </c>
    </row>
    <row r="69" spans="1:35" ht="21" x14ac:dyDescent="0.3">
      <c r="A69" t="s">
        <v>548</v>
      </c>
      <c r="B69" s="11">
        <v>52</v>
      </c>
      <c r="C69">
        <v>929</v>
      </c>
      <c r="D69">
        <v>67</v>
      </c>
      <c r="E69" s="4">
        <v>44634</v>
      </c>
      <c r="F69" t="s">
        <v>94</v>
      </c>
      <c r="H69" t="s">
        <v>34</v>
      </c>
      <c r="I69" t="s">
        <v>493</v>
      </c>
      <c r="J69" t="s">
        <v>41</v>
      </c>
      <c r="K69" s="9">
        <v>1.6284722222222223</v>
      </c>
      <c r="L69">
        <v>6</v>
      </c>
      <c r="M69">
        <v>11</v>
      </c>
      <c r="N69">
        <v>0.54500000000000004</v>
      </c>
      <c r="O69">
        <v>1</v>
      </c>
      <c r="P69">
        <v>4</v>
      </c>
      <c r="Q69">
        <v>0.25</v>
      </c>
      <c r="R69">
        <v>5</v>
      </c>
      <c r="S69">
        <v>7</v>
      </c>
      <c r="T69">
        <v>0.71399999999999997</v>
      </c>
      <c r="U69">
        <v>0.59099999999999997</v>
      </c>
      <c r="V69">
        <v>11</v>
      </c>
      <c r="W69">
        <v>12</v>
      </c>
      <c r="X69">
        <v>0.91700000000000004</v>
      </c>
      <c r="Y69">
        <v>0</v>
      </c>
      <c r="Z69">
        <v>9</v>
      </c>
      <c r="AA69">
        <v>9</v>
      </c>
      <c r="AB69">
        <v>11</v>
      </c>
      <c r="AC69">
        <v>0</v>
      </c>
      <c r="AD69">
        <v>1</v>
      </c>
      <c r="AE69">
        <v>4</v>
      </c>
      <c r="AF69">
        <v>1</v>
      </c>
      <c r="AG69">
        <v>24</v>
      </c>
      <c r="AH69">
        <v>25</v>
      </c>
      <c r="AI69">
        <v>2</v>
      </c>
    </row>
    <row r="70" spans="1:35" ht="21" x14ac:dyDescent="0.3">
      <c r="A70" t="s">
        <v>548</v>
      </c>
      <c r="B70" s="11">
        <v>53</v>
      </c>
      <c r="C70">
        <v>930</v>
      </c>
      <c r="D70">
        <v>68</v>
      </c>
      <c r="E70" s="4">
        <v>44636</v>
      </c>
      <c r="F70" t="s">
        <v>94</v>
      </c>
      <c r="G70" t="s">
        <v>37</v>
      </c>
      <c r="H70" t="s">
        <v>87</v>
      </c>
      <c r="I70" t="s">
        <v>494</v>
      </c>
      <c r="J70" t="s">
        <v>41</v>
      </c>
      <c r="K70" s="9">
        <v>1.7548611111111112</v>
      </c>
      <c r="L70">
        <v>5</v>
      </c>
      <c r="M70">
        <v>12</v>
      </c>
      <c r="N70">
        <v>0.41699999999999998</v>
      </c>
      <c r="O70">
        <v>1</v>
      </c>
      <c r="P70">
        <v>6</v>
      </c>
      <c r="Q70">
        <v>0.16700000000000001</v>
      </c>
      <c r="R70">
        <v>4</v>
      </c>
      <c r="S70">
        <v>6</v>
      </c>
      <c r="T70">
        <v>0.66700000000000004</v>
      </c>
      <c r="U70">
        <v>0.45800000000000002</v>
      </c>
      <c r="V70">
        <v>10</v>
      </c>
      <c r="W70">
        <v>12</v>
      </c>
      <c r="X70">
        <v>0.83299999999999996</v>
      </c>
      <c r="Y70">
        <v>0</v>
      </c>
      <c r="Z70">
        <v>2</v>
      </c>
      <c r="AA70">
        <v>2</v>
      </c>
      <c r="AB70">
        <v>11</v>
      </c>
      <c r="AC70">
        <v>2</v>
      </c>
      <c r="AD70">
        <v>0</v>
      </c>
      <c r="AE70">
        <v>4</v>
      </c>
      <c r="AF70">
        <v>1</v>
      </c>
      <c r="AG70">
        <v>21</v>
      </c>
      <c r="AH70">
        <v>19.7</v>
      </c>
      <c r="AI70">
        <v>18</v>
      </c>
    </row>
    <row r="71" spans="1:35" ht="21" x14ac:dyDescent="0.3">
      <c r="A71" t="s">
        <v>548</v>
      </c>
      <c r="B71" s="11">
        <v>54</v>
      </c>
      <c r="C71">
        <v>931</v>
      </c>
      <c r="D71">
        <v>69</v>
      </c>
      <c r="E71" s="4">
        <v>44638</v>
      </c>
      <c r="F71" t="s">
        <v>94</v>
      </c>
      <c r="H71" t="s">
        <v>49</v>
      </c>
      <c r="I71" t="s">
        <v>495</v>
      </c>
      <c r="J71" t="s">
        <v>41</v>
      </c>
      <c r="K71" s="9">
        <v>1.7416666666666667</v>
      </c>
      <c r="L71">
        <v>6</v>
      </c>
      <c r="M71">
        <v>14</v>
      </c>
      <c r="N71">
        <v>0.42899999999999999</v>
      </c>
      <c r="O71">
        <v>3</v>
      </c>
      <c r="P71">
        <v>8</v>
      </c>
      <c r="Q71">
        <v>0.375</v>
      </c>
      <c r="R71">
        <v>3</v>
      </c>
      <c r="S71">
        <v>6</v>
      </c>
      <c r="T71">
        <v>0.5</v>
      </c>
      <c r="U71">
        <v>0.53600000000000003</v>
      </c>
      <c r="V71">
        <v>9</v>
      </c>
      <c r="W71">
        <v>10</v>
      </c>
      <c r="X71">
        <v>0.9</v>
      </c>
      <c r="Y71">
        <v>0</v>
      </c>
      <c r="Z71">
        <v>7</v>
      </c>
      <c r="AA71">
        <v>7</v>
      </c>
      <c r="AB71">
        <v>12</v>
      </c>
      <c r="AC71">
        <v>2</v>
      </c>
      <c r="AD71">
        <v>1</v>
      </c>
      <c r="AE71">
        <v>2</v>
      </c>
      <c r="AF71">
        <v>2</v>
      </c>
      <c r="AG71">
        <v>24</v>
      </c>
      <c r="AH71">
        <v>26.6</v>
      </c>
      <c r="AI71">
        <v>3</v>
      </c>
    </row>
    <row r="72" spans="1:35" ht="21" x14ac:dyDescent="0.3">
      <c r="A72" t="s">
        <v>548</v>
      </c>
      <c r="B72" s="11">
        <v>55</v>
      </c>
      <c r="C72">
        <v>932</v>
      </c>
      <c r="D72">
        <v>70</v>
      </c>
      <c r="E72" s="4">
        <v>44640</v>
      </c>
      <c r="F72" t="s">
        <v>94</v>
      </c>
      <c r="H72" t="s">
        <v>92</v>
      </c>
      <c r="I72" t="s">
        <v>496</v>
      </c>
      <c r="J72" t="s">
        <v>41</v>
      </c>
      <c r="K72" s="9">
        <v>1.5680555555555555</v>
      </c>
      <c r="L72">
        <v>5</v>
      </c>
      <c r="M72">
        <v>12</v>
      </c>
      <c r="N72">
        <v>0.41699999999999998</v>
      </c>
      <c r="O72">
        <v>0</v>
      </c>
      <c r="P72">
        <v>4</v>
      </c>
      <c r="Q72">
        <v>0</v>
      </c>
      <c r="R72">
        <v>5</v>
      </c>
      <c r="S72">
        <v>8</v>
      </c>
      <c r="T72">
        <v>0.625</v>
      </c>
      <c r="U72">
        <v>0.41699999999999998</v>
      </c>
      <c r="V72">
        <v>7</v>
      </c>
      <c r="W72">
        <v>10</v>
      </c>
      <c r="X72">
        <v>0.7</v>
      </c>
      <c r="Y72">
        <v>0</v>
      </c>
      <c r="Z72">
        <v>9</v>
      </c>
      <c r="AA72">
        <v>9</v>
      </c>
      <c r="AB72">
        <v>8</v>
      </c>
      <c r="AC72">
        <v>2</v>
      </c>
      <c r="AD72">
        <v>0</v>
      </c>
      <c r="AE72">
        <v>6</v>
      </c>
      <c r="AF72">
        <v>4</v>
      </c>
      <c r="AG72">
        <v>17</v>
      </c>
      <c r="AH72">
        <v>12.1</v>
      </c>
      <c r="AI72">
        <v>-1</v>
      </c>
    </row>
    <row r="73" spans="1:35" ht="21" x14ac:dyDescent="0.3">
      <c r="A73" t="s">
        <v>548</v>
      </c>
      <c r="B73" s="11">
        <v>55</v>
      </c>
      <c r="D73">
        <v>71</v>
      </c>
      <c r="E73" s="4">
        <v>44641</v>
      </c>
      <c r="F73" t="s">
        <v>94</v>
      </c>
      <c r="H73" t="s">
        <v>120</v>
      </c>
      <c r="I73" t="s">
        <v>497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  <c r="O73" t="s">
        <v>91</v>
      </c>
      <c r="P73" t="s">
        <v>91</v>
      </c>
      <c r="Q73" t="s">
        <v>91</v>
      </c>
      <c r="R73" t="s">
        <v>91</v>
      </c>
      <c r="S73" t="s">
        <v>91</v>
      </c>
      <c r="T73" t="s">
        <v>91</v>
      </c>
      <c r="U73" t="s">
        <v>91</v>
      </c>
      <c r="V73" t="s">
        <v>91</v>
      </c>
      <c r="W73" t="s">
        <v>91</v>
      </c>
      <c r="X73" t="s">
        <v>91</v>
      </c>
      <c r="Y73" t="s">
        <v>91</v>
      </c>
      <c r="Z73" t="s">
        <v>91</v>
      </c>
      <c r="AA73" t="s">
        <v>91</v>
      </c>
      <c r="AB73" t="s">
        <v>91</v>
      </c>
      <c r="AC73" t="s">
        <v>91</v>
      </c>
      <c r="AD73" t="s">
        <v>91</v>
      </c>
      <c r="AE73" t="s">
        <v>91</v>
      </c>
      <c r="AF73" t="s">
        <v>91</v>
      </c>
      <c r="AG73" t="s">
        <v>91</v>
      </c>
      <c r="AH73" t="s">
        <v>91</v>
      </c>
      <c r="AI73" t="s">
        <v>91</v>
      </c>
    </row>
    <row r="74" spans="1:35" ht="21" x14ac:dyDescent="0.3">
      <c r="A74" t="s">
        <v>548</v>
      </c>
      <c r="B74" s="11">
        <v>56</v>
      </c>
      <c r="C74">
        <v>933</v>
      </c>
      <c r="D74">
        <v>72</v>
      </c>
      <c r="E74" s="4">
        <v>44643</v>
      </c>
      <c r="F74" t="s">
        <v>94</v>
      </c>
      <c r="G74" t="s">
        <v>37</v>
      </c>
      <c r="H74" t="s">
        <v>62</v>
      </c>
      <c r="I74" t="s">
        <v>498</v>
      </c>
      <c r="J74" t="s">
        <v>41</v>
      </c>
      <c r="K74" s="9">
        <v>1.523611111111111</v>
      </c>
      <c r="L74">
        <v>7</v>
      </c>
      <c r="M74">
        <v>18</v>
      </c>
      <c r="N74">
        <v>0.38900000000000001</v>
      </c>
      <c r="O74">
        <v>1</v>
      </c>
      <c r="P74">
        <v>6</v>
      </c>
      <c r="Q74">
        <v>0.16700000000000001</v>
      </c>
      <c r="R74">
        <v>6</v>
      </c>
      <c r="S74">
        <v>12</v>
      </c>
      <c r="T74">
        <v>0.5</v>
      </c>
      <c r="U74">
        <v>0.41699999999999998</v>
      </c>
      <c r="V74">
        <v>9</v>
      </c>
      <c r="W74">
        <v>10</v>
      </c>
      <c r="X74">
        <v>0.9</v>
      </c>
      <c r="Y74">
        <v>1</v>
      </c>
      <c r="Z74">
        <v>6</v>
      </c>
      <c r="AA74">
        <v>7</v>
      </c>
      <c r="AB74">
        <v>7</v>
      </c>
      <c r="AC74">
        <v>1</v>
      </c>
      <c r="AD74">
        <v>0</v>
      </c>
      <c r="AE74">
        <v>3</v>
      </c>
      <c r="AF74">
        <v>3</v>
      </c>
      <c r="AG74">
        <v>24</v>
      </c>
      <c r="AH74">
        <v>18</v>
      </c>
      <c r="AI74">
        <v>2</v>
      </c>
    </row>
    <row r="75" spans="1:35" ht="21" x14ac:dyDescent="0.3">
      <c r="A75" t="s">
        <v>548</v>
      </c>
      <c r="B75" s="11">
        <v>57</v>
      </c>
      <c r="C75">
        <v>934</v>
      </c>
      <c r="D75">
        <v>73</v>
      </c>
      <c r="E75" s="4">
        <v>44645</v>
      </c>
      <c r="F75" t="s">
        <v>94</v>
      </c>
      <c r="G75" t="s">
        <v>37</v>
      </c>
      <c r="H75" t="s">
        <v>64</v>
      </c>
      <c r="I75" t="s">
        <v>499</v>
      </c>
      <c r="J75" t="s">
        <v>41</v>
      </c>
      <c r="K75" s="9">
        <v>1.4215277777777777</v>
      </c>
      <c r="L75">
        <v>7</v>
      </c>
      <c r="M75">
        <v>15</v>
      </c>
      <c r="N75">
        <v>0.46700000000000003</v>
      </c>
      <c r="O75">
        <v>4</v>
      </c>
      <c r="P75">
        <v>9</v>
      </c>
      <c r="Q75">
        <v>0.44400000000000001</v>
      </c>
      <c r="R75">
        <v>3</v>
      </c>
      <c r="S75">
        <v>6</v>
      </c>
      <c r="T75">
        <v>0.5</v>
      </c>
      <c r="U75">
        <v>0.6</v>
      </c>
      <c r="V75">
        <v>11</v>
      </c>
      <c r="W75">
        <v>11</v>
      </c>
      <c r="X75">
        <v>1</v>
      </c>
      <c r="Y75">
        <v>1</v>
      </c>
      <c r="Z75">
        <v>14</v>
      </c>
      <c r="AA75">
        <v>15</v>
      </c>
      <c r="AB75">
        <v>7</v>
      </c>
      <c r="AC75">
        <v>2</v>
      </c>
      <c r="AD75">
        <v>1</v>
      </c>
      <c r="AE75">
        <v>4</v>
      </c>
      <c r="AF75">
        <v>1</v>
      </c>
      <c r="AG75">
        <v>29</v>
      </c>
      <c r="AH75">
        <v>29.4</v>
      </c>
      <c r="AI75">
        <v>28</v>
      </c>
    </row>
    <row r="76" spans="1:35" ht="21" x14ac:dyDescent="0.3">
      <c r="A76" t="s">
        <v>548</v>
      </c>
      <c r="B76" s="11">
        <v>58</v>
      </c>
      <c r="C76">
        <v>935</v>
      </c>
      <c r="D76">
        <v>74</v>
      </c>
      <c r="E76" s="4">
        <v>44647</v>
      </c>
      <c r="F76" t="s">
        <v>94</v>
      </c>
      <c r="G76" t="s">
        <v>37</v>
      </c>
      <c r="H76" t="s">
        <v>99</v>
      </c>
      <c r="I76" t="s">
        <v>454</v>
      </c>
      <c r="J76" t="s">
        <v>41</v>
      </c>
      <c r="K76" s="9">
        <v>1.632638888888889</v>
      </c>
      <c r="L76">
        <v>2</v>
      </c>
      <c r="M76">
        <v>11</v>
      </c>
      <c r="N76">
        <v>0.182</v>
      </c>
      <c r="O76">
        <v>2</v>
      </c>
      <c r="P76">
        <v>5</v>
      </c>
      <c r="Q76">
        <v>0.4</v>
      </c>
      <c r="R76">
        <v>0</v>
      </c>
      <c r="S76">
        <v>6</v>
      </c>
      <c r="T76">
        <v>0</v>
      </c>
      <c r="U76">
        <v>0.27300000000000002</v>
      </c>
      <c r="V76">
        <v>8</v>
      </c>
      <c r="W76">
        <v>8</v>
      </c>
      <c r="X76">
        <v>1</v>
      </c>
      <c r="Y76">
        <v>1</v>
      </c>
      <c r="Z76">
        <v>6</v>
      </c>
      <c r="AA76">
        <v>7</v>
      </c>
      <c r="AB76">
        <v>9</v>
      </c>
      <c r="AC76">
        <v>1</v>
      </c>
      <c r="AD76">
        <v>0</v>
      </c>
      <c r="AE76">
        <v>2</v>
      </c>
      <c r="AF76">
        <v>3</v>
      </c>
      <c r="AG76">
        <v>14</v>
      </c>
      <c r="AH76">
        <v>13.7</v>
      </c>
      <c r="AI76">
        <v>-16</v>
      </c>
    </row>
    <row r="77" spans="1:35" ht="21" x14ac:dyDescent="0.3">
      <c r="A77" t="s">
        <v>548</v>
      </c>
      <c r="B77" s="11">
        <v>59</v>
      </c>
      <c r="C77">
        <v>936</v>
      </c>
      <c r="D77">
        <v>75</v>
      </c>
      <c r="E77" s="4">
        <v>44649</v>
      </c>
      <c r="F77" t="s">
        <v>94</v>
      </c>
      <c r="H77" t="s">
        <v>126</v>
      </c>
      <c r="I77" t="s">
        <v>500</v>
      </c>
      <c r="J77" t="s">
        <v>41</v>
      </c>
      <c r="K77" s="9">
        <v>1.5465277777777777</v>
      </c>
      <c r="L77">
        <v>9</v>
      </c>
      <c r="M77">
        <v>17</v>
      </c>
      <c r="N77">
        <v>0.52900000000000003</v>
      </c>
      <c r="O77">
        <v>4</v>
      </c>
      <c r="P77">
        <v>10</v>
      </c>
      <c r="Q77">
        <v>0.4</v>
      </c>
      <c r="R77">
        <v>5</v>
      </c>
      <c r="S77">
        <v>7</v>
      </c>
      <c r="T77">
        <v>0.71399999999999997</v>
      </c>
      <c r="U77">
        <v>0.64700000000000002</v>
      </c>
      <c r="V77">
        <v>10</v>
      </c>
      <c r="W77">
        <v>12</v>
      </c>
      <c r="X77">
        <v>0.83299999999999996</v>
      </c>
      <c r="Y77">
        <v>0</v>
      </c>
      <c r="Z77">
        <v>5</v>
      </c>
      <c r="AA77">
        <v>5</v>
      </c>
      <c r="AB77">
        <v>9</v>
      </c>
      <c r="AC77">
        <v>0</v>
      </c>
      <c r="AD77">
        <v>1</v>
      </c>
      <c r="AE77">
        <v>2</v>
      </c>
      <c r="AF77">
        <v>3</v>
      </c>
      <c r="AG77">
        <v>32</v>
      </c>
      <c r="AH77">
        <v>28.2</v>
      </c>
      <c r="AI77">
        <v>3</v>
      </c>
    </row>
    <row r="78" spans="1:35" ht="21" x14ac:dyDescent="0.3">
      <c r="A78" t="s">
        <v>548</v>
      </c>
      <c r="B78" s="11">
        <v>60</v>
      </c>
      <c r="C78">
        <v>937</v>
      </c>
      <c r="D78">
        <v>76</v>
      </c>
      <c r="E78" s="4">
        <v>44651</v>
      </c>
      <c r="F78" t="s">
        <v>94</v>
      </c>
      <c r="G78" t="s">
        <v>37</v>
      </c>
      <c r="H78" t="s">
        <v>89</v>
      </c>
      <c r="I78" t="s">
        <v>501</v>
      </c>
      <c r="J78" t="s">
        <v>41</v>
      </c>
      <c r="K78" s="9">
        <v>1.586111111111111</v>
      </c>
      <c r="L78">
        <v>4</v>
      </c>
      <c r="M78">
        <v>15</v>
      </c>
      <c r="N78">
        <v>0.26700000000000002</v>
      </c>
      <c r="O78">
        <v>2</v>
      </c>
      <c r="P78">
        <v>9</v>
      </c>
      <c r="Q78">
        <v>0.222</v>
      </c>
      <c r="R78">
        <v>2</v>
      </c>
      <c r="S78">
        <v>6</v>
      </c>
      <c r="T78">
        <v>0.33300000000000002</v>
      </c>
      <c r="U78">
        <v>0.33300000000000002</v>
      </c>
      <c r="V78">
        <v>8</v>
      </c>
      <c r="W78">
        <v>9</v>
      </c>
      <c r="X78">
        <v>0.88900000000000001</v>
      </c>
      <c r="Y78">
        <v>0</v>
      </c>
      <c r="Z78">
        <v>9</v>
      </c>
      <c r="AA78">
        <v>9</v>
      </c>
      <c r="AB78">
        <v>7</v>
      </c>
      <c r="AC78">
        <v>2</v>
      </c>
      <c r="AD78">
        <v>1</v>
      </c>
      <c r="AE78">
        <v>3</v>
      </c>
      <c r="AF78">
        <v>0</v>
      </c>
      <c r="AG78">
        <v>18</v>
      </c>
      <c r="AH78">
        <v>16</v>
      </c>
      <c r="AI78">
        <v>-1</v>
      </c>
    </row>
    <row r="79" spans="1:35" ht="21" x14ac:dyDescent="0.3">
      <c r="A79" t="s">
        <v>548</v>
      </c>
      <c r="B79" s="11">
        <v>61</v>
      </c>
      <c r="C79">
        <v>938</v>
      </c>
      <c r="D79">
        <v>77</v>
      </c>
      <c r="E79" s="4">
        <v>44653</v>
      </c>
      <c r="F79" t="s">
        <v>94</v>
      </c>
      <c r="H79" t="s">
        <v>72</v>
      </c>
      <c r="I79" t="s">
        <v>502</v>
      </c>
      <c r="J79" t="s">
        <v>41</v>
      </c>
      <c r="K79" s="9">
        <v>1.288888888888889</v>
      </c>
      <c r="L79">
        <v>4</v>
      </c>
      <c r="M79">
        <v>10</v>
      </c>
      <c r="N79">
        <v>0.4</v>
      </c>
      <c r="O79">
        <v>2</v>
      </c>
      <c r="P79">
        <v>6</v>
      </c>
      <c r="Q79">
        <v>0.33300000000000002</v>
      </c>
      <c r="R79">
        <v>2</v>
      </c>
      <c r="S79">
        <v>4</v>
      </c>
      <c r="T79">
        <v>0.5</v>
      </c>
      <c r="U79">
        <v>0.5</v>
      </c>
      <c r="V79">
        <v>2</v>
      </c>
      <c r="W79">
        <v>2</v>
      </c>
      <c r="X79">
        <v>1</v>
      </c>
      <c r="Y79">
        <v>2</v>
      </c>
      <c r="Z79">
        <v>6</v>
      </c>
      <c r="AA79">
        <v>8</v>
      </c>
      <c r="AB79">
        <v>13</v>
      </c>
      <c r="AC79">
        <v>1</v>
      </c>
      <c r="AD79">
        <v>0</v>
      </c>
      <c r="AE79">
        <v>5</v>
      </c>
      <c r="AF79">
        <v>1</v>
      </c>
      <c r="AG79">
        <v>12</v>
      </c>
      <c r="AH79">
        <v>14.5</v>
      </c>
      <c r="AI79">
        <v>27</v>
      </c>
    </row>
    <row r="80" spans="1:35" ht="21" x14ac:dyDescent="0.3">
      <c r="A80" t="s">
        <v>548</v>
      </c>
      <c r="B80" s="11">
        <v>62</v>
      </c>
      <c r="C80">
        <v>939</v>
      </c>
      <c r="D80">
        <v>78</v>
      </c>
      <c r="E80" s="4">
        <v>44654</v>
      </c>
      <c r="F80" t="s">
        <v>94</v>
      </c>
      <c r="G80" t="s">
        <v>37</v>
      </c>
      <c r="H80" t="s">
        <v>87</v>
      </c>
      <c r="I80" t="s">
        <v>503</v>
      </c>
      <c r="J80" t="s">
        <v>41</v>
      </c>
      <c r="K80" s="9">
        <v>1.6902777777777778</v>
      </c>
      <c r="L80">
        <v>4</v>
      </c>
      <c r="M80">
        <v>13</v>
      </c>
      <c r="N80">
        <v>0.308</v>
      </c>
      <c r="O80">
        <v>2</v>
      </c>
      <c r="P80">
        <v>7</v>
      </c>
      <c r="Q80">
        <v>0.28599999999999998</v>
      </c>
      <c r="R80">
        <v>2</v>
      </c>
      <c r="S80">
        <v>6</v>
      </c>
      <c r="T80">
        <v>0.33300000000000002</v>
      </c>
      <c r="U80">
        <v>0.38500000000000001</v>
      </c>
      <c r="V80">
        <v>11</v>
      </c>
      <c r="W80">
        <v>12</v>
      </c>
      <c r="X80">
        <v>0.91700000000000004</v>
      </c>
      <c r="Y80">
        <v>4</v>
      </c>
      <c r="Z80">
        <v>6</v>
      </c>
      <c r="AA80">
        <v>10</v>
      </c>
      <c r="AB80">
        <v>10</v>
      </c>
      <c r="AC80">
        <v>0</v>
      </c>
      <c r="AD80">
        <v>0</v>
      </c>
      <c r="AE80">
        <v>4</v>
      </c>
      <c r="AF80">
        <v>2</v>
      </c>
      <c r="AG80">
        <v>21</v>
      </c>
      <c r="AH80">
        <v>19.899999999999999</v>
      </c>
      <c r="AI80">
        <v>4</v>
      </c>
    </row>
    <row r="81" spans="1:35" ht="21" x14ac:dyDescent="0.3">
      <c r="A81" t="s">
        <v>548</v>
      </c>
      <c r="B81" s="11">
        <v>63</v>
      </c>
      <c r="C81">
        <v>940</v>
      </c>
      <c r="D81">
        <v>79</v>
      </c>
      <c r="E81" s="4">
        <v>44656</v>
      </c>
      <c r="F81" t="s">
        <v>94</v>
      </c>
      <c r="G81" t="s">
        <v>37</v>
      </c>
      <c r="H81" t="s">
        <v>108</v>
      </c>
      <c r="I81" t="s">
        <v>504</v>
      </c>
      <c r="J81" t="s">
        <v>41</v>
      </c>
      <c r="K81" s="9">
        <v>1.6784722222222221</v>
      </c>
      <c r="L81">
        <v>4</v>
      </c>
      <c r="M81">
        <v>10</v>
      </c>
      <c r="N81">
        <v>0.4</v>
      </c>
      <c r="O81">
        <v>2</v>
      </c>
      <c r="P81">
        <v>7</v>
      </c>
      <c r="Q81">
        <v>0.28599999999999998</v>
      </c>
      <c r="R81">
        <v>2</v>
      </c>
      <c r="S81">
        <v>3</v>
      </c>
      <c r="T81">
        <v>0.66700000000000004</v>
      </c>
      <c r="U81">
        <v>0.5</v>
      </c>
      <c r="V81">
        <v>1</v>
      </c>
      <c r="W81">
        <v>2</v>
      </c>
      <c r="X81">
        <v>0.5</v>
      </c>
      <c r="Y81">
        <v>0</v>
      </c>
      <c r="Z81">
        <v>3</v>
      </c>
      <c r="AA81">
        <v>3</v>
      </c>
      <c r="AB81">
        <v>14</v>
      </c>
      <c r="AC81">
        <v>1</v>
      </c>
      <c r="AD81">
        <v>0</v>
      </c>
      <c r="AE81">
        <v>4</v>
      </c>
      <c r="AF81">
        <v>2</v>
      </c>
      <c r="AG81">
        <v>11</v>
      </c>
      <c r="AH81">
        <v>12.1</v>
      </c>
      <c r="AI81">
        <v>7</v>
      </c>
    </row>
    <row r="82" spans="1:35" ht="21" x14ac:dyDescent="0.3">
      <c r="A82" t="s">
        <v>548</v>
      </c>
      <c r="B82" s="11">
        <v>64</v>
      </c>
      <c r="C82">
        <v>941</v>
      </c>
      <c r="D82">
        <v>80</v>
      </c>
      <c r="E82" s="4">
        <v>44658</v>
      </c>
      <c r="F82" t="s">
        <v>94</v>
      </c>
      <c r="G82" t="s">
        <v>37</v>
      </c>
      <c r="H82" t="s">
        <v>92</v>
      </c>
      <c r="I82" t="s">
        <v>505</v>
      </c>
      <c r="J82" t="s">
        <v>41</v>
      </c>
      <c r="K82" s="9">
        <v>1.64375</v>
      </c>
      <c r="L82">
        <v>3</v>
      </c>
      <c r="M82">
        <v>12</v>
      </c>
      <c r="N82">
        <v>0.25</v>
      </c>
      <c r="O82">
        <v>1</v>
      </c>
      <c r="P82">
        <v>4</v>
      </c>
      <c r="Q82">
        <v>0.25</v>
      </c>
      <c r="R82">
        <v>2</v>
      </c>
      <c r="S82">
        <v>8</v>
      </c>
      <c r="T82">
        <v>0.25</v>
      </c>
      <c r="U82">
        <v>0.29199999999999998</v>
      </c>
      <c r="V82">
        <v>6</v>
      </c>
      <c r="W82">
        <v>6</v>
      </c>
      <c r="X82">
        <v>1</v>
      </c>
      <c r="Y82">
        <v>0</v>
      </c>
      <c r="Z82">
        <v>4</v>
      </c>
      <c r="AA82">
        <v>4</v>
      </c>
      <c r="AB82">
        <v>15</v>
      </c>
      <c r="AC82">
        <v>0</v>
      </c>
      <c r="AD82">
        <v>0</v>
      </c>
      <c r="AE82">
        <v>3</v>
      </c>
      <c r="AF82">
        <v>1</v>
      </c>
      <c r="AG82">
        <v>13</v>
      </c>
      <c r="AH82">
        <v>14.1</v>
      </c>
      <c r="AI82">
        <v>7</v>
      </c>
    </row>
    <row r="83" spans="1:35" ht="21" x14ac:dyDescent="0.3">
      <c r="A83" t="s">
        <v>548</v>
      </c>
      <c r="B83" s="11">
        <v>65</v>
      </c>
      <c r="C83">
        <v>942</v>
      </c>
      <c r="D83">
        <v>81</v>
      </c>
      <c r="E83" s="4">
        <v>44660</v>
      </c>
      <c r="F83" t="s">
        <v>94</v>
      </c>
      <c r="H83" t="s">
        <v>108</v>
      </c>
      <c r="I83" t="s">
        <v>506</v>
      </c>
      <c r="J83" t="s">
        <v>41</v>
      </c>
      <c r="K83" s="9">
        <v>1.6111111111111112</v>
      </c>
      <c r="L83">
        <v>7</v>
      </c>
      <c r="M83">
        <v>16</v>
      </c>
      <c r="N83">
        <v>0.438</v>
      </c>
      <c r="O83">
        <v>2</v>
      </c>
      <c r="P83">
        <v>9</v>
      </c>
      <c r="Q83">
        <v>0.222</v>
      </c>
      <c r="R83">
        <v>5</v>
      </c>
      <c r="S83">
        <v>7</v>
      </c>
      <c r="T83">
        <v>0.71399999999999997</v>
      </c>
      <c r="U83">
        <v>0.5</v>
      </c>
      <c r="V83">
        <v>6</v>
      </c>
      <c r="W83">
        <v>6</v>
      </c>
      <c r="X83">
        <v>1</v>
      </c>
      <c r="Y83">
        <v>0</v>
      </c>
      <c r="Z83">
        <v>4</v>
      </c>
      <c r="AA83">
        <v>4</v>
      </c>
      <c r="AB83">
        <v>14</v>
      </c>
      <c r="AC83">
        <v>1</v>
      </c>
      <c r="AD83">
        <v>0</v>
      </c>
      <c r="AE83">
        <v>5</v>
      </c>
      <c r="AF83">
        <v>2</v>
      </c>
      <c r="AG83">
        <v>22</v>
      </c>
      <c r="AH83">
        <v>19.8</v>
      </c>
      <c r="AI83">
        <v>12</v>
      </c>
    </row>
    <row r="84" spans="1:35" ht="21" x14ac:dyDescent="0.3">
      <c r="A84" t="s">
        <v>548</v>
      </c>
      <c r="B84" s="11">
        <v>65</v>
      </c>
      <c r="D84">
        <v>82</v>
      </c>
      <c r="E84" s="4">
        <v>44661</v>
      </c>
      <c r="F84" t="s">
        <v>94</v>
      </c>
      <c r="H84" t="s">
        <v>89</v>
      </c>
      <c r="I84" t="s">
        <v>507</v>
      </c>
      <c r="J84" t="s">
        <v>91</v>
      </c>
      <c r="K84" t="s">
        <v>91</v>
      </c>
      <c r="L84" t="s">
        <v>91</v>
      </c>
      <c r="M84" t="s">
        <v>91</v>
      </c>
      <c r="N84" t="s">
        <v>91</v>
      </c>
      <c r="O84" t="s">
        <v>91</v>
      </c>
      <c r="P84" t="s">
        <v>91</v>
      </c>
      <c r="Q84" t="s">
        <v>91</v>
      </c>
      <c r="R84" t="s">
        <v>91</v>
      </c>
      <c r="S84" t="s">
        <v>91</v>
      </c>
      <c r="T84" t="s">
        <v>91</v>
      </c>
      <c r="U84" t="s">
        <v>91</v>
      </c>
      <c r="V84" t="s">
        <v>91</v>
      </c>
      <c r="W84" t="s">
        <v>91</v>
      </c>
      <c r="X84" t="s">
        <v>91</v>
      </c>
      <c r="Y84" t="s">
        <v>91</v>
      </c>
      <c r="Z84" t="s">
        <v>91</v>
      </c>
      <c r="AA84" t="s">
        <v>91</v>
      </c>
      <c r="AB84" t="s">
        <v>91</v>
      </c>
      <c r="AC84" t="s">
        <v>91</v>
      </c>
      <c r="AD84" t="s">
        <v>91</v>
      </c>
      <c r="AE84" t="s">
        <v>91</v>
      </c>
      <c r="AF84" t="s">
        <v>91</v>
      </c>
      <c r="AG84" t="s">
        <v>91</v>
      </c>
      <c r="AH84" t="s">
        <v>91</v>
      </c>
      <c r="AI84" t="s">
        <v>91</v>
      </c>
    </row>
    <row r="85" spans="1:35" ht="21" x14ac:dyDescent="0.3">
      <c r="A85" t="s">
        <v>548</v>
      </c>
      <c r="B85" s="11">
        <v>1</v>
      </c>
      <c r="C85">
        <v>138</v>
      </c>
      <c r="D85">
        <v>1</v>
      </c>
      <c r="E85" s="4">
        <v>44667</v>
      </c>
      <c r="F85" t="s">
        <v>94</v>
      </c>
      <c r="H85" t="s">
        <v>92</v>
      </c>
      <c r="I85" t="s">
        <v>508</v>
      </c>
      <c r="J85" t="s">
        <v>41</v>
      </c>
      <c r="K85" s="9">
        <v>1.6722222222222223</v>
      </c>
      <c r="L85">
        <v>6</v>
      </c>
      <c r="M85">
        <v>17</v>
      </c>
      <c r="N85">
        <v>0.35299999999999998</v>
      </c>
      <c r="O85">
        <v>4</v>
      </c>
      <c r="P85">
        <v>7</v>
      </c>
      <c r="Q85">
        <v>0.57099999999999995</v>
      </c>
      <c r="R85">
        <v>2</v>
      </c>
      <c r="S85">
        <v>10</v>
      </c>
      <c r="T85">
        <v>0.2</v>
      </c>
      <c r="U85">
        <v>0.47099999999999997</v>
      </c>
      <c r="V85">
        <v>6</v>
      </c>
      <c r="W85">
        <v>7</v>
      </c>
      <c r="X85">
        <v>0.85699999999999998</v>
      </c>
      <c r="Y85">
        <v>2</v>
      </c>
      <c r="Z85">
        <v>3</v>
      </c>
      <c r="AA85">
        <v>5</v>
      </c>
      <c r="AB85">
        <v>14</v>
      </c>
      <c r="AC85">
        <v>1</v>
      </c>
      <c r="AD85">
        <v>1</v>
      </c>
      <c r="AE85">
        <v>1</v>
      </c>
      <c r="AF85">
        <v>0</v>
      </c>
      <c r="AG85">
        <v>22</v>
      </c>
      <c r="AH85">
        <v>24.9</v>
      </c>
      <c r="AI85">
        <v>14</v>
      </c>
    </row>
    <row r="86" spans="1:35" ht="21" x14ac:dyDescent="0.3">
      <c r="A86" t="s">
        <v>548</v>
      </c>
      <c r="B86" s="11">
        <v>2</v>
      </c>
      <c r="C86">
        <v>139</v>
      </c>
      <c r="D86">
        <v>2</v>
      </c>
      <c r="E86" s="4">
        <v>44669</v>
      </c>
      <c r="F86" t="s">
        <v>94</v>
      </c>
      <c r="H86" t="s">
        <v>92</v>
      </c>
      <c r="I86" t="s">
        <v>152</v>
      </c>
      <c r="J86" t="s">
        <v>41</v>
      </c>
      <c r="K86" s="9">
        <v>1.7215277777777778</v>
      </c>
      <c r="L86">
        <v>3</v>
      </c>
      <c r="M86">
        <v>9</v>
      </c>
      <c r="N86">
        <v>0.33300000000000002</v>
      </c>
      <c r="O86">
        <v>1</v>
      </c>
      <c r="P86">
        <v>4</v>
      </c>
      <c r="Q86">
        <v>0.25</v>
      </c>
      <c r="R86">
        <v>2</v>
      </c>
      <c r="S86">
        <v>5</v>
      </c>
      <c r="T86">
        <v>0.4</v>
      </c>
      <c r="U86">
        <v>0.38900000000000001</v>
      </c>
      <c r="V86">
        <v>7</v>
      </c>
      <c r="W86">
        <v>8</v>
      </c>
      <c r="X86">
        <v>0.875</v>
      </c>
      <c r="Y86">
        <v>1</v>
      </c>
      <c r="Z86">
        <v>5</v>
      </c>
      <c r="AA86">
        <v>6</v>
      </c>
      <c r="AB86">
        <v>6</v>
      </c>
      <c r="AC86">
        <v>3</v>
      </c>
      <c r="AD86">
        <v>2</v>
      </c>
      <c r="AE86">
        <v>5</v>
      </c>
      <c r="AF86">
        <v>2</v>
      </c>
      <c r="AG86">
        <v>14</v>
      </c>
      <c r="AH86">
        <v>13.5</v>
      </c>
      <c r="AI86">
        <v>17</v>
      </c>
    </row>
    <row r="87" spans="1:35" ht="21" x14ac:dyDescent="0.3">
      <c r="A87" t="s">
        <v>548</v>
      </c>
      <c r="B87" s="11">
        <v>3</v>
      </c>
      <c r="C87">
        <v>140</v>
      </c>
      <c r="D87">
        <v>3</v>
      </c>
      <c r="E87" s="4">
        <v>44671</v>
      </c>
      <c r="F87" t="s">
        <v>94</v>
      </c>
      <c r="G87" t="s">
        <v>37</v>
      </c>
      <c r="H87" t="s">
        <v>92</v>
      </c>
      <c r="I87" t="s">
        <v>509</v>
      </c>
      <c r="J87" t="s">
        <v>41</v>
      </c>
      <c r="K87" s="9">
        <v>1.5868055555555556</v>
      </c>
      <c r="L87">
        <v>7</v>
      </c>
      <c r="M87">
        <v>13</v>
      </c>
      <c r="N87">
        <v>0.53800000000000003</v>
      </c>
      <c r="O87">
        <v>2</v>
      </c>
      <c r="P87">
        <v>4</v>
      </c>
      <c r="Q87">
        <v>0.5</v>
      </c>
      <c r="R87">
        <v>5</v>
      </c>
      <c r="S87">
        <v>9</v>
      </c>
      <c r="T87">
        <v>0.55600000000000005</v>
      </c>
      <c r="U87">
        <v>0.61499999999999999</v>
      </c>
      <c r="V87">
        <v>3</v>
      </c>
      <c r="W87">
        <v>5</v>
      </c>
      <c r="X87">
        <v>0.6</v>
      </c>
      <c r="Y87">
        <v>2</v>
      </c>
      <c r="Z87">
        <v>4</v>
      </c>
      <c r="AA87">
        <v>6</v>
      </c>
      <c r="AB87">
        <v>10</v>
      </c>
      <c r="AC87">
        <v>0</v>
      </c>
      <c r="AD87">
        <v>0</v>
      </c>
      <c r="AE87">
        <v>3</v>
      </c>
      <c r="AF87">
        <v>6</v>
      </c>
      <c r="AG87">
        <v>19</v>
      </c>
      <c r="AH87">
        <v>16.100000000000001</v>
      </c>
      <c r="AI87">
        <v>0</v>
      </c>
    </row>
    <row r="88" spans="1:35" ht="21" x14ac:dyDescent="0.3">
      <c r="A88" t="s">
        <v>548</v>
      </c>
      <c r="B88" s="11">
        <v>4</v>
      </c>
      <c r="C88">
        <v>141</v>
      </c>
      <c r="D88">
        <v>4</v>
      </c>
      <c r="E88" s="4">
        <v>44674</v>
      </c>
      <c r="F88" t="s">
        <v>94</v>
      </c>
      <c r="G88" t="s">
        <v>37</v>
      </c>
      <c r="H88" t="s">
        <v>92</v>
      </c>
      <c r="I88" t="s">
        <v>406</v>
      </c>
      <c r="J88" t="s">
        <v>41</v>
      </c>
      <c r="K88" s="9">
        <v>1.7590277777777779</v>
      </c>
      <c r="L88">
        <v>5</v>
      </c>
      <c r="M88">
        <v>17</v>
      </c>
      <c r="N88">
        <v>0.29399999999999998</v>
      </c>
      <c r="O88">
        <v>2</v>
      </c>
      <c r="P88">
        <v>8</v>
      </c>
      <c r="Q88">
        <v>0.25</v>
      </c>
      <c r="R88">
        <v>3</v>
      </c>
      <c r="S88">
        <v>9</v>
      </c>
      <c r="T88">
        <v>0.33300000000000002</v>
      </c>
      <c r="U88">
        <v>0.35299999999999998</v>
      </c>
      <c r="V88">
        <v>10</v>
      </c>
      <c r="W88">
        <v>11</v>
      </c>
      <c r="X88">
        <v>0.90900000000000003</v>
      </c>
      <c r="Y88">
        <v>1</v>
      </c>
      <c r="Z88">
        <v>4</v>
      </c>
      <c r="AA88">
        <v>5</v>
      </c>
      <c r="AB88">
        <v>9</v>
      </c>
      <c r="AC88">
        <v>1</v>
      </c>
      <c r="AD88">
        <v>3</v>
      </c>
      <c r="AE88">
        <v>4</v>
      </c>
      <c r="AF88">
        <v>2</v>
      </c>
      <c r="AG88">
        <v>22</v>
      </c>
      <c r="AH88">
        <v>18.2</v>
      </c>
      <c r="AI88">
        <v>-14</v>
      </c>
    </row>
    <row r="89" spans="1:35" ht="21" x14ac:dyDescent="0.3">
      <c r="A89" t="s">
        <v>548</v>
      </c>
      <c r="B89" s="11">
        <v>5</v>
      </c>
      <c r="C89">
        <v>142</v>
      </c>
      <c r="D89">
        <v>5</v>
      </c>
      <c r="E89" s="4">
        <v>44676</v>
      </c>
      <c r="F89" t="s">
        <v>94</v>
      </c>
      <c r="H89" t="s">
        <v>92</v>
      </c>
      <c r="I89" t="s">
        <v>510</v>
      </c>
      <c r="J89" t="s">
        <v>41</v>
      </c>
      <c r="K89" s="9">
        <v>1.6506944444444445</v>
      </c>
      <c r="L89">
        <v>4</v>
      </c>
      <c r="M89">
        <v>11</v>
      </c>
      <c r="N89">
        <v>0.36399999999999999</v>
      </c>
      <c r="O89">
        <v>2</v>
      </c>
      <c r="P89">
        <v>6</v>
      </c>
      <c r="Q89">
        <v>0.33300000000000002</v>
      </c>
      <c r="R89">
        <v>2</v>
      </c>
      <c r="S89">
        <v>5</v>
      </c>
      <c r="T89">
        <v>0.4</v>
      </c>
      <c r="U89">
        <v>0.45500000000000002</v>
      </c>
      <c r="V89">
        <v>5</v>
      </c>
      <c r="W89">
        <v>6</v>
      </c>
      <c r="X89">
        <v>0.83299999999999996</v>
      </c>
      <c r="Y89">
        <v>0</v>
      </c>
      <c r="Z89">
        <v>2</v>
      </c>
      <c r="AA89">
        <v>2</v>
      </c>
      <c r="AB89">
        <v>7</v>
      </c>
      <c r="AC89">
        <v>1</v>
      </c>
      <c r="AD89">
        <v>1</v>
      </c>
      <c r="AE89">
        <v>5</v>
      </c>
      <c r="AF89">
        <v>1</v>
      </c>
      <c r="AG89">
        <v>15</v>
      </c>
      <c r="AH89">
        <v>10.3</v>
      </c>
      <c r="AI89">
        <v>-10</v>
      </c>
    </row>
    <row r="90" spans="1:35" ht="21" x14ac:dyDescent="0.3">
      <c r="A90" t="s">
        <v>548</v>
      </c>
      <c r="B90" s="11">
        <v>6</v>
      </c>
      <c r="C90">
        <v>143</v>
      </c>
      <c r="D90">
        <v>6</v>
      </c>
      <c r="E90" s="4">
        <v>44679</v>
      </c>
      <c r="F90" t="s">
        <v>94</v>
      </c>
      <c r="G90" t="s">
        <v>37</v>
      </c>
      <c r="H90" t="s">
        <v>92</v>
      </c>
      <c r="I90" t="s">
        <v>511</v>
      </c>
      <c r="J90" t="s">
        <v>41</v>
      </c>
      <c r="K90" s="9">
        <v>1.7527777777777778</v>
      </c>
      <c r="L90">
        <v>7</v>
      </c>
      <c r="M90">
        <v>12</v>
      </c>
      <c r="N90">
        <v>0.58299999999999996</v>
      </c>
      <c r="O90">
        <v>2</v>
      </c>
      <c r="P90">
        <v>5</v>
      </c>
      <c r="Q90">
        <v>0.4</v>
      </c>
      <c r="R90">
        <v>5</v>
      </c>
      <c r="S90">
        <v>7</v>
      </c>
      <c r="T90">
        <v>0.71399999999999997</v>
      </c>
      <c r="U90">
        <v>0.66700000000000004</v>
      </c>
      <c r="V90">
        <v>6</v>
      </c>
      <c r="W90">
        <v>6</v>
      </c>
      <c r="X90">
        <v>1</v>
      </c>
      <c r="Y90">
        <v>0</v>
      </c>
      <c r="Z90">
        <v>6</v>
      </c>
      <c r="AA90">
        <v>6</v>
      </c>
      <c r="AB90">
        <v>15</v>
      </c>
      <c r="AC90">
        <v>0</v>
      </c>
      <c r="AD90">
        <v>0</v>
      </c>
      <c r="AE90">
        <v>3</v>
      </c>
      <c r="AF90">
        <v>3</v>
      </c>
      <c r="AG90">
        <v>22</v>
      </c>
      <c r="AH90">
        <v>24.5</v>
      </c>
      <c r="AI90">
        <v>38</v>
      </c>
    </row>
    <row r="91" spans="1:35" ht="21" x14ac:dyDescent="0.3">
      <c r="A91" t="s">
        <v>548</v>
      </c>
      <c r="B91" s="11">
        <v>7</v>
      </c>
      <c r="C91">
        <v>144</v>
      </c>
      <c r="D91">
        <v>7</v>
      </c>
      <c r="E91" s="4">
        <v>44683</v>
      </c>
      <c r="F91" t="s">
        <v>94</v>
      </c>
      <c r="G91" t="s">
        <v>37</v>
      </c>
      <c r="H91" t="s">
        <v>120</v>
      </c>
      <c r="I91" t="s">
        <v>512</v>
      </c>
      <c r="J91" t="s">
        <v>41</v>
      </c>
      <c r="K91" s="9">
        <v>1.4409722222222223</v>
      </c>
      <c r="L91">
        <v>5</v>
      </c>
      <c r="M91">
        <v>13</v>
      </c>
      <c r="N91">
        <v>0.38500000000000001</v>
      </c>
      <c r="O91">
        <v>2</v>
      </c>
      <c r="P91">
        <v>7</v>
      </c>
      <c r="Q91">
        <v>0.28599999999999998</v>
      </c>
      <c r="R91">
        <v>3</v>
      </c>
      <c r="S91">
        <v>6</v>
      </c>
      <c r="T91">
        <v>0.5</v>
      </c>
      <c r="U91">
        <v>0.46200000000000002</v>
      </c>
      <c r="V91">
        <v>4</v>
      </c>
      <c r="W91">
        <v>4</v>
      </c>
      <c r="X91">
        <v>1</v>
      </c>
      <c r="Y91">
        <v>1</v>
      </c>
      <c r="Z91">
        <v>8</v>
      </c>
      <c r="AA91">
        <v>9</v>
      </c>
      <c r="AB91">
        <v>5</v>
      </c>
      <c r="AC91">
        <v>0</v>
      </c>
      <c r="AD91">
        <v>0</v>
      </c>
      <c r="AE91">
        <v>5</v>
      </c>
      <c r="AF91">
        <v>2</v>
      </c>
      <c r="AG91">
        <v>16</v>
      </c>
      <c r="AH91">
        <v>9.6999999999999993</v>
      </c>
      <c r="AI91">
        <v>-8</v>
      </c>
    </row>
    <row r="92" spans="1:35" ht="21" x14ac:dyDescent="0.3">
      <c r="A92" t="s">
        <v>548</v>
      </c>
      <c r="B92" s="11">
        <v>8</v>
      </c>
      <c r="C92">
        <v>145</v>
      </c>
      <c r="D92">
        <v>8</v>
      </c>
      <c r="E92" s="4">
        <v>44685</v>
      </c>
      <c r="F92" t="s">
        <v>94</v>
      </c>
      <c r="G92" t="s">
        <v>37</v>
      </c>
      <c r="H92" t="s">
        <v>120</v>
      </c>
      <c r="I92" t="s">
        <v>513</v>
      </c>
      <c r="J92" t="s">
        <v>41</v>
      </c>
      <c r="K92" s="9">
        <v>1.7270833333333333</v>
      </c>
      <c r="L92">
        <v>6</v>
      </c>
      <c r="M92">
        <v>15</v>
      </c>
      <c r="N92">
        <v>0.4</v>
      </c>
      <c r="O92">
        <v>1</v>
      </c>
      <c r="P92">
        <v>5</v>
      </c>
      <c r="Q92">
        <v>0.2</v>
      </c>
      <c r="R92">
        <v>5</v>
      </c>
      <c r="S92">
        <v>10</v>
      </c>
      <c r="T92">
        <v>0.5</v>
      </c>
      <c r="U92">
        <v>0.433</v>
      </c>
      <c r="V92">
        <v>7</v>
      </c>
      <c r="W92">
        <v>7</v>
      </c>
      <c r="X92">
        <v>1</v>
      </c>
      <c r="Y92">
        <v>1</v>
      </c>
      <c r="Z92">
        <v>3</v>
      </c>
      <c r="AA92">
        <v>4</v>
      </c>
      <c r="AB92">
        <v>9</v>
      </c>
      <c r="AC92">
        <v>0</v>
      </c>
      <c r="AD92">
        <v>0</v>
      </c>
      <c r="AE92">
        <v>3</v>
      </c>
      <c r="AF92">
        <v>3</v>
      </c>
      <c r="AG92">
        <v>20</v>
      </c>
      <c r="AH92">
        <v>15.6</v>
      </c>
      <c r="AI92">
        <v>-10</v>
      </c>
    </row>
    <row r="93" spans="1:35" ht="21" x14ac:dyDescent="0.3">
      <c r="A93" t="s">
        <v>548</v>
      </c>
      <c r="B93" s="11">
        <v>9</v>
      </c>
      <c r="C93">
        <v>146</v>
      </c>
      <c r="D93">
        <v>9</v>
      </c>
      <c r="E93" s="4">
        <v>44687</v>
      </c>
      <c r="F93" t="s">
        <v>94</v>
      </c>
      <c r="H93" t="s">
        <v>120</v>
      </c>
      <c r="I93" t="s">
        <v>514</v>
      </c>
      <c r="J93" t="s">
        <v>41</v>
      </c>
      <c r="K93" s="9">
        <v>1.5784722222222223</v>
      </c>
      <c r="L93">
        <v>4</v>
      </c>
      <c r="M93">
        <v>11</v>
      </c>
      <c r="N93">
        <v>0.36399999999999999</v>
      </c>
      <c r="O93">
        <v>1</v>
      </c>
      <c r="P93">
        <v>7</v>
      </c>
      <c r="Q93">
        <v>0.14299999999999999</v>
      </c>
      <c r="R93">
        <v>3</v>
      </c>
      <c r="S93">
        <v>4</v>
      </c>
      <c r="T93">
        <v>0.75</v>
      </c>
      <c r="U93">
        <v>0.40899999999999997</v>
      </c>
      <c r="V93">
        <v>8</v>
      </c>
      <c r="W93">
        <v>8</v>
      </c>
      <c r="X93">
        <v>1</v>
      </c>
      <c r="Y93">
        <v>1</v>
      </c>
      <c r="Z93">
        <v>7</v>
      </c>
      <c r="AA93">
        <v>8</v>
      </c>
      <c r="AB93">
        <v>6</v>
      </c>
      <c r="AC93">
        <v>0</v>
      </c>
      <c r="AD93">
        <v>1</v>
      </c>
      <c r="AE93">
        <v>7</v>
      </c>
      <c r="AF93">
        <v>4</v>
      </c>
      <c r="AG93">
        <v>17</v>
      </c>
      <c r="AH93">
        <v>10</v>
      </c>
      <c r="AI93">
        <v>27</v>
      </c>
    </row>
    <row r="94" spans="1:35" ht="21" x14ac:dyDescent="0.3">
      <c r="A94" t="s">
        <v>548</v>
      </c>
      <c r="B94" s="11">
        <v>10</v>
      </c>
      <c r="C94">
        <v>147</v>
      </c>
      <c r="D94">
        <v>10</v>
      </c>
      <c r="E94" s="4">
        <v>44689</v>
      </c>
      <c r="F94" t="s">
        <v>94</v>
      </c>
      <c r="H94" t="s">
        <v>120</v>
      </c>
      <c r="I94" t="s">
        <v>515</v>
      </c>
      <c r="J94" t="s">
        <v>41</v>
      </c>
      <c r="K94" s="9">
        <v>1.7020833333333334</v>
      </c>
      <c r="L94">
        <v>8</v>
      </c>
      <c r="M94">
        <v>18</v>
      </c>
      <c r="N94">
        <v>0.44400000000000001</v>
      </c>
      <c r="O94">
        <v>6</v>
      </c>
      <c r="P94">
        <v>10</v>
      </c>
      <c r="Q94">
        <v>0.6</v>
      </c>
      <c r="R94">
        <v>2</v>
      </c>
      <c r="S94">
        <v>8</v>
      </c>
      <c r="T94">
        <v>0.25</v>
      </c>
      <c r="U94">
        <v>0.61099999999999999</v>
      </c>
      <c r="V94">
        <v>9</v>
      </c>
      <c r="W94">
        <v>10</v>
      </c>
      <c r="X94">
        <v>0.9</v>
      </c>
      <c r="Y94">
        <v>1</v>
      </c>
      <c r="Z94">
        <v>6</v>
      </c>
      <c r="AA94">
        <v>7</v>
      </c>
      <c r="AB94">
        <v>9</v>
      </c>
      <c r="AC94">
        <v>1</v>
      </c>
      <c r="AD94">
        <v>0</v>
      </c>
      <c r="AE94">
        <v>6</v>
      </c>
      <c r="AF94">
        <v>2</v>
      </c>
      <c r="AG94">
        <v>31</v>
      </c>
      <c r="AH94">
        <v>24.2</v>
      </c>
      <c r="AI94">
        <v>8</v>
      </c>
    </row>
    <row r="95" spans="1:35" ht="21" x14ac:dyDescent="0.3">
      <c r="A95" t="s">
        <v>548</v>
      </c>
      <c r="B95" s="11">
        <v>11</v>
      </c>
      <c r="C95">
        <v>148</v>
      </c>
      <c r="D95">
        <v>11</v>
      </c>
      <c r="E95" s="4">
        <v>44691</v>
      </c>
      <c r="F95" t="s">
        <v>94</v>
      </c>
      <c r="G95" t="s">
        <v>37</v>
      </c>
      <c r="H95" t="s">
        <v>120</v>
      </c>
      <c r="I95" t="s">
        <v>516</v>
      </c>
      <c r="J95" t="s">
        <v>41</v>
      </c>
      <c r="K95" s="9">
        <v>1.554861111111111</v>
      </c>
      <c r="L95">
        <v>5</v>
      </c>
      <c r="M95">
        <v>13</v>
      </c>
      <c r="N95">
        <v>0.38500000000000001</v>
      </c>
      <c r="O95">
        <v>2</v>
      </c>
      <c r="P95">
        <v>6</v>
      </c>
      <c r="Q95">
        <v>0.33300000000000002</v>
      </c>
      <c r="R95">
        <v>3</v>
      </c>
      <c r="S95">
        <v>7</v>
      </c>
      <c r="T95">
        <v>0.42899999999999999</v>
      </c>
      <c r="U95">
        <v>0.46200000000000002</v>
      </c>
      <c r="V95">
        <v>2</v>
      </c>
      <c r="W95">
        <v>3</v>
      </c>
      <c r="X95">
        <v>0.66700000000000004</v>
      </c>
      <c r="Y95">
        <v>1</v>
      </c>
      <c r="Z95">
        <v>5</v>
      </c>
      <c r="AA95">
        <v>6</v>
      </c>
      <c r="AB95">
        <v>4</v>
      </c>
      <c r="AC95">
        <v>1</v>
      </c>
      <c r="AD95">
        <v>0</v>
      </c>
      <c r="AE95">
        <v>4</v>
      </c>
      <c r="AF95">
        <v>2</v>
      </c>
      <c r="AG95">
        <v>14</v>
      </c>
      <c r="AH95">
        <v>7.7</v>
      </c>
      <c r="AI95">
        <v>-29</v>
      </c>
    </row>
    <row r="96" spans="1:35" ht="21" x14ac:dyDescent="0.3">
      <c r="A96" t="s">
        <v>548</v>
      </c>
      <c r="B96" s="11">
        <v>12</v>
      </c>
      <c r="C96">
        <v>149</v>
      </c>
      <c r="D96">
        <v>12</v>
      </c>
      <c r="E96" s="4">
        <v>44693</v>
      </c>
      <c r="F96" t="s">
        <v>94</v>
      </c>
      <c r="H96" t="s">
        <v>120</v>
      </c>
      <c r="I96" t="s">
        <v>517</v>
      </c>
      <c r="J96" t="s">
        <v>41</v>
      </c>
      <c r="K96" s="9">
        <v>1.7909722222222222</v>
      </c>
      <c r="L96">
        <v>4</v>
      </c>
      <c r="M96">
        <v>9</v>
      </c>
      <c r="N96">
        <v>0.44400000000000001</v>
      </c>
      <c r="O96">
        <v>3</v>
      </c>
      <c r="P96">
        <v>7</v>
      </c>
      <c r="Q96">
        <v>0.42899999999999999</v>
      </c>
      <c r="R96">
        <v>1</v>
      </c>
      <c r="S96">
        <v>2</v>
      </c>
      <c r="T96">
        <v>0.5</v>
      </c>
      <c r="U96">
        <v>0.61099999999999999</v>
      </c>
      <c r="V96">
        <v>0</v>
      </c>
      <c r="W96">
        <v>0</v>
      </c>
      <c r="Y96">
        <v>0</v>
      </c>
      <c r="Z96">
        <v>4</v>
      </c>
      <c r="AA96">
        <v>4</v>
      </c>
      <c r="AB96">
        <v>9</v>
      </c>
      <c r="AC96">
        <v>1</v>
      </c>
      <c r="AD96">
        <v>0</v>
      </c>
      <c r="AE96">
        <v>4</v>
      </c>
      <c r="AF96">
        <v>2</v>
      </c>
      <c r="AG96">
        <v>11</v>
      </c>
      <c r="AH96">
        <v>10</v>
      </c>
      <c r="AI96">
        <v>-16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D9B1-2B9E-2145-AB21-130B62F7432C}">
  <dimension ref="A1:AI105"/>
  <sheetViews>
    <sheetView workbookViewId="0">
      <selection activeCell="H2" sqref="H2:H105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547</v>
      </c>
      <c r="B2" s="11">
        <v>1</v>
      </c>
      <c r="C2">
        <v>109</v>
      </c>
      <c r="D2">
        <v>1</v>
      </c>
      <c r="E2" s="4">
        <v>44488</v>
      </c>
      <c r="F2" t="s">
        <v>33</v>
      </c>
      <c r="G2" t="s">
        <v>37</v>
      </c>
      <c r="H2" t="s">
        <v>62</v>
      </c>
      <c r="I2" t="s">
        <v>63</v>
      </c>
      <c r="J2" t="s">
        <v>41</v>
      </c>
      <c r="K2" s="9">
        <v>1.0444444444444445</v>
      </c>
      <c r="L2">
        <v>8</v>
      </c>
      <c r="M2">
        <v>18</v>
      </c>
      <c r="N2">
        <v>0.44400000000000001</v>
      </c>
      <c r="O2">
        <v>4</v>
      </c>
      <c r="P2">
        <v>11</v>
      </c>
      <c r="Q2">
        <v>0.36399999999999999</v>
      </c>
      <c r="R2">
        <v>4</v>
      </c>
      <c r="S2">
        <v>7</v>
      </c>
      <c r="T2">
        <v>0.57099999999999995</v>
      </c>
      <c r="U2">
        <v>0.55600000000000005</v>
      </c>
      <c r="V2">
        <v>0</v>
      </c>
      <c r="W2">
        <v>1</v>
      </c>
      <c r="X2">
        <v>0</v>
      </c>
      <c r="Y2">
        <v>0</v>
      </c>
      <c r="Z2">
        <v>2</v>
      </c>
      <c r="AA2">
        <v>2</v>
      </c>
      <c r="AB2">
        <v>3</v>
      </c>
      <c r="AC2">
        <v>1</v>
      </c>
      <c r="AD2">
        <v>0</v>
      </c>
      <c r="AE2">
        <v>2</v>
      </c>
      <c r="AF2">
        <v>2</v>
      </c>
      <c r="AG2">
        <v>20</v>
      </c>
      <c r="AH2">
        <v>11.1</v>
      </c>
      <c r="AI2">
        <v>2</v>
      </c>
    </row>
    <row r="3" spans="1:35" ht="21" x14ac:dyDescent="0.3">
      <c r="A3" t="s">
        <v>547</v>
      </c>
      <c r="B3" s="11">
        <v>2</v>
      </c>
      <c r="C3">
        <v>110</v>
      </c>
      <c r="D3">
        <v>2</v>
      </c>
      <c r="E3" s="4">
        <v>44490</v>
      </c>
      <c r="F3" t="s">
        <v>33</v>
      </c>
      <c r="H3" t="s">
        <v>64</v>
      </c>
      <c r="I3" t="s">
        <v>65</v>
      </c>
      <c r="J3" t="s">
        <v>41</v>
      </c>
      <c r="K3" s="9">
        <v>1.0493055555555555</v>
      </c>
      <c r="L3">
        <v>4</v>
      </c>
      <c r="M3">
        <v>14</v>
      </c>
      <c r="N3">
        <v>0.28599999999999998</v>
      </c>
      <c r="O3">
        <v>1</v>
      </c>
      <c r="P3">
        <v>6</v>
      </c>
      <c r="Q3">
        <v>0.16700000000000001</v>
      </c>
      <c r="R3">
        <v>3</v>
      </c>
      <c r="S3">
        <v>8</v>
      </c>
      <c r="T3">
        <v>0.375</v>
      </c>
      <c r="U3">
        <v>0.32100000000000001</v>
      </c>
      <c r="V3">
        <v>0</v>
      </c>
      <c r="W3">
        <v>0</v>
      </c>
      <c r="Y3">
        <v>1</v>
      </c>
      <c r="Z3">
        <v>3</v>
      </c>
      <c r="AA3">
        <v>4</v>
      </c>
      <c r="AB3">
        <v>4</v>
      </c>
      <c r="AC3">
        <v>1</v>
      </c>
      <c r="AD3">
        <v>0</v>
      </c>
      <c r="AE3">
        <v>7</v>
      </c>
      <c r="AF3">
        <v>4</v>
      </c>
      <c r="AG3">
        <v>9</v>
      </c>
      <c r="AH3">
        <v>-2.4</v>
      </c>
      <c r="AI3">
        <v>10</v>
      </c>
    </row>
    <row r="4" spans="1:35" ht="21" x14ac:dyDescent="0.3">
      <c r="A4" t="s">
        <v>547</v>
      </c>
      <c r="B4" s="11">
        <v>3</v>
      </c>
      <c r="C4">
        <v>111</v>
      </c>
      <c r="D4">
        <v>3</v>
      </c>
      <c r="E4" s="4">
        <v>44493</v>
      </c>
      <c r="F4" t="s">
        <v>33</v>
      </c>
      <c r="G4" t="s">
        <v>37</v>
      </c>
      <c r="H4" t="s">
        <v>66</v>
      </c>
      <c r="I4" t="s">
        <v>67</v>
      </c>
      <c r="J4" t="s">
        <v>41</v>
      </c>
      <c r="K4" s="9">
        <v>1.3291666666666666</v>
      </c>
      <c r="L4">
        <v>8</v>
      </c>
      <c r="M4">
        <v>16</v>
      </c>
      <c r="N4">
        <v>0.5</v>
      </c>
      <c r="O4">
        <v>2</v>
      </c>
      <c r="P4">
        <v>5</v>
      </c>
      <c r="Q4">
        <v>0.4</v>
      </c>
      <c r="R4">
        <v>6</v>
      </c>
      <c r="S4">
        <v>11</v>
      </c>
      <c r="T4">
        <v>0.54500000000000004</v>
      </c>
      <c r="U4">
        <v>0.56299999999999994</v>
      </c>
      <c r="V4">
        <v>4</v>
      </c>
      <c r="W4">
        <v>4</v>
      </c>
      <c r="X4">
        <v>1</v>
      </c>
      <c r="Y4">
        <v>0</v>
      </c>
      <c r="Z4">
        <v>3</v>
      </c>
      <c r="AA4">
        <v>3</v>
      </c>
      <c r="AB4">
        <v>3</v>
      </c>
      <c r="AC4">
        <v>3</v>
      </c>
      <c r="AD4">
        <v>1</v>
      </c>
      <c r="AE4">
        <v>2</v>
      </c>
      <c r="AF4">
        <v>3</v>
      </c>
      <c r="AG4">
        <v>22</v>
      </c>
      <c r="AH4">
        <v>17.5</v>
      </c>
      <c r="AI4">
        <v>4</v>
      </c>
    </row>
    <row r="5" spans="1:35" ht="21" x14ac:dyDescent="0.3">
      <c r="A5" t="s">
        <v>547</v>
      </c>
      <c r="B5" s="11">
        <v>4</v>
      </c>
      <c r="C5">
        <v>112</v>
      </c>
      <c r="D5">
        <v>4</v>
      </c>
      <c r="E5" s="4">
        <v>44495</v>
      </c>
      <c r="F5" t="s">
        <v>33</v>
      </c>
      <c r="G5" t="s">
        <v>37</v>
      </c>
      <c r="H5" t="s">
        <v>68</v>
      </c>
      <c r="I5" t="s">
        <v>69</v>
      </c>
      <c r="J5" t="s">
        <v>41</v>
      </c>
      <c r="K5" s="9">
        <v>1.2201388888888889</v>
      </c>
      <c r="L5">
        <v>5</v>
      </c>
      <c r="M5">
        <v>14</v>
      </c>
      <c r="N5">
        <v>0.35699999999999998</v>
      </c>
      <c r="O5">
        <v>0</v>
      </c>
      <c r="P5">
        <v>7</v>
      </c>
      <c r="Q5">
        <v>0</v>
      </c>
      <c r="R5">
        <v>5</v>
      </c>
      <c r="S5">
        <v>7</v>
      </c>
      <c r="T5">
        <v>0.71399999999999997</v>
      </c>
      <c r="U5">
        <v>0.35699999999999998</v>
      </c>
      <c r="V5">
        <v>0</v>
      </c>
      <c r="W5">
        <v>0</v>
      </c>
      <c r="Y5">
        <v>0</v>
      </c>
      <c r="Z5">
        <v>2</v>
      </c>
      <c r="AA5">
        <v>2</v>
      </c>
      <c r="AB5">
        <v>7</v>
      </c>
      <c r="AC5">
        <v>0</v>
      </c>
      <c r="AD5">
        <v>2</v>
      </c>
      <c r="AE5">
        <v>1</v>
      </c>
      <c r="AF5">
        <v>0</v>
      </c>
      <c r="AG5">
        <v>10</v>
      </c>
      <c r="AH5">
        <v>8.1</v>
      </c>
      <c r="AI5">
        <v>-17</v>
      </c>
    </row>
    <row r="6" spans="1:35" ht="21" x14ac:dyDescent="0.3">
      <c r="A6" t="s">
        <v>547</v>
      </c>
      <c r="B6" s="11">
        <v>5</v>
      </c>
      <c r="C6">
        <v>113</v>
      </c>
      <c r="D6">
        <v>5</v>
      </c>
      <c r="E6" s="4">
        <v>44497</v>
      </c>
      <c r="F6" t="s">
        <v>33</v>
      </c>
      <c r="H6" t="s">
        <v>42</v>
      </c>
      <c r="I6" t="s">
        <v>70</v>
      </c>
      <c r="J6" t="s">
        <v>41</v>
      </c>
      <c r="K6" s="7">
        <v>0.99513888888888891</v>
      </c>
      <c r="L6">
        <v>4</v>
      </c>
      <c r="M6">
        <v>9</v>
      </c>
      <c r="N6">
        <v>0.44400000000000001</v>
      </c>
      <c r="O6">
        <v>0</v>
      </c>
      <c r="P6">
        <v>2</v>
      </c>
      <c r="Q6">
        <v>0</v>
      </c>
      <c r="R6">
        <v>4</v>
      </c>
      <c r="S6">
        <v>7</v>
      </c>
      <c r="T6">
        <v>0.57099999999999995</v>
      </c>
      <c r="U6">
        <v>0.44400000000000001</v>
      </c>
      <c r="V6">
        <v>1</v>
      </c>
      <c r="W6">
        <v>1</v>
      </c>
      <c r="X6">
        <v>1</v>
      </c>
      <c r="Y6">
        <v>0</v>
      </c>
      <c r="Z6">
        <v>2</v>
      </c>
      <c r="AA6">
        <v>2</v>
      </c>
      <c r="AB6">
        <v>3</v>
      </c>
      <c r="AC6">
        <v>1</v>
      </c>
      <c r="AD6">
        <v>0</v>
      </c>
      <c r="AE6">
        <v>6</v>
      </c>
      <c r="AF6">
        <v>2</v>
      </c>
      <c r="AG6">
        <v>9</v>
      </c>
      <c r="AH6">
        <v>1.2</v>
      </c>
      <c r="AI6">
        <v>-12</v>
      </c>
    </row>
    <row r="7" spans="1:35" ht="21" x14ac:dyDescent="0.3">
      <c r="A7" t="s">
        <v>547</v>
      </c>
      <c r="B7" s="11">
        <v>6</v>
      </c>
      <c r="C7">
        <v>114</v>
      </c>
      <c r="D7">
        <v>6</v>
      </c>
      <c r="E7" s="4">
        <v>44499</v>
      </c>
      <c r="F7" t="s">
        <v>33</v>
      </c>
      <c r="H7" t="s">
        <v>68</v>
      </c>
      <c r="I7" t="s">
        <v>71</v>
      </c>
      <c r="J7" t="s">
        <v>41</v>
      </c>
      <c r="K7" s="9">
        <v>1.3062499999999999</v>
      </c>
      <c r="L7">
        <v>6</v>
      </c>
      <c r="M7">
        <v>15</v>
      </c>
      <c r="N7">
        <v>0.4</v>
      </c>
      <c r="O7">
        <v>2</v>
      </c>
      <c r="P7">
        <v>6</v>
      </c>
      <c r="Q7">
        <v>0.33300000000000002</v>
      </c>
      <c r="R7">
        <v>4</v>
      </c>
      <c r="S7">
        <v>9</v>
      </c>
      <c r="T7">
        <v>0.44400000000000001</v>
      </c>
      <c r="U7">
        <v>0.46700000000000003</v>
      </c>
      <c r="V7">
        <v>0</v>
      </c>
      <c r="W7">
        <v>0</v>
      </c>
      <c r="Y7">
        <v>1</v>
      </c>
      <c r="Z7">
        <v>2</v>
      </c>
      <c r="AA7">
        <v>3</v>
      </c>
      <c r="AB7">
        <v>4</v>
      </c>
      <c r="AC7">
        <v>1</v>
      </c>
      <c r="AD7">
        <v>0</v>
      </c>
      <c r="AE7">
        <v>0</v>
      </c>
      <c r="AF7">
        <v>4</v>
      </c>
      <c r="AG7">
        <v>14</v>
      </c>
      <c r="AH7">
        <v>9.4</v>
      </c>
      <c r="AI7">
        <v>19</v>
      </c>
    </row>
    <row r="8" spans="1:35" ht="21" x14ac:dyDescent="0.3">
      <c r="A8" t="s">
        <v>547</v>
      </c>
      <c r="B8" s="11">
        <v>7</v>
      </c>
      <c r="C8">
        <v>115</v>
      </c>
      <c r="D8">
        <v>7</v>
      </c>
      <c r="E8" s="4">
        <v>44503</v>
      </c>
      <c r="F8" t="s">
        <v>33</v>
      </c>
      <c r="H8" t="s">
        <v>72</v>
      </c>
      <c r="I8" t="s">
        <v>73</v>
      </c>
      <c r="J8" t="s">
        <v>41</v>
      </c>
      <c r="K8" s="9">
        <v>1.351388888888889</v>
      </c>
      <c r="L8">
        <v>11</v>
      </c>
      <c r="M8">
        <v>21</v>
      </c>
      <c r="N8">
        <v>0.52400000000000002</v>
      </c>
      <c r="O8">
        <v>7</v>
      </c>
      <c r="P8">
        <v>16</v>
      </c>
      <c r="Q8">
        <v>0.438</v>
      </c>
      <c r="R8">
        <v>4</v>
      </c>
      <c r="S8">
        <v>5</v>
      </c>
      <c r="T8">
        <v>0.8</v>
      </c>
      <c r="U8">
        <v>0.69</v>
      </c>
      <c r="V8">
        <v>2</v>
      </c>
      <c r="W8">
        <v>2</v>
      </c>
      <c r="X8">
        <v>1</v>
      </c>
      <c r="Y8">
        <v>0</v>
      </c>
      <c r="Z8">
        <v>3</v>
      </c>
      <c r="AA8">
        <v>3</v>
      </c>
      <c r="AB8">
        <v>1</v>
      </c>
      <c r="AC8">
        <v>4</v>
      </c>
      <c r="AD8">
        <v>0</v>
      </c>
      <c r="AE8">
        <v>1</v>
      </c>
      <c r="AF8">
        <v>3</v>
      </c>
      <c r="AG8">
        <v>31</v>
      </c>
      <c r="AH8">
        <v>24.1</v>
      </c>
      <c r="AI8">
        <v>28</v>
      </c>
    </row>
    <row r="9" spans="1:35" ht="21" x14ac:dyDescent="0.3">
      <c r="A9" t="s">
        <v>547</v>
      </c>
      <c r="B9" s="11">
        <v>8</v>
      </c>
      <c r="C9">
        <v>116</v>
      </c>
      <c r="D9">
        <v>8</v>
      </c>
      <c r="E9" s="4">
        <v>44505</v>
      </c>
      <c r="F9" t="s">
        <v>33</v>
      </c>
      <c r="H9" t="s">
        <v>74</v>
      </c>
      <c r="I9" t="s">
        <v>75</v>
      </c>
      <c r="J9" t="s">
        <v>41</v>
      </c>
      <c r="K9" s="9">
        <v>1.1604166666666667</v>
      </c>
      <c r="L9">
        <v>10</v>
      </c>
      <c r="M9">
        <v>15</v>
      </c>
      <c r="N9">
        <v>0.66700000000000004</v>
      </c>
      <c r="O9">
        <v>6</v>
      </c>
      <c r="P9">
        <v>9</v>
      </c>
      <c r="Q9">
        <v>0.66700000000000004</v>
      </c>
      <c r="R9">
        <v>4</v>
      </c>
      <c r="S9">
        <v>6</v>
      </c>
      <c r="T9">
        <v>0.66700000000000004</v>
      </c>
      <c r="U9">
        <v>0.86699999999999999</v>
      </c>
      <c r="V9">
        <v>0</v>
      </c>
      <c r="W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3</v>
      </c>
      <c r="AG9">
        <v>26</v>
      </c>
      <c r="AH9">
        <v>18</v>
      </c>
      <c r="AI9">
        <v>31</v>
      </c>
    </row>
    <row r="10" spans="1:35" ht="21" x14ac:dyDescent="0.3">
      <c r="A10" t="s">
        <v>547</v>
      </c>
      <c r="B10" s="11">
        <v>9</v>
      </c>
      <c r="C10">
        <v>117</v>
      </c>
      <c r="D10">
        <v>9</v>
      </c>
      <c r="E10" s="4">
        <v>44507</v>
      </c>
      <c r="F10" t="s">
        <v>33</v>
      </c>
      <c r="H10" t="s">
        <v>76</v>
      </c>
      <c r="I10" t="s">
        <v>77</v>
      </c>
      <c r="J10" t="s">
        <v>41</v>
      </c>
      <c r="K10" s="9">
        <v>1.2430555555555556</v>
      </c>
      <c r="L10">
        <v>7</v>
      </c>
      <c r="M10">
        <v>13</v>
      </c>
      <c r="N10">
        <v>0.53800000000000003</v>
      </c>
      <c r="O10">
        <v>2</v>
      </c>
      <c r="P10">
        <v>7</v>
      </c>
      <c r="Q10">
        <v>0.28599999999999998</v>
      </c>
      <c r="R10">
        <v>5</v>
      </c>
      <c r="S10">
        <v>6</v>
      </c>
      <c r="T10">
        <v>0.83299999999999996</v>
      </c>
      <c r="U10">
        <v>0.61499999999999999</v>
      </c>
      <c r="V10">
        <v>9</v>
      </c>
      <c r="W10">
        <v>9</v>
      </c>
      <c r="X10">
        <v>1</v>
      </c>
      <c r="Y10">
        <v>0</v>
      </c>
      <c r="Z10">
        <v>4</v>
      </c>
      <c r="AA10">
        <v>4</v>
      </c>
      <c r="AB10">
        <v>5</v>
      </c>
      <c r="AC10">
        <v>1</v>
      </c>
      <c r="AD10">
        <v>0</v>
      </c>
      <c r="AE10">
        <v>3</v>
      </c>
      <c r="AF10">
        <v>5</v>
      </c>
      <c r="AG10">
        <v>25</v>
      </c>
      <c r="AH10">
        <v>19.399999999999999</v>
      </c>
      <c r="AI10">
        <v>3</v>
      </c>
    </row>
    <row r="11" spans="1:35" ht="21" x14ac:dyDescent="0.3">
      <c r="A11" t="s">
        <v>547</v>
      </c>
      <c r="B11" s="11">
        <v>10</v>
      </c>
      <c r="C11">
        <v>118</v>
      </c>
      <c r="D11">
        <v>10</v>
      </c>
      <c r="E11" s="4">
        <v>44508</v>
      </c>
      <c r="F11" t="s">
        <v>33</v>
      </c>
      <c r="H11" t="s">
        <v>78</v>
      </c>
      <c r="I11" t="s">
        <v>79</v>
      </c>
      <c r="J11" t="s">
        <v>41</v>
      </c>
      <c r="K11" s="9">
        <v>1.3180555555555555</v>
      </c>
      <c r="L11">
        <v>6</v>
      </c>
      <c r="M11">
        <v>17</v>
      </c>
      <c r="N11">
        <v>0.35299999999999998</v>
      </c>
      <c r="O11">
        <v>3</v>
      </c>
      <c r="P11">
        <v>10</v>
      </c>
      <c r="Q11">
        <v>0.3</v>
      </c>
      <c r="R11">
        <v>3</v>
      </c>
      <c r="S11">
        <v>7</v>
      </c>
      <c r="T11">
        <v>0.42899999999999999</v>
      </c>
      <c r="U11">
        <v>0.441</v>
      </c>
      <c r="V11">
        <v>1</v>
      </c>
      <c r="W11">
        <v>1</v>
      </c>
      <c r="X11">
        <v>1</v>
      </c>
      <c r="Y11">
        <v>0</v>
      </c>
      <c r="Z11">
        <v>4</v>
      </c>
      <c r="AA11">
        <v>4</v>
      </c>
      <c r="AB11">
        <v>4</v>
      </c>
      <c r="AC11">
        <v>2</v>
      </c>
      <c r="AD11">
        <v>0</v>
      </c>
      <c r="AE11">
        <v>0</v>
      </c>
      <c r="AF11">
        <v>2</v>
      </c>
      <c r="AG11">
        <v>16</v>
      </c>
      <c r="AH11">
        <v>11.7</v>
      </c>
      <c r="AI11">
        <v>-12</v>
      </c>
    </row>
    <row r="12" spans="1:35" ht="21" x14ac:dyDescent="0.3">
      <c r="A12" t="s">
        <v>547</v>
      </c>
      <c r="B12" s="11">
        <v>11</v>
      </c>
      <c r="C12">
        <v>119</v>
      </c>
      <c r="D12">
        <v>11</v>
      </c>
      <c r="E12" s="4">
        <v>44510</v>
      </c>
      <c r="F12" t="s">
        <v>33</v>
      </c>
      <c r="H12" t="s">
        <v>80</v>
      </c>
      <c r="I12" t="s">
        <v>81</v>
      </c>
      <c r="J12" t="s">
        <v>41</v>
      </c>
      <c r="K12" s="9">
        <v>1.538888888888889</v>
      </c>
      <c r="L12">
        <v>5</v>
      </c>
      <c r="M12">
        <v>17</v>
      </c>
      <c r="N12">
        <v>0.29399999999999998</v>
      </c>
      <c r="O12">
        <v>2</v>
      </c>
      <c r="P12">
        <v>11</v>
      </c>
      <c r="Q12">
        <v>0.182</v>
      </c>
      <c r="R12">
        <v>3</v>
      </c>
      <c r="S12">
        <v>6</v>
      </c>
      <c r="T12">
        <v>0.5</v>
      </c>
      <c r="U12">
        <v>0.35299999999999998</v>
      </c>
      <c r="V12">
        <v>2</v>
      </c>
      <c r="W12">
        <v>2</v>
      </c>
      <c r="X12">
        <v>1</v>
      </c>
      <c r="Y12">
        <v>1</v>
      </c>
      <c r="Z12">
        <v>4</v>
      </c>
      <c r="AA12">
        <v>5</v>
      </c>
      <c r="AB12">
        <v>2</v>
      </c>
      <c r="AC12">
        <v>1</v>
      </c>
      <c r="AD12">
        <v>0</v>
      </c>
      <c r="AE12">
        <v>1</v>
      </c>
      <c r="AF12">
        <v>2</v>
      </c>
      <c r="AG12">
        <v>14</v>
      </c>
      <c r="AH12">
        <v>6.6</v>
      </c>
      <c r="AI12">
        <v>10</v>
      </c>
    </row>
    <row r="13" spans="1:35" ht="21" x14ac:dyDescent="0.3">
      <c r="A13" t="s">
        <v>547</v>
      </c>
      <c r="B13" s="11">
        <v>12</v>
      </c>
      <c r="C13">
        <v>120</v>
      </c>
      <c r="D13">
        <v>12</v>
      </c>
      <c r="E13" s="4">
        <v>44512</v>
      </c>
      <c r="F13" t="s">
        <v>33</v>
      </c>
      <c r="H13" t="s">
        <v>82</v>
      </c>
      <c r="I13" t="s">
        <v>83</v>
      </c>
      <c r="J13" t="s">
        <v>41</v>
      </c>
      <c r="K13" s="9">
        <v>1.3243055555555556</v>
      </c>
      <c r="L13">
        <v>5</v>
      </c>
      <c r="M13">
        <v>12</v>
      </c>
      <c r="N13">
        <v>0.41699999999999998</v>
      </c>
      <c r="O13">
        <v>2</v>
      </c>
      <c r="P13">
        <v>9</v>
      </c>
      <c r="Q13">
        <v>0.222</v>
      </c>
      <c r="R13">
        <v>3</v>
      </c>
      <c r="S13">
        <v>3</v>
      </c>
      <c r="T13">
        <v>1</v>
      </c>
      <c r="U13">
        <v>0.5</v>
      </c>
      <c r="V13">
        <v>2</v>
      </c>
      <c r="W13">
        <v>2</v>
      </c>
      <c r="X13">
        <v>1</v>
      </c>
      <c r="Y13">
        <v>0</v>
      </c>
      <c r="Z13">
        <v>1</v>
      </c>
      <c r="AA13">
        <v>1</v>
      </c>
      <c r="AB13">
        <v>2</v>
      </c>
      <c r="AC13">
        <v>3</v>
      </c>
      <c r="AD13">
        <v>0</v>
      </c>
      <c r="AE13">
        <v>4</v>
      </c>
      <c r="AF13">
        <v>2</v>
      </c>
      <c r="AG13">
        <v>14</v>
      </c>
      <c r="AH13">
        <v>7.5</v>
      </c>
      <c r="AI13">
        <v>8</v>
      </c>
    </row>
    <row r="14" spans="1:35" ht="21" x14ac:dyDescent="0.3">
      <c r="A14" t="s">
        <v>547</v>
      </c>
      <c r="B14" s="11">
        <v>13</v>
      </c>
      <c r="C14">
        <v>121</v>
      </c>
      <c r="D14">
        <v>13</v>
      </c>
      <c r="E14" s="4">
        <v>44514</v>
      </c>
      <c r="F14" t="s">
        <v>33</v>
      </c>
      <c r="G14" t="s">
        <v>37</v>
      </c>
      <c r="H14" t="s">
        <v>72</v>
      </c>
      <c r="I14" t="s">
        <v>84</v>
      </c>
      <c r="J14" t="s">
        <v>41</v>
      </c>
      <c r="K14" s="9">
        <v>1.1916666666666667</v>
      </c>
      <c r="L14">
        <v>4</v>
      </c>
      <c r="M14">
        <v>12</v>
      </c>
      <c r="N14">
        <v>0.33300000000000002</v>
      </c>
      <c r="O14">
        <v>2</v>
      </c>
      <c r="P14">
        <v>8</v>
      </c>
      <c r="Q14">
        <v>0.25</v>
      </c>
      <c r="R14">
        <v>2</v>
      </c>
      <c r="S14">
        <v>4</v>
      </c>
      <c r="T14">
        <v>0.5</v>
      </c>
      <c r="U14">
        <v>0.41699999999999998</v>
      </c>
      <c r="V14">
        <v>3</v>
      </c>
      <c r="W14">
        <v>3</v>
      </c>
      <c r="X14">
        <v>1</v>
      </c>
      <c r="Y14">
        <v>0</v>
      </c>
      <c r="Z14">
        <v>1</v>
      </c>
      <c r="AA14">
        <v>1</v>
      </c>
      <c r="AB14">
        <v>3</v>
      </c>
      <c r="AC14">
        <v>1</v>
      </c>
      <c r="AD14">
        <v>0</v>
      </c>
      <c r="AE14">
        <v>3</v>
      </c>
      <c r="AF14">
        <v>0</v>
      </c>
      <c r="AG14">
        <v>13</v>
      </c>
      <c r="AH14">
        <v>6.6</v>
      </c>
      <c r="AI14">
        <v>-8</v>
      </c>
    </row>
    <row r="15" spans="1:35" ht="21" x14ac:dyDescent="0.3">
      <c r="A15" t="s">
        <v>547</v>
      </c>
      <c r="B15" s="11">
        <v>14</v>
      </c>
      <c r="C15">
        <v>122</v>
      </c>
      <c r="D15">
        <v>14</v>
      </c>
      <c r="E15" s="4">
        <v>44516</v>
      </c>
      <c r="F15" t="s">
        <v>33</v>
      </c>
      <c r="G15" t="s">
        <v>37</v>
      </c>
      <c r="H15" t="s">
        <v>85</v>
      </c>
      <c r="I15" t="s">
        <v>86</v>
      </c>
      <c r="J15" t="s">
        <v>41</v>
      </c>
      <c r="K15" s="9">
        <v>1.1736111111111112</v>
      </c>
      <c r="L15">
        <v>6</v>
      </c>
      <c r="M15">
        <v>13</v>
      </c>
      <c r="N15">
        <v>0.46200000000000002</v>
      </c>
      <c r="O15">
        <v>0</v>
      </c>
      <c r="P15">
        <v>7</v>
      </c>
      <c r="Q15">
        <v>0</v>
      </c>
      <c r="R15">
        <v>6</v>
      </c>
      <c r="S15">
        <v>6</v>
      </c>
      <c r="T15">
        <v>1</v>
      </c>
      <c r="U15">
        <v>0.46200000000000002</v>
      </c>
      <c r="V15">
        <v>5</v>
      </c>
      <c r="W15">
        <v>6</v>
      </c>
      <c r="X15">
        <v>0.83299999999999996</v>
      </c>
      <c r="Y15">
        <v>0</v>
      </c>
      <c r="Z15">
        <v>4</v>
      </c>
      <c r="AA15">
        <v>4</v>
      </c>
      <c r="AB15">
        <v>4</v>
      </c>
      <c r="AC15">
        <v>0</v>
      </c>
      <c r="AD15">
        <v>1</v>
      </c>
      <c r="AE15">
        <v>5</v>
      </c>
      <c r="AF15">
        <v>5</v>
      </c>
      <c r="AG15">
        <v>17</v>
      </c>
      <c r="AH15">
        <v>7.6</v>
      </c>
      <c r="AI15">
        <v>4</v>
      </c>
    </row>
    <row r="16" spans="1:35" ht="21" x14ac:dyDescent="0.3">
      <c r="A16" t="s">
        <v>547</v>
      </c>
      <c r="B16" s="11">
        <v>15</v>
      </c>
      <c r="C16">
        <v>123</v>
      </c>
      <c r="D16">
        <v>15</v>
      </c>
      <c r="E16" s="4">
        <v>44518</v>
      </c>
      <c r="F16" t="s">
        <v>33</v>
      </c>
      <c r="G16" t="s">
        <v>37</v>
      </c>
      <c r="H16" t="s">
        <v>87</v>
      </c>
      <c r="I16" t="s">
        <v>88</v>
      </c>
      <c r="J16" t="s">
        <v>41</v>
      </c>
      <c r="K16" s="7">
        <v>0.98402777777777772</v>
      </c>
      <c r="L16">
        <v>3</v>
      </c>
      <c r="M16">
        <v>10</v>
      </c>
      <c r="N16">
        <v>0.3</v>
      </c>
      <c r="O16">
        <v>1</v>
      </c>
      <c r="P16">
        <v>5</v>
      </c>
      <c r="Q16">
        <v>0.2</v>
      </c>
      <c r="R16">
        <v>2</v>
      </c>
      <c r="S16">
        <v>5</v>
      </c>
      <c r="T16">
        <v>0.4</v>
      </c>
      <c r="U16">
        <v>0.35</v>
      </c>
      <c r="V16">
        <v>1</v>
      </c>
      <c r="W16">
        <v>1</v>
      </c>
      <c r="X16">
        <v>1</v>
      </c>
      <c r="Y16">
        <v>0</v>
      </c>
      <c r="Z16">
        <v>2</v>
      </c>
      <c r="AA16">
        <v>2</v>
      </c>
      <c r="AB16">
        <v>2</v>
      </c>
      <c r="AC16">
        <v>1</v>
      </c>
      <c r="AD16">
        <v>0</v>
      </c>
      <c r="AE16">
        <v>0</v>
      </c>
      <c r="AF16">
        <v>3</v>
      </c>
      <c r="AG16">
        <v>8</v>
      </c>
      <c r="AH16">
        <v>4</v>
      </c>
      <c r="AI16">
        <v>-8</v>
      </c>
    </row>
    <row r="17" spans="1:35" ht="21" x14ac:dyDescent="0.3">
      <c r="A17" t="s">
        <v>547</v>
      </c>
      <c r="B17" s="11">
        <v>16</v>
      </c>
      <c r="C17">
        <v>124</v>
      </c>
      <c r="D17">
        <v>16</v>
      </c>
      <c r="E17" s="4">
        <v>44519</v>
      </c>
      <c r="F17" t="s">
        <v>33</v>
      </c>
      <c r="G17" t="s">
        <v>37</v>
      </c>
      <c r="H17" t="s">
        <v>89</v>
      </c>
      <c r="I17" t="s">
        <v>90</v>
      </c>
      <c r="J17" t="s">
        <v>41</v>
      </c>
      <c r="K17" s="9">
        <v>1.5590277777777777</v>
      </c>
      <c r="L17">
        <v>13</v>
      </c>
      <c r="M17">
        <v>22</v>
      </c>
      <c r="N17">
        <v>0.59099999999999997</v>
      </c>
      <c r="O17">
        <v>4</v>
      </c>
      <c r="P17">
        <v>8</v>
      </c>
      <c r="Q17">
        <v>0.5</v>
      </c>
      <c r="R17">
        <v>9</v>
      </c>
      <c r="S17">
        <v>14</v>
      </c>
      <c r="T17">
        <v>0.64300000000000002</v>
      </c>
      <c r="U17">
        <v>0.68200000000000005</v>
      </c>
      <c r="V17">
        <v>2</v>
      </c>
      <c r="W17">
        <v>2</v>
      </c>
      <c r="X17">
        <v>1</v>
      </c>
      <c r="Y17">
        <v>1</v>
      </c>
      <c r="Z17">
        <v>6</v>
      </c>
      <c r="AA17">
        <v>7</v>
      </c>
      <c r="AB17">
        <v>2</v>
      </c>
      <c r="AC17">
        <v>0</v>
      </c>
      <c r="AD17">
        <v>0</v>
      </c>
      <c r="AE17">
        <v>4</v>
      </c>
      <c r="AF17">
        <v>4</v>
      </c>
      <c r="AG17">
        <v>32</v>
      </c>
      <c r="AH17">
        <v>20.100000000000001</v>
      </c>
      <c r="AI17">
        <v>18</v>
      </c>
    </row>
    <row r="18" spans="1:35" ht="21" x14ac:dyDescent="0.3">
      <c r="A18" t="s">
        <v>547</v>
      </c>
      <c r="B18" s="11">
        <v>17</v>
      </c>
      <c r="C18">
        <v>125</v>
      </c>
      <c r="D18">
        <v>17</v>
      </c>
      <c r="E18" s="4">
        <v>44521</v>
      </c>
      <c r="F18" t="s">
        <v>33</v>
      </c>
      <c r="H18" t="s">
        <v>92</v>
      </c>
      <c r="I18" t="s">
        <v>93</v>
      </c>
      <c r="J18" t="s">
        <v>41</v>
      </c>
      <c r="K18" s="9">
        <v>1.2777777777777777</v>
      </c>
      <c r="L18">
        <v>10</v>
      </c>
      <c r="M18">
        <v>13</v>
      </c>
      <c r="N18">
        <v>0.76900000000000002</v>
      </c>
      <c r="O18">
        <v>8</v>
      </c>
      <c r="P18">
        <v>11</v>
      </c>
      <c r="Q18">
        <v>0.72699999999999998</v>
      </c>
      <c r="R18">
        <v>2</v>
      </c>
      <c r="S18">
        <v>2</v>
      </c>
      <c r="T18">
        <v>1</v>
      </c>
      <c r="U18">
        <v>1.077</v>
      </c>
      <c r="V18">
        <v>5</v>
      </c>
      <c r="W18">
        <v>6</v>
      </c>
      <c r="X18">
        <v>0.83299999999999996</v>
      </c>
      <c r="Y18">
        <v>1</v>
      </c>
      <c r="Z18">
        <v>3</v>
      </c>
      <c r="AA18">
        <v>4</v>
      </c>
      <c r="AB18">
        <v>4</v>
      </c>
      <c r="AC18">
        <v>0</v>
      </c>
      <c r="AD18">
        <v>0</v>
      </c>
      <c r="AE18">
        <v>5</v>
      </c>
      <c r="AF18">
        <v>5</v>
      </c>
      <c r="AG18">
        <v>33</v>
      </c>
      <c r="AH18">
        <v>24.9</v>
      </c>
      <c r="AI18">
        <v>14</v>
      </c>
    </row>
    <row r="19" spans="1:35" ht="21" x14ac:dyDescent="0.3">
      <c r="A19" t="s">
        <v>547</v>
      </c>
      <c r="B19" s="11">
        <v>18</v>
      </c>
      <c r="C19">
        <v>126</v>
      </c>
      <c r="D19">
        <v>18</v>
      </c>
      <c r="E19" s="4">
        <v>44524</v>
      </c>
      <c r="F19" t="s">
        <v>33</v>
      </c>
      <c r="H19" t="s">
        <v>94</v>
      </c>
      <c r="I19" t="s">
        <v>95</v>
      </c>
      <c r="J19" t="s">
        <v>41</v>
      </c>
      <c r="K19" s="9">
        <v>1.3819444444444444</v>
      </c>
      <c r="L19">
        <v>5</v>
      </c>
      <c r="M19">
        <v>13</v>
      </c>
      <c r="N19">
        <v>0.38500000000000001</v>
      </c>
      <c r="O19">
        <v>2</v>
      </c>
      <c r="P19">
        <v>7</v>
      </c>
      <c r="Q19">
        <v>0.28599999999999998</v>
      </c>
      <c r="R19">
        <v>3</v>
      </c>
      <c r="S19">
        <v>6</v>
      </c>
      <c r="T19">
        <v>0.5</v>
      </c>
      <c r="U19">
        <v>0.46200000000000002</v>
      </c>
      <c r="V19">
        <v>5</v>
      </c>
      <c r="W19">
        <v>6</v>
      </c>
      <c r="X19">
        <v>0.83299999999999996</v>
      </c>
      <c r="Y19">
        <v>0</v>
      </c>
      <c r="Z19">
        <v>5</v>
      </c>
      <c r="AA19">
        <v>5</v>
      </c>
      <c r="AB19">
        <v>6</v>
      </c>
      <c r="AC19">
        <v>0</v>
      </c>
      <c r="AD19">
        <v>0</v>
      </c>
      <c r="AE19">
        <v>2</v>
      </c>
      <c r="AF19">
        <v>4</v>
      </c>
      <c r="AG19">
        <v>17</v>
      </c>
      <c r="AH19">
        <v>11.6</v>
      </c>
      <c r="AI19">
        <v>16</v>
      </c>
    </row>
    <row r="20" spans="1:35" ht="21" x14ac:dyDescent="0.3">
      <c r="A20" t="s">
        <v>547</v>
      </c>
      <c r="B20" s="11">
        <v>19</v>
      </c>
      <c r="C20">
        <v>127</v>
      </c>
      <c r="D20">
        <v>19</v>
      </c>
      <c r="E20" s="4">
        <v>44526</v>
      </c>
      <c r="F20" t="s">
        <v>33</v>
      </c>
      <c r="H20" t="s">
        <v>96</v>
      </c>
      <c r="I20" t="s">
        <v>97</v>
      </c>
      <c r="J20" t="s">
        <v>41</v>
      </c>
      <c r="K20" s="9">
        <v>1.4402777777777778</v>
      </c>
      <c r="L20">
        <v>5</v>
      </c>
      <c r="M20">
        <v>12</v>
      </c>
      <c r="N20">
        <v>0.41699999999999998</v>
      </c>
      <c r="O20">
        <v>2</v>
      </c>
      <c r="P20">
        <v>6</v>
      </c>
      <c r="Q20">
        <v>0.33300000000000002</v>
      </c>
      <c r="R20">
        <v>3</v>
      </c>
      <c r="S20">
        <v>6</v>
      </c>
      <c r="T20">
        <v>0.5</v>
      </c>
      <c r="U20">
        <v>0.5</v>
      </c>
      <c r="V20">
        <v>2</v>
      </c>
      <c r="W20">
        <v>2</v>
      </c>
      <c r="X20">
        <v>1</v>
      </c>
      <c r="Y20">
        <v>1</v>
      </c>
      <c r="Z20">
        <v>1</v>
      </c>
      <c r="AA20">
        <v>2</v>
      </c>
      <c r="AB20">
        <v>5</v>
      </c>
      <c r="AC20">
        <v>0</v>
      </c>
      <c r="AD20">
        <v>0</v>
      </c>
      <c r="AE20">
        <v>1</v>
      </c>
      <c r="AF20">
        <v>3</v>
      </c>
      <c r="AG20">
        <v>14</v>
      </c>
      <c r="AH20">
        <v>9.9</v>
      </c>
      <c r="AI20">
        <v>23</v>
      </c>
    </row>
    <row r="21" spans="1:35" ht="21" x14ac:dyDescent="0.3">
      <c r="A21" t="s">
        <v>547</v>
      </c>
      <c r="B21" s="11">
        <v>20</v>
      </c>
      <c r="C21">
        <v>128</v>
      </c>
      <c r="D21">
        <v>20</v>
      </c>
      <c r="E21" s="4">
        <v>44528</v>
      </c>
      <c r="F21" t="s">
        <v>33</v>
      </c>
      <c r="G21" t="s">
        <v>37</v>
      </c>
      <c r="H21" t="s">
        <v>64</v>
      </c>
      <c r="I21" t="s">
        <v>98</v>
      </c>
      <c r="J21" t="s">
        <v>41</v>
      </c>
      <c r="K21" s="9">
        <v>1.2791666666666666</v>
      </c>
      <c r="L21">
        <v>6</v>
      </c>
      <c r="M21">
        <v>16</v>
      </c>
      <c r="N21">
        <v>0.375</v>
      </c>
      <c r="O21">
        <v>4</v>
      </c>
      <c r="P21">
        <v>10</v>
      </c>
      <c r="Q21">
        <v>0.4</v>
      </c>
      <c r="R21">
        <v>2</v>
      </c>
      <c r="S21">
        <v>6</v>
      </c>
      <c r="T21">
        <v>0.33300000000000002</v>
      </c>
      <c r="U21">
        <v>0.5</v>
      </c>
      <c r="V21">
        <v>1</v>
      </c>
      <c r="W21">
        <v>1</v>
      </c>
      <c r="X21">
        <v>1</v>
      </c>
      <c r="Y21">
        <v>0</v>
      </c>
      <c r="Z21">
        <v>3</v>
      </c>
      <c r="AA21">
        <v>3</v>
      </c>
      <c r="AB21">
        <v>2</v>
      </c>
      <c r="AC21">
        <v>1</v>
      </c>
      <c r="AD21">
        <v>0</v>
      </c>
      <c r="AE21">
        <v>0</v>
      </c>
      <c r="AF21">
        <v>2</v>
      </c>
      <c r="AG21">
        <v>17</v>
      </c>
      <c r="AH21">
        <v>10.7</v>
      </c>
      <c r="AI21">
        <v>1</v>
      </c>
    </row>
    <row r="22" spans="1:35" ht="21" x14ac:dyDescent="0.3">
      <c r="A22" t="s">
        <v>547</v>
      </c>
      <c r="B22" s="11">
        <v>21</v>
      </c>
      <c r="C22">
        <v>129</v>
      </c>
      <c r="D22">
        <v>21</v>
      </c>
      <c r="E22" s="4">
        <v>44530</v>
      </c>
      <c r="F22" t="s">
        <v>33</v>
      </c>
      <c r="G22" t="s">
        <v>37</v>
      </c>
      <c r="H22" t="s">
        <v>99</v>
      </c>
      <c r="I22" t="s">
        <v>100</v>
      </c>
      <c r="J22" t="s">
        <v>41</v>
      </c>
      <c r="K22" s="9">
        <v>1.4576388888888889</v>
      </c>
      <c r="L22">
        <v>9</v>
      </c>
      <c r="M22">
        <v>15</v>
      </c>
      <c r="N22">
        <v>0.6</v>
      </c>
      <c r="O22">
        <v>6</v>
      </c>
      <c r="P22">
        <v>12</v>
      </c>
      <c r="Q22">
        <v>0.5</v>
      </c>
      <c r="R22">
        <v>3</v>
      </c>
      <c r="S22">
        <v>3</v>
      </c>
      <c r="T22">
        <v>1</v>
      </c>
      <c r="U22">
        <v>0.8</v>
      </c>
      <c r="V22">
        <v>4</v>
      </c>
      <c r="W22">
        <v>5</v>
      </c>
      <c r="X22">
        <v>0.8</v>
      </c>
      <c r="Y22">
        <v>0</v>
      </c>
      <c r="Z22">
        <v>5</v>
      </c>
      <c r="AA22">
        <v>5</v>
      </c>
      <c r="AB22">
        <v>3</v>
      </c>
      <c r="AC22">
        <v>2</v>
      </c>
      <c r="AD22">
        <v>1</v>
      </c>
      <c r="AE22">
        <v>4</v>
      </c>
      <c r="AF22">
        <v>2</v>
      </c>
      <c r="AG22">
        <v>28</v>
      </c>
      <c r="AH22">
        <v>22.2</v>
      </c>
      <c r="AI22">
        <v>-9</v>
      </c>
    </row>
    <row r="23" spans="1:35" ht="21" x14ac:dyDescent="0.3">
      <c r="A23" t="s">
        <v>547</v>
      </c>
      <c r="B23" s="11">
        <v>22</v>
      </c>
      <c r="C23">
        <v>130</v>
      </c>
      <c r="D23">
        <v>22</v>
      </c>
      <c r="E23" s="4">
        <v>44533</v>
      </c>
      <c r="F23" t="s">
        <v>33</v>
      </c>
      <c r="H23" t="s">
        <v>99</v>
      </c>
      <c r="I23" t="s">
        <v>101</v>
      </c>
      <c r="J23" t="s">
        <v>41</v>
      </c>
      <c r="K23" s="9">
        <v>1.3277777777777777</v>
      </c>
      <c r="L23">
        <v>5</v>
      </c>
      <c r="M23">
        <v>12</v>
      </c>
      <c r="N23">
        <v>0.41699999999999998</v>
      </c>
      <c r="O23">
        <v>2</v>
      </c>
      <c r="P23">
        <v>5</v>
      </c>
      <c r="Q23">
        <v>0.4</v>
      </c>
      <c r="R23">
        <v>3</v>
      </c>
      <c r="S23">
        <v>7</v>
      </c>
      <c r="T23">
        <v>0.42899999999999999</v>
      </c>
      <c r="U23">
        <v>0.5</v>
      </c>
      <c r="V23">
        <v>2</v>
      </c>
      <c r="W23">
        <v>2</v>
      </c>
      <c r="X23">
        <v>1</v>
      </c>
      <c r="Y23">
        <v>0</v>
      </c>
      <c r="Z23">
        <v>1</v>
      </c>
      <c r="AA23">
        <v>1</v>
      </c>
      <c r="AB23">
        <v>5</v>
      </c>
      <c r="AC23">
        <v>1</v>
      </c>
      <c r="AD23">
        <v>0</v>
      </c>
      <c r="AE23">
        <v>5</v>
      </c>
      <c r="AF23">
        <v>6</v>
      </c>
      <c r="AG23">
        <v>14</v>
      </c>
      <c r="AH23">
        <v>5</v>
      </c>
      <c r="AI23">
        <v>24</v>
      </c>
    </row>
    <row r="24" spans="1:35" ht="21" x14ac:dyDescent="0.3">
      <c r="A24" t="s">
        <v>547</v>
      </c>
      <c r="B24" s="11">
        <v>23</v>
      </c>
      <c r="C24">
        <v>131</v>
      </c>
      <c r="D24">
        <v>23</v>
      </c>
      <c r="E24" s="4">
        <v>44534</v>
      </c>
      <c r="F24" t="s">
        <v>33</v>
      </c>
      <c r="H24" t="s">
        <v>102</v>
      </c>
      <c r="I24" t="s">
        <v>103</v>
      </c>
      <c r="J24" t="s">
        <v>41</v>
      </c>
      <c r="K24" s="7">
        <v>0.96666666666666667</v>
      </c>
      <c r="L24">
        <v>6</v>
      </c>
      <c r="M24">
        <v>9</v>
      </c>
      <c r="N24">
        <v>0.66700000000000004</v>
      </c>
      <c r="O24">
        <v>3</v>
      </c>
      <c r="P24">
        <v>6</v>
      </c>
      <c r="Q24">
        <v>0.5</v>
      </c>
      <c r="R24">
        <v>3</v>
      </c>
      <c r="S24">
        <v>3</v>
      </c>
      <c r="T24">
        <v>1</v>
      </c>
      <c r="U24">
        <v>0.83299999999999996</v>
      </c>
      <c r="V24">
        <v>0</v>
      </c>
      <c r="W24">
        <v>0</v>
      </c>
      <c r="Y24">
        <v>2</v>
      </c>
      <c r="Z24">
        <v>1</v>
      </c>
      <c r="AA24">
        <v>3</v>
      </c>
      <c r="AB24">
        <v>3</v>
      </c>
      <c r="AC24">
        <v>0</v>
      </c>
      <c r="AD24">
        <v>0</v>
      </c>
      <c r="AE24">
        <v>2</v>
      </c>
      <c r="AF24">
        <v>3</v>
      </c>
      <c r="AG24">
        <v>15</v>
      </c>
      <c r="AH24">
        <v>11.7</v>
      </c>
      <c r="AI24">
        <v>-26</v>
      </c>
    </row>
    <row r="25" spans="1:35" ht="21" x14ac:dyDescent="0.3">
      <c r="A25" t="s">
        <v>547</v>
      </c>
      <c r="B25" s="11">
        <v>24</v>
      </c>
      <c r="C25">
        <v>132</v>
      </c>
      <c r="D25">
        <v>24</v>
      </c>
      <c r="E25" s="4">
        <v>44536</v>
      </c>
      <c r="F25" t="s">
        <v>33</v>
      </c>
      <c r="H25" t="s">
        <v>104</v>
      </c>
      <c r="I25" t="s">
        <v>105</v>
      </c>
      <c r="J25" t="s">
        <v>41</v>
      </c>
      <c r="K25" s="9">
        <v>1.3472222222222223</v>
      </c>
      <c r="L25">
        <v>4</v>
      </c>
      <c r="M25">
        <v>15</v>
      </c>
      <c r="N25">
        <v>0.26700000000000002</v>
      </c>
      <c r="O25">
        <v>2</v>
      </c>
      <c r="P25">
        <v>6</v>
      </c>
      <c r="Q25">
        <v>0.33300000000000002</v>
      </c>
      <c r="R25">
        <v>2</v>
      </c>
      <c r="S25">
        <v>9</v>
      </c>
      <c r="T25">
        <v>0.222</v>
      </c>
      <c r="U25">
        <v>0.33300000000000002</v>
      </c>
      <c r="V25">
        <v>2</v>
      </c>
      <c r="W25">
        <v>2</v>
      </c>
      <c r="X25">
        <v>1</v>
      </c>
      <c r="Y25">
        <v>0</v>
      </c>
      <c r="Z25">
        <v>7</v>
      </c>
      <c r="AA25">
        <v>7</v>
      </c>
      <c r="AB25">
        <v>7</v>
      </c>
      <c r="AC25">
        <v>1</v>
      </c>
      <c r="AD25">
        <v>0</v>
      </c>
      <c r="AE25">
        <v>1</v>
      </c>
      <c r="AF25">
        <v>1</v>
      </c>
      <c r="AG25">
        <v>12</v>
      </c>
      <c r="AH25">
        <v>9.6999999999999993</v>
      </c>
      <c r="AI25">
        <v>22</v>
      </c>
    </row>
    <row r="26" spans="1:35" ht="21" x14ac:dyDescent="0.3">
      <c r="A26" t="s">
        <v>547</v>
      </c>
      <c r="B26" s="11">
        <v>25</v>
      </c>
      <c r="C26">
        <v>133</v>
      </c>
      <c r="D26">
        <v>25</v>
      </c>
      <c r="E26" s="4">
        <v>44538</v>
      </c>
      <c r="F26" t="s">
        <v>33</v>
      </c>
      <c r="H26" t="s">
        <v>96</v>
      </c>
      <c r="I26" t="s">
        <v>106</v>
      </c>
      <c r="J26" t="s">
        <v>41</v>
      </c>
      <c r="K26" s="9">
        <v>1.4423611111111112</v>
      </c>
      <c r="L26">
        <v>5</v>
      </c>
      <c r="M26">
        <v>14</v>
      </c>
      <c r="N26">
        <v>0.35699999999999998</v>
      </c>
      <c r="O26">
        <v>2</v>
      </c>
      <c r="P26">
        <v>10</v>
      </c>
      <c r="Q26">
        <v>0.2</v>
      </c>
      <c r="R26">
        <v>3</v>
      </c>
      <c r="S26">
        <v>4</v>
      </c>
      <c r="T26">
        <v>0.75</v>
      </c>
      <c r="U26">
        <v>0.42899999999999999</v>
      </c>
      <c r="V26">
        <v>8</v>
      </c>
      <c r="W26">
        <v>9</v>
      </c>
      <c r="X26">
        <v>0.88900000000000001</v>
      </c>
      <c r="Y26">
        <v>0</v>
      </c>
      <c r="Z26">
        <v>3</v>
      </c>
      <c r="AA26">
        <v>3</v>
      </c>
      <c r="AB26">
        <v>2</v>
      </c>
      <c r="AC26">
        <v>3</v>
      </c>
      <c r="AD26">
        <v>1</v>
      </c>
      <c r="AE26">
        <v>1</v>
      </c>
      <c r="AF26">
        <v>2</v>
      </c>
      <c r="AG26">
        <v>20</v>
      </c>
      <c r="AH26">
        <v>16</v>
      </c>
      <c r="AI26">
        <v>6</v>
      </c>
    </row>
    <row r="27" spans="1:35" ht="21" x14ac:dyDescent="0.3">
      <c r="A27" t="s">
        <v>547</v>
      </c>
      <c r="B27" s="11">
        <v>26</v>
      </c>
      <c r="C27">
        <v>134</v>
      </c>
      <c r="D27">
        <v>26</v>
      </c>
      <c r="E27" s="4">
        <v>44541</v>
      </c>
      <c r="F27" t="s">
        <v>33</v>
      </c>
      <c r="G27" t="s">
        <v>37</v>
      </c>
      <c r="H27" t="s">
        <v>94</v>
      </c>
      <c r="I27" t="s">
        <v>107</v>
      </c>
      <c r="J27" t="s">
        <v>41</v>
      </c>
      <c r="K27" s="9">
        <v>1.523611111111111</v>
      </c>
      <c r="L27">
        <v>7</v>
      </c>
      <c r="M27">
        <v>14</v>
      </c>
      <c r="N27">
        <v>0.5</v>
      </c>
      <c r="O27">
        <v>4</v>
      </c>
      <c r="P27">
        <v>9</v>
      </c>
      <c r="Q27">
        <v>0.44400000000000001</v>
      </c>
      <c r="R27">
        <v>3</v>
      </c>
      <c r="S27">
        <v>5</v>
      </c>
      <c r="T27">
        <v>0.6</v>
      </c>
      <c r="U27">
        <v>0.64300000000000002</v>
      </c>
      <c r="V27">
        <v>5</v>
      </c>
      <c r="W27">
        <v>5</v>
      </c>
      <c r="X27">
        <v>1</v>
      </c>
      <c r="Y27">
        <v>0</v>
      </c>
      <c r="Z27">
        <v>3</v>
      </c>
      <c r="AA27">
        <v>3</v>
      </c>
      <c r="AB27">
        <v>2</v>
      </c>
      <c r="AC27">
        <v>1</v>
      </c>
      <c r="AD27">
        <v>0</v>
      </c>
      <c r="AE27">
        <v>3</v>
      </c>
      <c r="AF27">
        <v>1</v>
      </c>
      <c r="AG27">
        <v>23</v>
      </c>
      <c r="AH27">
        <v>15.9</v>
      </c>
      <c r="AI27">
        <v>-1</v>
      </c>
    </row>
    <row r="28" spans="1:35" ht="21" x14ac:dyDescent="0.3">
      <c r="A28" t="s">
        <v>547</v>
      </c>
      <c r="B28" s="11">
        <v>27</v>
      </c>
      <c r="C28">
        <v>135</v>
      </c>
      <c r="D28">
        <v>27</v>
      </c>
      <c r="E28" s="4">
        <v>44543</v>
      </c>
      <c r="F28" t="s">
        <v>33</v>
      </c>
      <c r="G28" t="s">
        <v>37</v>
      </c>
      <c r="H28" t="s">
        <v>108</v>
      </c>
      <c r="I28" t="s">
        <v>109</v>
      </c>
      <c r="J28" t="s">
        <v>41</v>
      </c>
      <c r="K28" s="9">
        <v>1.1944444444444444</v>
      </c>
      <c r="L28">
        <v>3</v>
      </c>
      <c r="M28">
        <v>9</v>
      </c>
      <c r="N28">
        <v>0.33300000000000002</v>
      </c>
      <c r="O28">
        <v>1</v>
      </c>
      <c r="P28">
        <v>4</v>
      </c>
      <c r="Q28">
        <v>0.25</v>
      </c>
      <c r="R28">
        <v>2</v>
      </c>
      <c r="S28">
        <v>5</v>
      </c>
      <c r="T28">
        <v>0.4</v>
      </c>
      <c r="U28">
        <v>0.38900000000000001</v>
      </c>
      <c r="V28">
        <v>1</v>
      </c>
      <c r="W28">
        <v>3</v>
      </c>
      <c r="X28">
        <v>0.33300000000000002</v>
      </c>
      <c r="Y28">
        <v>0</v>
      </c>
      <c r="Z28">
        <v>4</v>
      </c>
      <c r="AA28">
        <v>4</v>
      </c>
      <c r="AB28">
        <v>4</v>
      </c>
      <c r="AC28">
        <v>0</v>
      </c>
      <c r="AD28">
        <v>0</v>
      </c>
      <c r="AE28">
        <v>2</v>
      </c>
      <c r="AF28">
        <v>4</v>
      </c>
      <c r="AG28">
        <v>8</v>
      </c>
      <c r="AH28">
        <v>2.5</v>
      </c>
      <c r="AI28">
        <v>-5</v>
      </c>
    </row>
    <row r="29" spans="1:35" ht="21" x14ac:dyDescent="0.3">
      <c r="A29" t="s">
        <v>547</v>
      </c>
      <c r="B29" s="11">
        <v>28</v>
      </c>
      <c r="C29">
        <v>136</v>
      </c>
      <c r="D29">
        <v>28</v>
      </c>
      <c r="E29" s="4">
        <v>44544</v>
      </c>
      <c r="F29" t="s">
        <v>33</v>
      </c>
      <c r="G29" t="s">
        <v>37</v>
      </c>
      <c r="H29" t="s">
        <v>110</v>
      </c>
      <c r="I29" t="s">
        <v>111</v>
      </c>
      <c r="J29" t="s">
        <v>41</v>
      </c>
      <c r="K29" s="9">
        <v>1.4215277777777777</v>
      </c>
      <c r="L29">
        <v>3</v>
      </c>
      <c r="M29">
        <v>11</v>
      </c>
      <c r="N29">
        <v>0.27300000000000002</v>
      </c>
      <c r="O29">
        <v>0</v>
      </c>
      <c r="P29">
        <v>6</v>
      </c>
      <c r="Q29">
        <v>0</v>
      </c>
      <c r="R29">
        <v>3</v>
      </c>
      <c r="S29">
        <v>5</v>
      </c>
      <c r="T29">
        <v>0.6</v>
      </c>
      <c r="U29">
        <v>0.27300000000000002</v>
      </c>
      <c r="V29">
        <v>13</v>
      </c>
      <c r="W29">
        <v>13</v>
      </c>
      <c r="X29">
        <v>1</v>
      </c>
      <c r="Y29">
        <v>0</v>
      </c>
      <c r="Z29">
        <v>9</v>
      </c>
      <c r="AA29">
        <v>9</v>
      </c>
      <c r="AB29">
        <v>3</v>
      </c>
      <c r="AC29">
        <v>0</v>
      </c>
      <c r="AD29">
        <v>0</v>
      </c>
      <c r="AE29">
        <v>3</v>
      </c>
      <c r="AF29">
        <v>4</v>
      </c>
      <c r="AG29">
        <v>19</v>
      </c>
      <c r="AH29">
        <v>12.7</v>
      </c>
      <c r="AI29">
        <v>6</v>
      </c>
    </row>
    <row r="30" spans="1:35" ht="21" x14ac:dyDescent="0.3">
      <c r="A30" t="s">
        <v>547</v>
      </c>
      <c r="B30" s="11">
        <v>28</v>
      </c>
      <c r="D30">
        <v>29</v>
      </c>
      <c r="E30" s="4">
        <v>44547</v>
      </c>
      <c r="F30" t="s">
        <v>33</v>
      </c>
      <c r="G30" t="s">
        <v>37</v>
      </c>
      <c r="H30" t="s">
        <v>55</v>
      </c>
      <c r="I30" t="s">
        <v>112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  <c r="O30" t="s">
        <v>91</v>
      </c>
      <c r="P30" t="s">
        <v>91</v>
      </c>
      <c r="Q30" t="s">
        <v>91</v>
      </c>
      <c r="R30" t="s">
        <v>91</v>
      </c>
      <c r="S30" t="s">
        <v>91</v>
      </c>
      <c r="T30" t="s">
        <v>91</v>
      </c>
      <c r="U30" t="s">
        <v>91</v>
      </c>
      <c r="V30" t="s">
        <v>91</v>
      </c>
      <c r="W30" t="s">
        <v>91</v>
      </c>
      <c r="X30" t="s">
        <v>91</v>
      </c>
      <c r="Y30" t="s">
        <v>91</v>
      </c>
      <c r="Z30" t="s">
        <v>91</v>
      </c>
      <c r="AA30" t="s">
        <v>91</v>
      </c>
      <c r="AB30" t="s">
        <v>91</v>
      </c>
      <c r="AC30" t="s">
        <v>91</v>
      </c>
      <c r="AD30" t="s">
        <v>91</v>
      </c>
      <c r="AE30" t="s">
        <v>91</v>
      </c>
      <c r="AF30" t="s">
        <v>91</v>
      </c>
      <c r="AG30" t="s">
        <v>91</v>
      </c>
      <c r="AH30" t="s">
        <v>91</v>
      </c>
      <c r="AI30" t="s">
        <v>91</v>
      </c>
    </row>
    <row r="31" spans="1:35" ht="21" x14ac:dyDescent="0.3">
      <c r="A31" t="s">
        <v>547</v>
      </c>
      <c r="B31" s="11">
        <v>28</v>
      </c>
      <c r="D31">
        <v>30</v>
      </c>
      <c r="E31" s="4">
        <v>44548</v>
      </c>
      <c r="F31" t="s">
        <v>33</v>
      </c>
      <c r="G31" t="s">
        <v>37</v>
      </c>
      <c r="H31" t="s">
        <v>92</v>
      </c>
      <c r="I31" t="s">
        <v>113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  <c r="O31" t="s">
        <v>91</v>
      </c>
      <c r="P31" t="s">
        <v>91</v>
      </c>
      <c r="Q31" t="s">
        <v>91</v>
      </c>
      <c r="R31" t="s">
        <v>91</v>
      </c>
      <c r="S31" t="s">
        <v>91</v>
      </c>
      <c r="T31" t="s">
        <v>91</v>
      </c>
      <c r="U31" t="s">
        <v>91</v>
      </c>
      <c r="V31" t="s">
        <v>91</v>
      </c>
      <c r="W31" t="s">
        <v>91</v>
      </c>
      <c r="X31" t="s">
        <v>91</v>
      </c>
      <c r="Y31" t="s">
        <v>91</v>
      </c>
      <c r="Z31" t="s">
        <v>91</v>
      </c>
      <c r="AA31" t="s">
        <v>91</v>
      </c>
      <c r="AB31" t="s">
        <v>91</v>
      </c>
      <c r="AC31" t="s">
        <v>91</v>
      </c>
      <c r="AD31" t="s">
        <v>91</v>
      </c>
      <c r="AE31" t="s">
        <v>91</v>
      </c>
      <c r="AF31" t="s">
        <v>91</v>
      </c>
      <c r="AG31" t="s">
        <v>91</v>
      </c>
      <c r="AH31" t="s">
        <v>91</v>
      </c>
      <c r="AI31" t="s">
        <v>91</v>
      </c>
    </row>
    <row r="32" spans="1:35" ht="21" x14ac:dyDescent="0.3">
      <c r="A32" t="s">
        <v>547</v>
      </c>
      <c r="B32" s="11">
        <v>28</v>
      </c>
      <c r="D32">
        <v>31</v>
      </c>
      <c r="E32" s="4">
        <v>44550</v>
      </c>
      <c r="F32" t="s">
        <v>33</v>
      </c>
      <c r="H32" t="s">
        <v>66</v>
      </c>
      <c r="I32" t="s">
        <v>114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  <c r="O32" t="s">
        <v>91</v>
      </c>
      <c r="P32" t="s">
        <v>91</v>
      </c>
      <c r="Q32" t="s">
        <v>91</v>
      </c>
      <c r="R32" t="s">
        <v>91</v>
      </c>
      <c r="S32" t="s">
        <v>91</v>
      </c>
      <c r="T32" t="s">
        <v>91</v>
      </c>
      <c r="U32" t="s">
        <v>91</v>
      </c>
      <c r="V32" t="s">
        <v>91</v>
      </c>
      <c r="W32" t="s">
        <v>91</v>
      </c>
      <c r="X32" t="s">
        <v>91</v>
      </c>
      <c r="Y32" t="s">
        <v>91</v>
      </c>
      <c r="Z32" t="s">
        <v>91</v>
      </c>
      <c r="AA32" t="s">
        <v>91</v>
      </c>
      <c r="AB32" t="s">
        <v>91</v>
      </c>
      <c r="AC32" t="s">
        <v>91</v>
      </c>
      <c r="AD32" t="s">
        <v>91</v>
      </c>
      <c r="AE32" t="s">
        <v>91</v>
      </c>
      <c r="AF32" t="s">
        <v>91</v>
      </c>
      <c r="AG32" t="s">
        <v>91</v>
      </c>
      <c r="AH32" t="s">
        <v>91</v>
      </c>
      <c r="AI32" t="s">
        <v>91</v>
      </c>
    </row>
    <row r="33" spans="1:35" ht="21" x14ac:dyDescent="0.3">
      <c r="A33" t="s">
        <v>547</v>
      </c>
      <c r="B33" s="11">
        <v>28</v>
      </c>
      <c r="D33">
        <v>32</v>
      </c>
      <c r="E33" s="4">
        <v>44553</v>
      </c>
      <c r="F33" t="s">
        <v>33</v>
      </c>
      <c r="H33" t="s">
        <v>42</v>
      </c>
      <c r="I33" t="s">
        <v>115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91</v>
      </c>
      <c r="Q33" t="s">
        <v>91</v>
      </c>
      <c r="R33" t="s">
        <v>91</v>
      </c>
      <c r="S33" t="s">
        <v>91</v>
      </c>
      <c r="T33" t="s">
        <v>91</v>
      </c>
      <c r="U33" t="s">
        <v>91</v>
      </c>
      <c r="V33" t="s">
        <v>91</v>
      </c>
      <c r="W33" t="s">
        <v>91</v>
      </c>
      <c r="X33" t="s">
        <v>91</v>
      </c>
      <c r="Y33" t="s">
        <v>91</v>
      </c>
      <c r="Z33" t="s">
        <v>91</v>
      </c>
      <c r="AA33" t="s">
        <v>91</v>
      </c>
      <c r="AB33" t="s">
        <v>91</v>
      </c>
      <c r="AC33" t="s">
        <v>91</v>
      </c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 t="s">
        <v>91</v>
      </c>
    </row>
    <row r="34" spans="1:35" ht="21" x14ac:dyDescent="0.3">
      <c r="A34" t="s">
        <v>547</v>
      </c>
      <c r="B34" s="11">
        <v>28</v>
      </c>
      <c r="D34">
        <v>33</v>
      </c>
      <c r="E34" s="4">
        <v>44555</v>
      </c>
      <c r="F34" t="s">
        <v>33</v>
      </c>
      <c r="G34" t="s">
        <v>37</v>
      </c>
      <c r="H34" t="s">
        <v>99</v>
      </c>
      <c r="I34" t="s">
        <v>116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  <c r="O34" t="s">
        <v>91</v>
      </c>
      <c r="P34" t="s">
        <v>91</v>
      </c>
      <c r="Q34" t="s">
        <v>91</v>
      </c>
      <c r="R34" t="s">
        <v>91</v>
      </c>
      <c r="S34" t="s">
        <v>91</v>
      </c>
      <c r="T34" t="s">
        <v>91</v>
      </c>
      <c r="U34" t="s">
        <v>91</v>
      </c>
      <c r="V34" t="s">
        <v>91</v>
      </c>
      <c r="W34" t="s">
        <v>91</v>
      </c>
      <c r="X34" t="s">
        <v>91</v>
      </c>
      <c r="Y34" t="s">
        <v>91</v>
      </c>
      <c r="Z34" t="s">
        <v>91</v>
      </c>
      <c r="AA34" t="s">
        <v>91</v>
      </c>
      <c r="AB34" t="s">
        <v>91</v>
      </c>
      <c r="AC34" t="s">
        <v>91</v>
      </c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 t="s">
        <v>91</v>
      </c>
    </row>
    <row r="35" spans="1:35" ht="21" x14ac:dyDescent="0.3">
      <c r="A35" t="s">
        <v>547</v>
      </c>
      <c r="B35" s="11">
        <v>28</v>
      </c>
      <c r="D35">
        <v>34</v>
      </c>
      <c r="E35" s="4">
        <v>44558</v>
      </c>
      <c r="F35" t="s">
        <v>33</v>
      </c>
      <c r="H35" t="s">
        <v>34</v>
      </c>
      <c r="I35" t="s">
        <v>117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  <c r="O35" t="s">
        <v>91</v>
      </c>
      <c r="P35" t="s">
        <v>91</v>
      </c>
      <c r="Q35" t="s">
        <v>91</v>
      </c>
      <c r="R35" t="s">
        <v>91</v>
      </c>
      <c r="S35" t="s">
        <v>91</v>
      </c>
      <c r="T35" t="s">
        <v>91</v>
      </c>
      <c r="U35" t="s">
        <v>91</v>
      </c>
      <c r="V35" t="s">
        <v>91</v>
      </c>
      <c r="W35" t="s">
        <v>91</v>
      </c>
      <c r="X35" t="s">
        <v>91</v>
      </c>
      <c r="Y35" t="s">
        <v>91</v>
      </c>
      <c r="Z35" t="s">
        <v>91</v>
      </c>
      <c r="AA35" t="s">
        <v>91</v>
      </c>
      <c r="AB35" t="s">
        <v>91</v>
      </c>
      <c r="AC35" t="s">
        <v>91</v>
      </c>
      <c r="AD35" t="s">
        <v>91</v>
      </c>
      <c r="AE35" t="s">
        <v>91</v>
      </c>
      <c r="AF35" t="s">
        <v>91</v>
      </c>
      <c r="AG35" t="s">
        <v>91</v>
      </c>
      <c r="AH35" t="s">
        <v>91</v>
      </c>
      <c r="AI35" t="s">
        <v>91</v>
      </c>
    </row>
    <row r="36" spans="1:35" ht="21" x14ac:dyDescent="0.3">
      <c r="A36" t="s">
        <v>547</v>
      </c>
      <c r="B36" s="11">
        <v>29</v>
      </c>
      <c r="C36">
        <v>137</v>
      </c>
      <c r="D36">
        <v>35</v>
      </c>
      <c r="E36" s="4">
        <v>44562</v>
      </c>
      <c r="F36" t="s">
        <v>33</v>
      </c>
      <c r="G36" t="s">
        <v>37</v>
      </c>
      <c r="H36" t="s">
        <v>118</v>
      </c>
      <c r="I36" t="s">
        <v>119</v>
      </c>
      <c r="K36" s="7">
        <v>0.70347222222222228</v>
      </c>
      <c r="L36">
        <v>3</v>
      </c>
      <c r="M36">
        <v>6</v>
      </c>
      <c r="N36">
        <v>0.5</v>
      </c>
      <c r="O36">
        <v>1</v>
      </c>
      <c r="P36">
        <v>2</v>
      </c>
      <c r="Q36">
        <v>0.5</v>
      </c>
      <c r="R36">
        <v>2</v>
      </c>
      <c r="S36">
        <v>4</v>
      </c>
      <c r="T36">
        <v>0.5</v>
      </c>
      <c r="U36">
        <v>0.58299999999999996</v>
      </c>
      <c r="V36">
        <v>3</v>
      </c>
      <c r="W36">
        <v>4</v>
      </c>
      <c r="X36">
        <v>0.75</v>
      </c>
      <c r="Y36">
        <v>0</v>
      </c>
      <c r="Z36">
        <v>2</v>
      </c>
      <c r="AA36">
        <v>2</v>
      </c>
      <c r="AB36">
        <v>2</v>
      </c>
      <c r="AC36">
        <v>0</v>
      </c>
      <c r="AD36">
        <v>0</v>
      </c>
      <c r="AE36">
        <v>4</v>
      </c>
      <c r="AF36">
        <v>3</v>
      </c>
      <c r="AG36">
        <v>10</v>
      </c>
      <c r="AH36">
        <v>3.4</v>
      </c>
      <c r="AI36">
        <v>8</v>
      </c>
    </row>
    <row r="37" spans="1:35" ht="21" x14ac:dyDescent="0.3">
      <c r="A37" t="s">
        <v>547</v>
      </c>
      <c r="B37" s="11">
        <v>30</v>
      </c>
      <c r="C37">
        <v>138</v>
      </c>
      <c r="D37">
        <v>36</v>
      </c>
      <c r="E37" s="4">
        <v>44564</v>
      </c>
      <c r="F37" t="s">
        <v>33</v>
      </c>
      <c r="H37" t="s">
        <v>120</v>
      </c>
      <c r="I37" t="s">
        <v>121</v>
      </c>
      <c r="K37" s="9">
        <v>1.0909722222222222</v>
      </c>
      <c r="L37">
        <v>12</v>
      </c>
      <c r="M37">
        <v>17</v>
      </c>
      <c r="N37">
        <v>0.70599999999999996</v>
      </c>
      <c r="O37">
        <v>5</v>
      </c>
      <c r="P37">
        <v>9</v>
      </c>
      <c r="Q37">
        <v>0.55600000000000005</v>
      </c>
      <c r="R37">
        <v>7</v>
      </c>
      <c r="S37">
        <v>8</v>
      </c>
      <c r="T37">
        <v>0.875</v>
      </c>
      <c r="U37">
        <v>0.85299999999999998</v>
      </c>
      <c r="V37">
        <v>3</v>
      </c>
      <c r="W37">
        <v>5</v>
      </c>
      <c r="X37">
        <v>0.6</v>
      </c>
      <c r="Y37">
        <v>0</v>
      </c>
      <c r="Z37">
        <v>2</v>
      </c>
      <c r="AA37">
        <v>2</v>
      </c>
      <c r="AB37">
        <v>5</v>
      </c>
      <c r="AC37">
        <v>0</v>
      </c>
      <c r="AD37">
        <v>0</v>
      </c>
      <c r="AE37">
        <v>1</v>
      </c>
      <c r="AF37">
        <v>2</v>
      </c>
      <c r="AG37">
        <v>32</v>
      </c>
      <c r="AH37">
        <v>26.4</v>
      </c>
      <c r="AI37">
        <v>12</v>
      </c>
    </row>
    <row r="38" spans="1:35" ht="21" x14ac:dyDescent="0.3">
      <c r="A38" t="s">
        <v>547</v>
      </c>
      <c r="B38" s="11">
        <v>31</v>
      </c>
      <c r="C38">
        <v>139</v>
      </c>
      <c r="D38">
        <v>37</v>
      </c>
      <c r="E38" s="4">
        <v>44566</v>
      </c>
      <c r="F38" t="s">
        <v>33</v>
      </c>
      <c r="G38" t="s">
        <v>37</v>
      </c>
      <c r="H38" t="s">
        <v>49</v>
      </c>
      <c r="I38" t="s">
        <v>122</v>
      </c>
      <c r="K38" s="9">
        <v>1</v>
      </c>
      <c r="L38">
        <v>3</v>
      </c>
      <c r="M38">
        <v>8</v>
      </c>
      <c r="N38">
        <v>0.375</v>
      </c>
      <c r="O38">
        <v>0</v>
      </c>
      <c r="P38">
        <v>4</v>
      </c>
      <c r="Q38">
        <v>0</v>
      </c>
      <c r="R38">
        <v>3</v>
      </c>
      <c r="S38">
        <v>4</v>
      </c>
      <c r="T38">
        <v>0.75</v>
      </c>
      <c r="U38">
        <v>0.375</v>
      </c>
      <c r="V38">
        <v>0</v>
      </c>
      <c r="W38">
        <v>0</v>
      </c>
      <c r="Y38">
        <v>0</v>
      </c>
      <c r="Z38">
        <v>2</v>
      </c>
      <c r="AA38">
        <v>2</v>
      </c>
      <c r="AB38">
        <v>3</v>
      </c>
      <c r="AC38">
        <v>0</v>
      </c>
      <c r="AD38">
        <v>0</v>
      </c>
      <c r="AE38">
        <v>2</v>
      </c>
      <c r="AF38">
        <v>2</v>
      </c>
      <c r="AG38">
        <v>6</v>
      </c>
      <c r="AH38">
        <v>1.5</v>
      </c>
      <c r="AI38">
        <v>-21</v>
      </c>
    </row>
    <row r="39" spans="1:35" ht="21" x14ac:dyDescent="0.3">
      <c r="A39" t="s">
        <v>547</v>
      </c>
      <c r="B39" s="11">
        <v>32</v>
      </c>
      <c r="C39">
        <v>140</v>
      </c>
      <c r="D39">
        <v>38</v>
      </c>
      <c r="E39" s="4">
        <v>44567</v>
      </c>
      <c r="F39" t="s">
        <v>33</v>
      </c>
      <c r="G39" t="s">
        <v>37</v>
      </c>
      <c r="H39" t="s">
        <v>74</v>
      </c>
      <c r="I39" t="s">
        <v>123</v>
      </c>
      <c r="J39" t="s">
        <v>41</v>
      </c>
      <c r="K39" s="9">
        <v>1.3569444444444445</v>
      </c>
      <c r="L39">
        <v>3</v>
      </c>
      <c r="M39">
        <v>14</v>
      </c>
      <c r="N39">
        <v>0.214</v>
      </c>
      <c r="O39">
        <v>2</v>
      </c>
      <c r="P39">
        <v>9</v>
      </c>
      <c r="Q39">
        <v>0.222</v>
      </c>
      <c r="R39">
        <v>1</v>
      </c>
      <c r="S39">
        <v>5</v>
      </c>
      <c r="T39">
        <v>0.2</v>
      </c>
      <c r="U39">
        <v>0.28599999999999998</v>
      </c>
      <c r="V39">
        <v>3</v>
      </c>
      <c r="W39">
        <v>3</v>
      </c>
      <c r="X39">
        <v>1</v>
      </c>
      <c r="Y39">
        <v>0</v>
      </c>
      <c r="Z39">
        <v>0</v>
      </c>
      <c r="AA39">
        <v>0</v>
      </c>
      <c r="AB39">
        <v>5</v>
      </c>
      <c r="AC39">
        <v>3</v>
      </c>
      <c r="AD39">
        <v>0</v>
      </c>
      <c r="AE39">
        <v>3</v>
      </c>
      <c r="AF39">
        <v>5</v>
      </c>
      <c r="AG39">
        <v>11</v>
      </c>
      <c r="AH39">
        <v>3.9</v>
      </c>
      <c r="AI39">
        <v>-1</v>
      </c>
    </row>
    <row r="40" spans="1:35" ht="21" x14ac:dyDescent="0.3">
      <c r="A40" t="s">
        <v>547</v>
      </c>
      <c r="B40" s="11">
        <v>33</v>
      </c>
      <c r="C40">
        <v>141</v>
      </c>
      <c r="D40">
        <v>39</v>
      </c>
      <c r="E40" s="4">
        <v>44570</v>
      </c>
      <c r="F40" t="s">
        <v>33</v>
      </c>
      <c r="H40" t="s">
        <v>87</v>
      </c>
      <c r="I40" t="s">
        <v>124</v>
      </c>
      <c r="K40" s="9">
        <v>1.0180555555555555</v>
      </c>
      <c r="L40">
        <v>6</v>
      </c>
      <c r="M40">
        <v>12</v>
      </c>
      <c r="N40">
        <v>0.5</v>
      </c>
      <c r="O40">
        <v>2</v>
      </c>
      <c r="P40">
        <v>6</v>
      </c>
      <c r="Q40">
        <v>0.33300000000000002</v>
      </c>
      <c r="R40">
        <v>4</v>
      </c>
      <c r="S40">
        <v>6</v>
      </c>
      <c r="T40">
        <v>0.66700000000000004</v>
      </c>
      <c r="U40">
        <v>0.58299999999999996</v>
      </c>
      <c r="V40">
        <v>0</v>
      </c>
      <c r="W40">
        <v>0</v>
      </c>
      <c r="Y40">
        <v>0</v>
      </c>
      <c r="Z40">
        <v>2</v>
      </c>
      <c r="AA40">
        <v>2</v>
      </c>
      <c r="AB40">
        <v>2</v>
      </c>
      <c r="AC40">
        <v>0</v>
      </c>
      <c r="AD40">
        <v>1</v>
      </c>
      <c r="AE40">
        <v>1</v>
      </c>
      <c r="AF40">
        <v>1</v>
      </c>
      <c r="AG40">
        <v>14</v>
      </c>
      <c r="AH40">
        <v>9.3000000000000007</v>
      </c>
      <c r="AI40">
        <v>17</v>
      </c>
    </row>
    <row r="41" spans="1:35" ht="21" x14ac:dyDescent="0.3">
      <c r="A41" t="s">
        <v>547</v>
      </c>
      <c r="B41" s="11">
        <v>34</v>
      </c>
      <c r="C41">
        <v>142</v>
      </c>
      <c r="D41">
        <v>40</v>
      </c>
      <c r="E41" s="4">
        <v>44572</v>
      </c>
      <c r="F41" t="s">
        <v>33</v>
      </c>
      <c r="G41" t="s">
        <v>37</v>
      </c>
      <c r="H41" t="s">
        <v>42</v>
      </c>
      <c r="I41" t="s">
        <v>125</v>
      </c>
      <c r="K41" s="7">
        <v>0.92638888888888893</v>
      </c>
      <c r="L41">
        <v>3</v>
      </c>
      <c r="M41">
        <v>11</v>
      </c>
      <c r="N41">
        <v>0.27300000000000002</v>
      </c>
      <c r="O41">
        <v>1</v>
      </c>
      <c r="P41">
        <v>6</v>
      </c>
      <c r="Q41">
        <v>0.16700000000000001</v>
      </c>
      <c r="R41">
        <v>2</v>
      </c>
      <c r="S41">
        <v>5</v>
      </c>
      <c r="T41">
        <v>0.4</v>
      </c>
      <c r="U41">
        <v>0.318</v>
      </c>
      <c r="V41">
        <v>5</v>
      </c>
      <c r="W41">
        <v>5</v>
      </c>
      <c r="X41">
        <v>1</v>
      </c>
      <c r="Y41">
        <v>0</v>
      </c>
      <c r="Z41">
        <v>1</v>
      </c>
      <c r="AA41">
        <v>1</v>
      </c>
      <c r="AB41">
        <v>2</v>
      </c>
      <c r="AC41">
        <v>0</v>
      </c>
      <c r="AD41">
        <v>2</v>
      </c>
      <c r="AE41">
        <v>1</v>
      </c>
      <c r="AF41">
        <v>0</v>
      </c>
      <c r="AG41">
        <v>12</v>
      </c>
      <c r="AH41">
        <v>7.6</v>
      </c>
      <c r="AI41">
        <v>-17</v>
      </c>
    </row>
    <row r="42" spans="1:35" ht="21" x14ac:dyDescent="0.3">
      <c r="A42" t="s">
        <v>547</v>
      </c>
      <c r="B42" s="11">
        <v>35</v>
      </c>
      <c r="C42">
        <v>143</v>
      </c>
      <c r="D42">
        <v>41</v>
      </c>
      <c r="E42" s="4">
        <v>44574</v>
      </c>
      <c r="F42" t="s">
        <v>33</v>
      </c>
      <c r="G42" t="s">
        <v>37</v>
      </c>
      <c r="H42" t="s">
        <v>126</v>
      </c>
      <c r="I42" t="s">
        <v>127</v>
      </c>
      <c r="K42" s="9">
        <v>1.0159722222222223</v>
      </c>
      <c r="L42">
        <v>2</v>
      </c>
      <c r="M42">
        <v>7</v>
      </c>
      <c r="N42">
        <v>0.28599999999999998</v>
      </c>
      <c r="O42">
        <v>2</v>
      </c>
      <c r="P42">
        <v>7</v>
      </c>
      <c r="Q42">
        <v>0.28599999999999998</v>
      </c>
      <c r="R42">
        <v>0</v>
      </c>
      <c r="S42">
        <v>0</v>
      </c>
      <c r="U42">
        <v>0.42899999999999999</v>
      </c>
      <c r="V42">
        <v>3</v>
      </c>
      <c r="W42">
        <v>3</v>
      </c>
      <c r="X42">
        <v>1</v>
      </c>
      <c r="Y42">
        <v>0</v>
      </c>
      <c r="Z42">
        <v>3</v>
      </c>
      <c r="AA42">
        <v>3</v>
      </c>
      <c r="AB42">
        <v>0</v>
      </c>
      <c r="AC42">
        <v>0</v>
      </c>
      <c r="AD42">
        <v>0</v>
      </c>
      <c r="AE42">
        <v>2</v>
      </c>
      <c r="AF42">
        <v>2</v>
      </c>
      <c r="AG42">
        <v>9</v>
      </c>
      <c r="AH42">
        <v>3</v>
      </c>
      <c r="AI42">
        <v>2</v>
      </c>
    </row>
    <row r="43" spans="1:35" ht="21" x14ac:dyDescent="0.3">
      <c r="A43" t="s">
        <v>547</v>
      </c>
      <c r="B43" s="11">
        <v>36</v>
      </c>
      <c r="C43">
        <v>144</v>
      </c>
      <c r="D43">
        <v>42</v>
      </c>
      <c r="E43" s="4">
        <v>44575</v>
      </c>
      <c r="F43" t="s">
        <v>33</v>
      </c>
      <c r="G43" t="s">
        <v>37</v>
      </c>
      <c r="H43" t="s">
        <v>82</v>
      </c>
      <c r="I43" t="s">
        <v>128</v>
      </c>
      <c r="J43" t="s">
        <v>41</v>
      </c>
      <c r="K43" s="9">
        <v>1.1875</v>
      </c>
      <c r="L43">
        <v>8</v>
      </c>
      <c r="M43">
        <v>19</v>
      </c>
      <c r="N43">
        <v>0.42099999999999999</v>
      </c>
      <c r="O43">
        <v>5</v>
      </c>
      <c r="P43">
        <v>9</v>
      </c>
      <c r="Q43">
        <v>0.55600000000000005</v>
      </c>
      <c r="R43">
        <v>3</v>
      </c>
      <c r="S43">
        <v>10</v>
      </c>
      <c r="T43">
        <v>0.3</v>
      </c>
      <c r="U43">
        <v>0.55300000000000005</v>
      </c>
      <c r="V43">
        <v>1</v>
      </c>
      <c r="W43">
        <v>1</v>
      </c>
      <c r="X43">
        <v>1</v>
      </c>
      <c r="Y43">
        <v>0</v>
      </c>
      <c r="Z43">
        <v>1</v>
      </c>
      <c r="AA43">
        <v>1</v>
      </c>
      <c r="AB43">
        <v>5</v>
      </c>
      <c r="AC43">
        <v>0</v>
      </c>
      <c r="AD43">
        <v>0</v>
      </c>
      <c r="AE43">
        <v>2</v>
      </c>
      <c r="AF43">
        <v>2</v>
      </c>
      <c r="AG43">
        <v>22</v>
      </c>
      <c r="AH43">
        <v>12.9</v>
      </c>
      <c r="AI43">
        <v>38</v>
      </c>
    </row>
    <row r="44" spans="1:35" ht="21" x14ac:dyDescent="0.3">
      <c r="A44" t="s">
        <v>547</v>
      </c>
      <c r="B44" s="11">
        <v>37</v>
      </c>
      <c r="C44">
        <v>145</v>
      </c>
      <c r="D44">
        <v>43</v>
      </c>
      <c r="E44" s="4">
        <v>44577</v>
      </c>
      <c r="F44" t="s">
        <v>33</v>
      </c>
      <c r="G44" t="s">
        <v>37</v>
      </c>
      <c r="H44" t="s">
        <v>80</v>
      </c>
      <c r="I44" t="s">
        <v>129</v>
      </c>
      <c r="J44" t="s">
        <v>41</v>
      </c>
      <c r="K44" s="9">
        <v>1.3840277777777779</v>
      </c>
      <c r="L44">
        <v>5</v>
      </c>
      <c r="M44">
        <v>13</v>
      </c>
      <c r="N44">
        <v>0.38500000000000001</v>
      </c>
      <c r="O44">
        <v>3</v>
      </c>
      <c r="P44">
        <v>7</v>
      </c>
      <c r="Q44">
        <v>0.42899999999999999</v>
      </c>
      <c r="R44">
        <v>2</v>
      </c>
      <c r="S44">
        <v>6</v>
      </c>
      <c r="T44">
        <v>0.33300000000000002</v>
      </c>
      <c r="U44">
        <v>0.5</v>
      </c>
      <c r="V44">
        <v>7</v>
      </c>
      <c r="W44">
        <v>7</v>
      </c>
      <c r="X44">
        <v>1</v>
      </c>
      <c r="Y44">
        <v>1</v>
      </c>
      <c r="Z44">
        <v>3</v>
      </c>
      <c r="AA44">
        <v>4</v>
      </c>
      <c r="AB44">
        <v>3</v>
      </c>
      <c r="AC44">
        <v>0</v>
      </c>
      <c r="AD44">
        <v>0</v>
      </c>
      <c r="AE44">
        <v>4</v>
      </c>
      <c r="AF44">
        <v>4</v>
      </c>
      <c r="AG44">
        <v>20</v>
      </c>
      <c r="AH44">
        <v>11</v>
      </c>
      <c r="AI44">
        <v>-10</v>
      </c>
    </row>
    <row r="45" spans="1:35" ht="21" x14ac:dyDescent="0.3">
      <c r="A45" t="s">
        <v>547</v>
      </c>
      <c r="B45" s="11">
        <v>38</v>
      </c>
      <c r="C45">
        <v>146</v>
      </c>
      <c r="D45">
        <v>44</v>
      </c>
      <c r="E45" s="4">
        <v>44579</v>
      </c>
      <c r="F45" t="s">
        <v>33</v>
      </c>
      <c r="H45" t="s">
        <v>89</v>
      </c>
      <c r="I45" t="s">
        <v>130</v>
      </c>
      <c r="K45" s="7">
        <v>0.87152777777777779</v>
      </c>
      <c r="L45">
        <v>2</v>
      </c>
      <c r="M45">
        <v>6</v>
      </c>
      <c r="N45">
        <v>0.33300000000000002</v>
      </c>
      <c r="O45">
        <v>0</v>
      </c>
      <c r="P45">
        <v>2</v>
      </c>
      <c r="Q45">
        <v>0</v>
      </c>
      <c r="R45">
        <v>2</v>
      </c>
      <c r="S45">
        <v>4</v>
      </c>
      <c r="T45">
        <v>0.5</v>
      </c>
      <c r="U45">
        <v>0.33300000000000002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3</v>
      </c>
      <c r="AC45">
        <v>0</v>
      </c>
      <c r="AD45">
        <v>0</v>
      </c>
      <c r="AE45">
        <v>2</v>
      </c>
      <c r="AF45">
        <v>3</v>
      </c>
      <c r="AG45">
        <v>5</v>
      </c>
      <c r="AH45">
        <v>1.2</v>
      </c>
      <c r="AI45">
        <v>4</v>
      </c>
    </row>
    <row r="46" spans="1:35" ht="21" x14ac:dyDescent="0.3">
      <c r="A46" t="s">
        <v>547</v>
      </c>
      <c r="B46" s="11">
        <v>39</v>
      </c>
      <c r="C46">
        <v>147</v>
      </c>
      <c r="D46">
        <v>45</v>
      </c>
      <c r="E46" s="4">
        <v>44581</v>
      </c>
      <c r="F46" t="s">
        <v>33</v>
      </c>
      <c r="H46" t="s">
        <v>108</v>
      </c>
      <c r="I46" t="s">
        <v>131</v>
      </c>
      <c r="K46" s="9">
        <v>1.0277777777777777</v>
      </c>
      <c r="L46">
        <v>1</v>
      </c>
      <c r="M46">
        <v>7</v>
      </c>
      <c r="N46">
        <v>0.14299999999999999</v>
      </c>
      <c r="O46">
        <v>0</v>
      </c>
      <c r="P46">
        <v>5</v>
      </c>
      <c r="Q46">
        <v>0</v>
      </c>
      <c r="R46">
        <v>1</v>
      </c>
      <c r="S46">
        <v>2</v>
      </c>
      <c r="T46">
        <v>0.5</v>
      </c>
      <c r="U46">
        <v>0.14299999999999999</v>
      </c>
      <c r="V46">
        <v>3</v>
      </c>
      <c r="W46">
        <v>4</v>
      </c>
      <c r="X46">
        <v>0.75</v>
      </c>
      <c r="Y46">
        <v>0</v>
      </c>
      <c r="Z46">
        <v>2</v>
      </c>
      <c r="AA46">
        <v>2</v>
      </c>
      <c r="AB46">
        <v>4</v>
      </c>
      <c r="AC46">
        <v>0</v>
      </c>
      <c r="AD46">
        <v>0</v>
      </c>
      <c r="AE46">
        <v>0</v>
      </c>
      <c r="AF46">
        <v>2</v>
      </c>
      <c r="AG46">
        <v>5</v>
      </c>
      <c r="AH46">
        <v>2.7</v>
      </c>
      <c r="AI46">
        <v>-1</v>
      </c>
    </row>
    <row r="47" spans="1:35" ht="21" x14ac:dyDescent="0.3">
      <c r="A47" t="s">
        <v>547</v>
      </c>
      <c r="B47" s="11">
        <v>40</v>
      </c>
      <c r="C47">
        <v>148</v>
      </c>
      <c r="D47">
        <v>46</v>
      </c>
      <c r="E47" s="4">
        <v>44582</v>
      </c>
      <c r="F47" t="s">
        <v>33</v>
      </c>
      <c r="H47" t="s">
        <v>76</v>
      </c>
      <c r="I47" t="s">
        <v>132</v>
      </c>
      <c r="J47" t="s">
        <v>41</v>
      </c>
      <c r="K47" s="9">
        <v>1.3131944444444446</v>
      </c>
      <c r="L47">
        <v>7</v>
      </c>
      <c r="M47">
        <v>15</v>
      </c>
      <c r="N47">
        <v>0.46700000000000003</v>
      </c>
      <c r="O47">
        <v>2</v>
      </c>
      <c r="P47">
        <v>4</v>
      </c>
      <c r="Q47">
        <v>0.5</v>
      </c>
      <c r="R47">
        <v>5</v>
      </c>
      <c r="S47">
        <v>11</v>
      </c>
      <c r="T47">
        <v>0.45500000000000002</v>
      </c>
      <c r="U47">
        <v>0.53300000000000003</v>
      </c>
      <c r="V47">
        <v>4</v>
      </c>
      <c r="W47">
        <v>4</v>
      </c>
      <c r="X47">
        <v>1</v>
      </c>
      <c r="Y47">
        <v>0</v>
      </c>
      <c r="Z47">
        <v>3</v>
      </c>
      <c r="AA47">
        <v>3</v>
      </c>
      <c r="AB47">
        <v>3</v>
      </c>
      <c r="AC47">
        <v>0</v>
      </c>
      <c r="AD47">
        <v>2</v>
      </c>
      <c r="AE47">
        <v>4</v>
      </c>
      <c r="AF47">
        <v>2</v>
      </c>
      <c r="AG47">
        <v>20</v>
      </c>
      <c r="AH47">
        <v>11.9</v>
      </c>
      <c r="AI47">
        <v>18</v>
      </c>
    </row>
    <row r="48" spans="1:35" ht="21" x14ac:dyDescent="0.3">
      <c r="A48" t="s">
        <v>547</v>
      </c>
      <c r="B48" s="11">
        <v>41</v>
      </c>
      <c r="C48">
        <v>149</v>
      </c>
      <c r="D48">
        <v>47</v>
      </c>
      <c r="E48" s="4">
        <v>44584</v>
      </c>
      <c r="F48" t="s">
        <v>33</v>
      </c>
      <c r="H48" t="s">
        <v>118</v>
      </c>
      <c r="I48" t="s">
        <v>133</v>
      </c>
      <c r="J48" t="s">
        <v>41</v>
      </c>
      <c r="K48" s="9">
        <v>1.4326388888888888</v>
      </c>
      <c r="L48">
        <v>7</v>
      </c>
      <c r="M48">
        <v>13</v>
      </c>
      <c r="N48">
        <v>0.53800000000000003</v>
      </c>
      <c r="O48">
        <v>4</v>
      </c>
      <c r="P48">
        <v>9</v>
      </c>
      <c r="Q48">
        <v>0.44400000000000001</v>
      </c>
      <c r="R48">
        <v>3</v>
      </c>
      <c r="S48">
        <v>4</v>
      </c>
      <c r="T48">
        <v>0.75</v>
      </c>
      <c r="U48">
        <v>0.69199999999999995</v>
      </c>
      <c r="V48">
        <v>2</v>
      </c>
      <c r="W48">
        <v>2</v>
      </c>
      <c r="X48">
        <v>1</v>
      </c>
      <c r="Y48">
        <v>1</v>
      </c>
      <c r="Z48">
        <v>2</v>
      </c>
      <c r="AA48">
        <v>3</v>
      </c>
      <c r="AB48">
        <v>2</v>
      </c>
      <c r="AC48">
        <v>0</v>
      </c>
      <c r="AD48">
        <v>1</v>
      </c>
      <c r="AE48">
        <v>2</v>
      </c>
      <c r="AF48">
        <v>4</v>
      </c>
      <c r="AG48">
        <v>20</v>
      </c>
      <c r="AH48">
        <v>13.5</v>
      </c>
      <c r="AI48">
        <v>6</v>
      </c>
    </row>
    <row r="49" spans="1:35" ht="21" x14ac:dyDescent="0.3">
      <c r="A49" t="s">
        <v>547</v>
      </c>
      <c r="B49" s="11">
        <v>42</v>
      </c>
      <c r="C49">
        <v>150</v>
      </c>
      <c r="D49">
        <v>48</v>
      </c>
      <c r="E49" s="4">
        <v>44586</v>
      </c>
      <c r="F49" t="s">
        <v>33</v>
      </c>
      <c r="H49" t="s">
        <v>49</v>
      </c>
      <c r="I49" t="s">
        <v>134</v>
      </c>
      <c r="K49" s="9">
        <v>1.0951388888888889</v>
      </c>
      <c r="L49">
        <v>6</v>
      </c>
      <c r="M49">
        <v>10</v>
      </c>
      <c r="N49">
        <v>0.6</v>
      </c>
      <c r="O49">
        <v>2</v>
      </c>
      <c r="P49">
        <v>6</v>
      </c>
      <c r="Q49">
        <v>0.33300000000000002</v>
      </c>
      <c r="R49">
        <v>4</v>
      </c>
      <c r="S49">
        <v>4</v>
      </c>
      <c r="T49">
        <v>1</v>
      </c>
      <c r="U49">
        <v>0.7</v>
      </c>
      <c r="V49">
        <v>3</v>
      </c>
      <c r="W49">
        <v>3</v>
      </c>
      <c r="X49">
        <v>1</v>
      </c>
      <c r="Y49">
        <v>0</v>
      </c>
      <c r="Z49">
        <v>2</v>
      </c>
      <c r="AA49">
        <v>2</v>
      </c>
      <c r="AB49">
        <v>3</v>
      </c>
      <c r="AC49">
        <v>1</v>
      </c>
      <c r="AD49">
        <v>0</v>
      </c>
      <c r="AE49">
        <v>1</v>
      </c>
      <c r="AF49">
        <v>1</v>
      </c>
      <c r="AG49">
        <v>17</v>
      </c>
      <c r="AH49">
        <v>14.7</v>
      </c>
      <c r="AI49">
        <v>9</v>
      </c>
    </row>
    <row r="50" spans="1:35" ht="21" x14ac:dyDescent="0.3">
      <c r="A50" t="s">
        <v>547</v>
      </c>
      <c r="B50" s="11">
        <v>43</v>
      </c>
      <c r="C50">
        <v>151</v>
      </c>
      <c r="D50">
        <v>49</v>
      </c>
      <c r="E50" s="4">
        <v>44588</v>
      </c>
      <c r="F50" t="s">
        <v>33</v>
      </c>
      <c r="H50" t="s">
        <v>80</v>
      </c>
      <c r="I50" t="s">
        <v>135</v>
      </c>
      <c r="K50" s="9">
        <v>1.0020833333333334</v>
      </c>
      <c r="L50">
        <v>5</v>
      </c>
      <c r="M50">
        <v>10</v>
      </c>
      <c r="N50">
        <v>0.5</v>
      </c>
      <c r="O50">
        <v>3</v>
      </c>
      <c r="P50">
        <v>4</v>
      </c>
      <c r="Q50">
        <v>0.75</v>
      </c>
      <c r="R50">
        <v>2</v>
      </c>
      <c r="S50">
        <v>6</v>
      </c>
      <c r="T50">
        <v>0.33300000000000002</v>
      </c>
      <c r="U50">
        <v>0.65</v>
      </c>
      <c r="V50">
        <v>6</v>
      </c>
      <c r="W50">
        <v>6</v>
      </c>
      <c r="X50">
        <v>1</v>
      </c>
      <c r="Y50">
        <v>2</v>
      </c>
      <c r="Z50">
        <v>1</v>
      </c>
      <c r="AA50">
        <v>3</v>
      </c>
      <c r="AB50">
        <v>5</v>
      </c>
      <c r="AC50">
        <v>1</v>
      </c>
      <c r="AD50">
        <v>0</v>
      </c>
      <c r="AE50">
        <v>2</v>
      </c>
      <c r="AF50">
        <v>3</v>
      </c>
      <c r="AG50">
        <v>19</v>
      </c>
      <c r="AH50">
        <v>17</v>
      </c>
      <c r="AI50">
        <v>4</v>
      </c>
    </row>
    <row r="51" spans="1:35" ht="21" x14ac:dyDescent="0.3">
      <c r="A51" t="s">
        <v>547</v>
      </c>
      <c r="B51" s="11">
        <v>44</v>
      </c>
      <c r="C51">
        <v>152</v>
      </c>
      <c r="D51">
        <v>50</v>
      </c>
      <c r="E51" s="4">
        <v>44590</v>
      </c>
      <c r="F51" t="s">
        <v>33</v>
      </c>
      <c r="H51" t="s">
        <v>85</v>
      </c>
      <c r="I51" t="s">
        <v>136</v>
      </c>
      <c r="K51" s="9">
        <v>1.1499999999999999</v>
      </c>
      <c r="L51">
        <v>6</v>
      </c>
      <c r="M51">
        <v>15</v>
      </c>
      <c r="N51">
        <v>0.4</v>
      </c>
      <c r="O51">
        <v>3</v>
      </c>
      <c r="P51">
        <v>8</v>
      </c>
      <c r="Q51">
        <v>0.375</v>
      </c>
      <c r="R51">
        <v>3</v>
      </c>
      <c r="S51">
        <v>7</v>
      </c>
      <c r="T51">
        <v>0.42899999999999999</v>
      </c>
      <c r="U51">
        <v>0.5</v>
      </c>
      <c r="V51">
        <v>2</v>
      </c>
      <c r="W51">
        <v>2</v>
      </c>
      <c r="X51">
        <v>1</v>
      </c>
      <c r="Y51">
        <v>0</v>
      </c>
      <c r="Z51">
        <v>3</v>
      </c>
      <c r="AA51">
        <v>3</v>
      </c>
      <c r="AB51">
        <v>6</v>
      </c>
      <c r="AC51">
        <v>0</v>
      </c>
      <c r="AD51">
        <v>1</v>
      </c>
      <c r="AE51">
        <v>0</v>
      </c>
      <c r="AF51">
        <v>3</v>
      </c>
      <c r="AG51">
        <v>17</v>
      </c>
      <c r="AH51">
        <v>13.5</v>
      </c>
      <c r="AI51">
        <v>3</v>
      </c>
    </row>
    <row r="52" spans="1:35" ht="21" x14ac:dyDescent="0.3">
      <c r="A52" t="s">
        <v>547</v>
      </c>
      <c r="B52" s="11">
        <v>45</v>
      </c>
      <c r="C52">
        <v>153</v>
      </c>
      <c r="D52">
        <v>51</v>
      </c>
      <c r="E52" s="4">
        <v>44592</v>
      </c>
      <c r="F52" t="s">
        <v>33</v>
      </c>
      <c r="G52" t="s">
        <v>37</v>
      </c>
      <c r="H52" t="s">
        <v>76</v>
      </c>
      <c r="I52" t="s">
        <v>137</v>
      </c>
      <c r="K52" s="9">
        <v>1.0881944444444445</v>
      </c>
      <c r="L52">
        <v>2</v>
      </c>
      <c r="M52">
        <v>4</v>
      </c>
      <c r="N52">
        <v>0.5</v>
      </c>
      <c r="O52">
        <v>2</v>
      </c>
      <c r="P52">
        <v>3</v>
      </c>
      <c r="Q52">
        <v>0.66700000000000004</v>
      </c>
      <c r="R52">
        <v>0</v>
      </c>
      <c r="S52">
        <v>1</v>
      </c>
      <c r="T52">
        <v>0</v>
      </c>
      <c r="U52">
        <v>0.75</v>
      </c>
      <c r="V52">
        <v>0</v>
      </c>
      <c r="W52">
        <v>0</v>
      </c>
      <c r="Y52">
        <v>0</v>
      </c>
      <c r="Z52">
        <v>2</v>
      </c>
      <c r="AA52">
        <v>2</v>
      </c>
      <c r="AB52">
        <v>2</v>
      </c>
      <c r="AC52">
        <v>0</v>
      </c>
      <c r="AD52">
        <v>0</v>
      </c>
      <c r="AE52">
        <v>5</v>
      </c>
      <c r="AF52">
        <v>2</v>
      </c>
      <c r="AG52">
        <v>6</v>
      </c>
      <c r="AH52">
        <v>0.2</v>
      </c>
      <c r="AI52">
        <v>13</v>
      </c>
    </row>
    <row r="53" spans="1:35" ht="21" x14ac:dyDescent="0.3">
      <c r="A53" t="s">
        <v>547</v>
      </c>
      <c r="B53" s="11">
        <v>46</v>
      </c>
      <c r="C53">
        <v>154</v>
      </c>
      <c r="D53">
        <v>52</v>
      </c>
      <c r="E53" s="4">
        <v>44593</v>
      </c>
      <c r="F53" t="s">
        <v>33</v>
      </c>
      <c r="G53" t="s">
        <v>37</v>
      </c>
      <c r="H53" t="s">
        <v>102</v>
      </c>
      <c r="I53" t="s">
        <v>138</v>
      </c>
      <c r="J53" t="s">
        <v>41</v>
      </c>
      <c r="K53" s="9">
        <v>1.4159722222222222</v>
      </c>
      <c r="L53">
        <v>9</v>
      </c>
      <c r="M53">
        <v>24</v>
      </c>
      <c r="N53">
        <v>0.375</v>
      </c>
      <c r="O53">
        <v>4</v>
      </c>
      <c r="P53">
        <v>13</v>
      </c>
      <c r="Q53">
        <v>0.308</v>
      </c>
      <c r="R53">
        <v>5</v>
      </c>
      <c r="S53">
        <v>11</v>
      </c>
      <c r="T53">
        <v>0.45500000000000002</v>
      </c>
      <c r="U53">
        <v>0.45800000000000002</v>
      </c>
      <c r="V53">
        <v>9</v>
      </c>
      <c r="W53">
        <v>9</v>
      </c>
      <c r="X53">
        <v>1</v>
      </c>
      <c r="Y53">
        <v>3</v>
      </c>
      <c r="Z53">
        <v>3</v>
      </c>
      <c r="AA53">
        <v>6</v>
      </c>
      <c r="AB53">
        <v>5</v>
      </c>
      <c r="AC53">
        <v>1</v>
      </c>
      <c r="AD53">
        <v>1</v>
      </c>
      <c r="AE53">
        <v>1</v>
      </c>
      <c r="AF53">
        <v>0</v>
      </c>
      <c r="AG53">
        <v>31</v>
      </c>
      <c r="AH53">
        <v>25</v>
      </c>
      <c r="AI53">
        <v>-6</v>
      </c>
    </row>
    <row r="54" spans="1:35" ht="21" x14ac:dyDescent="0.3">
      <c r="A54" t="s">
        <v>547</v>
      </c>
      <c r="B54" s="11">
        <v>47</v>
      </c>
      <c r="C54">
        <v>155</v>
      </c>
      <c r="D54">
        <v>53</v>
      </c>
      <c r="E54" s="4">
        <v>44595</v>
      </c>
      <c r="F54" t="s">
        <v>33</v>
      </c>
      <c r="H54" t="s">
        <v>66</v>
      </c>
      <c r="I54" t="s">
        <v>139</v>
      </c>
      <c r="K54" s="9">
        <v>1.0520833333333333</v>
      </c>
      <c r="L54">
        <v>4</v>
      </c>
      <c r="M54">
        <v>8</v>
      </c>
      <c r="N54">
        <v>0.5</v>
      </c>
      <c r="O54">
        <v>0</v>
      </c>
      <c r="P54">
        <v>4</v>
      </c>
      <c r="Q54">
        <v>0</v>
      </c>
      <c r="R54">
        <v>4</v>
      </c>
      <c r="S54">
        <v>4</v>
      </c>
      <c r="T54">
        <v>1</v>
      </c>
      <c r="U54">
        <v>0.5</v>
      </c>
      <c r="V54">
        <v>4</v>
      </c>
      <c r="W54">
        <v>4</v>
      </c>
      <c r="X54">
        <v>1</v>
      </c>
      <c r="Y54">
        <v>2</v>
      </c>
      <c r="Z54">
        <v>3</v>
      </c>
      <c r="AA54">
        <v>5</v>
      </c>
      <c r="AB54">
        <v>3</v>
      </c>
      <c r="AC54">
        <v>2</v>
      </c>
      <c r="AD54">
        <v>1</v>
      </c>
      <c r="AE54">
        <v>4</v>
      </c>
      <c r="AF54">
        <v>0</v>
      </c>
      <c r="AG54">
        <v>12</v>
      </c>
      <c r="AH54">
        <v>11.1</v>
      </c>
      <c r="AI54">
        <v>1</v>
      </c>
    </row>
    <row r="55" spans="1:35" ht="21" x14ac:dyDescent="0.3">
      <c r="A55" t="s">
        <v>547</v>
      </c>
      <c r="B55" s="11">
        <v>48</v>
      </c>
      <c r="C55">
        <v>156</v>
      </c>
      <c r="D55">
        <v>54</v>
      </c>
      <c r="E55" s="4">
        <v>44599</v>
      </c>
      <c r="F55" t="s">
        <v>33</v>
      </c>
      <c r="G55" t="s">
        <v>37</v>
      </c>
      <c r="H55" t="s">
        <v>68</v>
      </c>
      <c r="I55" t="s">
        <v>140</v>
      </c>
      <c r="K55" s="9">
        <v>1.2472222222222222</v>
      </c>
      <c r="L55">
        <v>5</v>
      </c>
      <c r="M55">
        <v>8</v>
      </c>
      <c r="N55">
        <v>0.625</v>
      </c>
      <c r="O55">
        <v>1</v>
      </c>
      <c r="P55">
        <v>4</v>
      </c>
      <c r="Q55">
        <v>0.25</v>
      </c>
      <c r="R55">
        <v>4</v>
      </c>
      <c r="S55">
        <v>4</v>
      </c>
      <c r="T55">
        <v>1</v>
      </c>
      <c r="U55">
        <v>0.68799999999999994</v>
      </c>
      <c r="V55">
        <v>0</v>
      </c>
      <c r="W55">
        <v>0</v>
      </c>
      <c r="Y55">
        <v>2</v>
      </c>
      <c r="Z55">
        <v>6</v>
      </c>
      <c r="AA55">
        <v>8</v>
      </c>
      <c r="AB55">
        <v>8</v>
      </c>
      <c r="AC55">
        <v>2</v>
      </c>
      <c r="AD55">
        <v>0</v>
      </c>
      <c r="AE55">
        <v>3</v>
      </c>
      <c r="AF55">
        <v>4</v>
      </c>
      <c r="AG55">
        <v>11</v>
      </c>
      <c r="AH55">
        <v>13.6</v>
      </c>
      <c r="AI55">
        <v>17</v>
      </c>
    </row>
    <row r="56" spans="1:35" ht="21" x14ac:dyDescent="0.3">
      <c r="A56" t="s">
        <v>547</v>
      </c>
      <c r="B56" s="11">
        <v>49</v>
      </c>
      <c r="C56">
        <v>157</v>
      </c>
      <c r="D56">
        <v>55</v>
      </c>
      <c r="E56" s="4">
        <v>44601</v>
      </c>
      <c r="F56" t="s">
        <v>33</v>
      </c>
      <c r="G56" t="s">
        <v>37</v>
      </c>
      <c r="H56" t="s">
        <v>118</v>
      </c>
      <c r="I56" t="s">
        <v>141</v>
      </c>
      <c r="J56" t="s">
        <v>41</v>
      </c>
      <c r="K56" s="9">
        <v>1.3527777777777779</v>
      </c>
      <c r="L56">
        <v>5</v>
      </c>
      <c r="M56">
        <v>14</v>
      </c>
      <c r="N56">
        <v>0.35699999999999998</v>
      </c>
      <c r="O56">
        <v>3</v>
      </c>
      <c r="P56">
        <v>8</v>
      </c>
      <c r="Q56">
        <v>0.375</v>
      </c>
      <c r="R56">
        <v>2</v>
      </c>
      <c r="S56">
        <v>6</v>
      </c>
      <c r="T56">
        <v>0.33300000000000002</v>
      </c>
      <c r="U56">
        <v>0.46400000000000002</v>
      </c>
      <c r="V56">
        <v>5</v>
      </c>
      <c r="W56">
        <v>5</v>
      </c>
      <c r="X56">
        <v>1</v>
      </c>
      <c r="Y56">
        <v>2</v>
      </c>
      <c r="Z56">
        <v>1</v>
      </c>
      <c r="AA56">
        <v>3</v>
      </c>
      <c r="AB56">
        <v>3</v>
      </c>
      <c r="AC56">
        <v>1</v>
      </c>
      <c r="AD56">
        <v>0</v>
      </c>
      <c r="AE56">
        <v>2</v>
      </c>
      <c r="AF56">
        <v>3</v>
      </c>
      <c r="AG56">
        <v>18</v>
      </c>
      <c r="AH56">
        <v>11.8</v>
      </c>
      <c r="AI56">
        <v>-8</v>
      </c>
    </row>
    <row r="57" spans="1:35" ht="21" x14ac:dyDescent="0.3">
      <c r="A57" t="s">
        <v>547</v>
      </c>
      <c r="B57" s="11">
        <v>50</v>
      </c>
      <c r="C57">
        <v>158</v>
      </c>
      <c r="D57">
        <v>56</v>
      </c>
      <c r="E57" s="4">
        <v>44602</v>
      </c>
      <c r="F57" t="s">
        <v>33</v>
      </c>
      <c r="H57" t="s">
        <v>110</v>
      </c>
      <c r="I57" t="s">
        <v>142</v>
      </c>
      <c r="K57" s="9">
        <v>1.1034722222222222</v>
      </c>
      <c r="L57">
        <v>5</v>
      </c>
      <c r="M57">
        <v>11</v>
      </c>
      <c r="N57">
        <v>0.45500000000000002</v>
      </c>
      <c r="O57">
        <v>1</v>
      </c>
      <c r="P57">
        <v>5</v>
      </c>
      <c r="Q57">
        <v>0.2</v>
      </c>
      <c r="R57">
        <v>4</v>
      </c>
      <c r="S57">
        <v>6</v>
      </c>
      <c r="T57">
        <v>0.66700000000000004</v>
      </c>
      <c r="U57">
        <v>0.5</v>
      </c>
      <c r="V57">
        <v>0</v>
      </c>
      <c r="W57">
        <v>0</v>
      </c>
      <c r="Y57">
        <v>0</v>
      </c>
      <c r="Z57">
        <v>2</v>
      </c>
      <c r="AA57">
        <v>2</v>
      </c>
      <c r="AB57">
        <v>2</v>
      </c>
      <c r="AC57">
        <v>0</v>
      </c>
      <c r="AD57">
        <v>0</v>
      </c>
      <c r="AE57">
        <v>1</v>
      </c>
      <c r="AF57">
        <v>2</v>
      </c>
      <c r="AG57">
        <v>11</v>
      </c>
      <c r="AH57">
        <v>5.5</v>
      </c>
      <c r="AI57">
        <v>4</v>
      </c>
    </row>
    <row r="58" spans="1:35" ht="21" x14ac:dyDescent="0.3">
      <c r="A58" t="s">
        <v>547</v>
      </c>
      <c r="B58" s="11">
        <v>51</v>
      </c>
      <c r="C58">
        <v>159</v>
      </c>
      <c r="D58">
        <v>57</v>
      </c>
      <c r="E58" s="4">
        <v>44604</v>
      </c>
      <c r="F58" t="s">
        <v>33</v>
      </c>
      <c r="H58" t="s">
        <v>62</v>
      </c>
      <c r="I58" t="s">
        <v>143</v>
      </c>
      <c r="K58" s="9">
        <v>1.0409722222222222</v>
      </c>
      <c r="L58">
        <v>2</v>
      </c>
      <c r="M58">
        <v>8</v>
      </c>
      <c r="N58">
        <v>0.25</v>
      </c>
      <c r="O58">
        <v>1</v>
      </c>
      <c r="P58">
        <v>5</v>
      </c>
      <c r="Q58">
        <v>0.2</v>
      </c>
      <c r="R58">
        <v>1</v>
      </c>
      <c r="S58">
        <v>3</v>
      </c>
      <c r="T58">
        <v>0.33300000000000002</v>
      </c>
      <c r="U58">
        <v>0.313</v>
      </c>
      <c r="V58">
        <v>6</v>
      </c>
      <c r="W58">
        <v>6</v>
      </c>
      <c r="X58">
        <v>1</v>
      </c>
      <c r="Y58">
        <v>1</v>
      </c>
      <c r="Z58">
        <v>0</v>
      </c>
      <c r="AA58">
        <v>1</v>
      </c>
      <c r="AB58">
        <v>4</v>
      </c>
      <c r="AC58">
        <v>0</v>
      </c>
      <c r="AD58">
        <v>0</v>
      </c>
      <c r="AE58">
        <v>2</v>
      </c>
      <c r="AF58">
        <v>2</v>
      </c>
      <c r="AG58">
        <v>11</v>
      </c>
      <c r="AH58">
        <v>6.9</v>
      </c>
      <c r="AI58">
        <v>8</v>
      </c>
    </row>
    <row r="59" spans="1:35" ht="21" x14ac:dyDescent="0.3">
      <c r="A59" t="s">
        <v>547</v>
      </c>
      <c r="B59" s="11">
        <v>52</v>
      </c>
      <c r="C59">
        <v>160</v>
      </c>
      <c r="D59">
        <v>58</v>
      </c>
      <c r="E59" s="4">
        <v>44606</v>
      </c>
      <c r="F59" t="s">
        <v>33</v>
      </c>
      <c r="G59" t="s">
        <v>37</v>
      </c>
      <c r="H59" t="s">
        <v>64</v>
      </c>
      <c r="I59" t="s">
        <v>144</v>
      </c>
      <c r="K59" s="9">
        <v>1.0423611111111111</v>
      </c>
      <c r="L59">
        <v>5</v>
      </c>
      <c r="M59">
        <v>11</v>
      </c>
      <c r="N59">
        <v>0.45500000000000002</v>
      </c>
      <c r="O59">
        <v>1</v>
      </c>
      <c r="P59">
        <v>5</v>
      </c>
      <c r="Q59">
        <v>0.2</v>
      </c>
      <c r="R59">
        <v>4</v>
      </c>
      <c r="S59">
        <v>6</v>
      </c>
      <c r="T59">
        <v>0.66700000000000004</v>
      </c>
      <c r="U59">
        <v>0.5</v>
      </c>
      <c r="V59">
        <v>2</v>
      </c>
      <c r="W59">
        <v>2</v>
      </c>
      <c r="X59">
        <v>1</v>
      </c>
      <c r="Y59">
        <v>1</v>
      </c>
      <c r="Z59">
        <v>6</v>
      </c>
      <c r="AA59">
        <v>7</v>
      </c>
      <c r="AB59">
        <v>3</v>
      </c>
      <c r="AC59">
        <v>1</v>
      </c>
      <c r="AD59">
        <v>0</v>
      </c>
      <c r="AE59">
        <v>2</v>
      </c>
      <c r="AF59">
        <v>2</v>
      </c>
      <c r="AG59">
        <v>13</v>
      </c>
      <c r="AH59">
        <v>10.1</v>
      </c>
      <c r="AI59">
        <v>-7</v>
      </c>
    </row>
    <row r="60" spans="1:35" ht="21" x14ac:dyDescent="0.3">
      <c r="A60" t="s">
        <v>547</v>
      </c>
      <c r="B60" s="11">
        <v>53</v>
      </c>
      <c r="C60">
        <v>161</v>
      </c>
      <c r="D60">
        <v>59</v>
      </c>
      <c r="E60" s="4">
        <v>44608</v>
      </c>
      <c r="F60" t="s">
        <v>33</v>
      </c>
      <c r="H60" t="s">
        <v>34</v>
      </c>
      <c r="I60" t="s">
        <v>145</v>
      </c>
      <c r="K60" s="7">
        <v>0.93055555555555558</v>
      </c>
      <c r="L60">
        <v>6</v>
      </c>
      <c r="M60">
        <v>11</v>
      </c>
      <c r="N60">
        <v>0.54500000000000004</v>
      </c>
      <c r="O60">
        <v>2</v>
      </c>
      <c r="P60">
        <v>4</v>
      </c>
      <c r="Q60">
        <v>0.5</v>
      </c>
      <c r="R60">
        <v>4</v>
      </c>
      <c r="S60">
        <v>7</v>
      </c>
      <c r="T60">
        <v>0.57099999999999995</v>
      </c>
      <c r="U60">
        <v>0.63600000000000001</v>
      </c>
      <c r="V60">
        <v>1</v>
      </c>
      <c r="W60">
        <v>2</v>
      </c>
      <c r="X60">
        <v>0.5</v>
      </c>
      <c r="Y60">
        <v>0</v>
      </c>
      <c r="Z60">
        <v>1</v>
      </c>
      <c r="AA60">
        <v>1</v>
      </c>
      <c r="AB60">
        <v>5</v>
      </c>
      <c r="AC60">
        <v>2</v>
      </c>
      <c r="AD60">
        <v>1</v>
      </c>
      <c r="AE60">
        <v>3</v>
      </c>
      <c r="AF60">
        <v>2</v>
      </c>
      <c r="AG60">
        <v>15</v>
      </c>
      <c r="AH60">
        <v>12</v>
      </c>
      <c r="AI60">
        <v>-2</v>
      </c>
    </row>
    <row r="61" spans="1:35" ht="21" x14ac:dyDescent="0.3">
      <c r="A61" t="s">
        <v>547</v>
      </c>
      <c r="B61" s="11">
        <v>54</v>
      </c>
      <c r="C61">
        <v>162</v>
      </c>
      <c r="D61">
        <v>60</v>
      </c>
      <c r="E61" s="4">
        <v>44616</v>
      </c>
      <c r="F61" t="s">
        <v>33</v>
      </c>
      <c r="G61" t="s">
        <v>37</v>
      </c>
      <c r="H61" t="s">
        <v>96</v>
      </c>
      <c r="I61" t="s">
        <v>146</v>
      </c>
      <c r="K61" s="9">
        <v>1.0375000000000001</v>
      </c>
      <c r="L61">
        <v>5</v>
      </c>
      <c r="M61">
        <v>10</v>
      </c>
      <c r="N61">
        <v>0.5</v>
      </c>
      <c r="O61">
        <v>2</v>
      </c>
      <c r="P61">
        <v>6</v>
      </c>
      <c r="Q61">
        <v>0.33300000000000002</v>
      </c>
      <c r="R61">
        <v>3</v>
      </c>
      <c r="S61">
        <v>4</v>
      </c>
      <c r="T61">
        <v>0.75</v>
      </c>
      <c r="U61">
        <v>0.6</v>
      </c>
      <c r="V61">
        <v>3</v>
      </c>
      <c r="W61">
        <v>3</v>
      </c>
      <c r="X61">
        <v>1</v>
      </c>
      <c r="Y61">
        <v>1</v>
      </c>
      <c r="Z61">
        <v>1</v>
      </c>
      <c r="AA61">
        <v>2</v>
      </c>
      <c r="AB61">
        <v>6</v>
      </c>
      <c r="AC61">
        <v>1</v>
      </c>
      <c r="AD61">
        <v>0</v>
      </c>
      <c r="AE61">
        <v>2</v>
      </c>
      <c r="AF61">
        <v>3</v>
      </c>
      <c r="AG61">
        <v>15</v>
      </c>
      <c r="AH61">
        <v>13</v>
      </c>
      <c r="AI61">
        <v>33</v>
      </c>
    </row>
    <row r="62" spans="1:35" ht="21" x14ac:dyDescent="0.3">
      <c r="A62" t="s">
        <v>547</v>
      </c>
      <c r="B62" s="11">
        <v>55</v>
      </c>
      <c r="C62">
        <v>163</v>
      </c>
      <c r="D62">
        <v>61</v>
      </c>
      <c r="E62" s="4">
        <v>44619</v>
      </c>
      <c r="F62" t="s">
        <v>33</v>
      </c>
      <c r="H62" t="s">
        <v>49</v>
      </c>
      <c r="I62" t="s">
        <v>147</v>
      </c>
      <c r="K62" s="7">
        <v>0.79722222222222228</v>
      </c>
      <c r="L62">
        <v>0</v>
      </c>
      <c r="M62">
        <v>7</v>
      </c>
      <c r="N62">
        <v>0</v>
      </c>
      <c r="O62">
        <v>0</v>
      </c>
      <c r="P62">
        <v>4</v>
      </c>
      <c r="Q62">
        <v>0</v>
      </c>
      <c r="R62">
        <v>0</v>
      </c>
      <c r="S62">
        <v>3</v>
      </c>
      <c r="T62">
        <v>0</v>
      </c>
      <c r="U62">
        <v>0</v>
      </c>
      <c r="V62">
        <v>4</v>
      </c>
      <c r="W62">
        <v>4</v>
      </c>
      <c r="X62">
        <v>1</v>
      </c>
      <c r="Y62">
        <v>0</v>
      </c>
      <c r="Z62">
        <v>6</v>
      </c>
      <c r="AA62">
        <v>6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4</v>
      </c>
      <c r="AH62">
        <v>0.2</v>
      </c>
      <c r="AI62">
        <v>-12</v>
      </c>
    </row>
    <row r="63" spans="1:35" ht="21" x14ac:dyDescent="0.3">
      <c r="A63" t="s">
        <v>547</v>
      </c>
      <c r="B63" s="11">
        <v>56</v>
      </c>
      <c r="C63">
        <v>164</v>
      </c>
      <c r="D63">
        <v>62</v>
      </c>
      <c r="E63" s="4">
        <v>44621</v>
      </c>
      <c r="F63" t="s">
        <v>33</v>
      </c>
      <c r="G63" t="s">
        <v>37</v>
      </c>
      <c r="H63" t="s">
        <v>80</v>
      </c>
      <c r="I63" t="s">
        <v>148</v>
      </c>
      <c r="K63" s="9">
        <v>1.1069444444444445</v>
      </c>
      <c r="L63">
        <v>5</v>
      </c>
      <c r="M63">
        <v>12</v>
      </c>
      <c r="N63">
        <v>0.41699999999999998</v>
      </c>
      <c r="O63">
        <v>1</v>
      </c>
      <c r="P63">
        <v>6</v>
      </c>
      <c r="Q63">
        <v>0.16700000000000001</v>
      </c>
      <c r="R63">
        <v>4</v>
      </c>
      <c r="S63">
        <v>6</v>
      </c>
      <c r="T63">
        <v>0.66700000000000004</v>
      </c>
      <c r="U63">
        <v>0.45800000000000002</v>
      </c>
      <c r="V63">
        <v>1</v>
      </c>
      <c r="W63">
        <v>1</v>
      </c>
      <c r="X63">
        <v>1</v>
      </c>
      <c r="Y63">
        <v>2</v>
      </c>
      <c r="Z63">
        <v>0</v>
      </c>
      <c r="AA63">
        <v>2</v>
      </c>
      <c r="AB63">
        <v>3</v>
      </c>
      <c r="AC63">
        <v>0</v>
      </c>
      <c r="AD63">
        <v>0</v>
      </c>
      <c r="AE63">
        <v>2</v>
      </c>
      <c r="AF63">
        <v>4</v>
      </c>
      <c r="AG63">
        <v>12</v>
      </c>
      <c r="AH63">
        <v>5.5</v>
      </c>
      <c r="AI63">
        <v>-21</v>
      </c>
    </row>
    <row r="64" spans="1:35" ht="21" x14ac:dyDescent="0.3">
      <c r="A64" t="s">
        <v>547</v>
      </c>
      <c r="B64" s="11">
        <v>57</v>
      </c>
      <c r="C64">
        <v>165</v>
      </c>
      <c r="D64">
        <v>63</v>
      </c>
      <c r="E64" s="4">
        <v>44623</v>
      </c>
      <c r="F64" t="s">
        <v>33</v>
      </c>
      <c r="G64" t="s">
        <v>37</v>
      </c>
      <c r="H64" t="s">
        <v>49</v>
      </c>
      <c r="I64" t="s">
        <v>149</v>
      </c>
      <c r="K64" s="9">
        <v>1.1048611111111111</v>
      </c>
      <c r="L64">
        <v>8</v>
      </c>
      <c r="M64">
        <v>12</v>
      </c>
      <c r="N64">
        <v>0.66700000000000004</v>
      </c>
      <c r="O64">
        <v>3</v>
      </c>
      <c r="P64">
        <v>6</v>
      </c>
      <c r="Q64">
        <v>0.5</v>
      </c>
      <c r="R64">
        <v>5</v>
      </c>
      <c r="S64">
        <v>6</v>
      </c>
      <c r="T64">
        <v>0.83299999999999996</v>
      </c>
      <c r="U64">
        <v>0.79200000000000004</v>
      </c>
      <c r="V64">
        <v>4</v>
      </c>
      <c r="W64">
        <v>4</v>
      </c>
      <c r="X64">
        <v>1</v>
      </c>
      <c r="Y64">
        <v>0</v>
      </c>
      <c r="Z64">
        <v>3</v>
      </c>
      <c r="AA64">
        <v>3</v>
      </c>
      <c r="AB64">
        <v>2</v>
      </c>
      <c r="AC64">
        <v>2</v>
      </c>
      <c r="AD64">
        <v>1</v>
      </c>
      <c r="AE64">
        <v>2</v>
      </c>
      <c r="AF64">
        <v>1</v>
      </c>
      <c r="AG64">
        <v>23</v>
      </c>
      <c r="AH64">
        <v>20.399999999999999</v>
      </c>
      <c r="AI64">
        <v>-5</v>
      </c>
    </row>
    <row r="65" spans="1:35" ht="21" x14ac:dyDescent="0.3">
      <c r="A65" t="s">
        <v>547</v>
      </c>
      <c r="B65" s="11">
        <v>58</v>
      </c>
      <c r="C65">
        <v>166</v>
      </c>
      <c r="D65">
        <v>64</v>
      </c>
      <c r="E65" s="4">
        <v>44625</v>
      </c>
      <c r="F65" t="s">
        <v>33</v>
      </c>
      <c r="G65" t="s">
        <v>37</v>
      </c>
      <c r="H65" t="s">
        <v>62</v>
      </c>
      <c r="I65" t="s">
        <v>150</v>
      </c>
      <c r="K65" s="9">
        <v>1.336111111111111</v>
      </c>
      <c r="L65">
        <v>9</v>
      </c>
      <c r="M65">
        <v>15</v>
      </c>
      <c r="N65">
        <v>0.6</v>
      </c>
      <c r="O65">
        <v>4</v>
      </c>
      <c r="P65">
        <v>8</v>
      </c>
      <c r="Q65">
        <v>0.5</v>
      </c>
      <c r="R65">
        <v>5</v>
      </c>
      <c r="S65">
        <v>7</v>
      </c>
      <c r="T65">
        <v>0.71399999999999997</v>
      </c>
      <c r="U65">
        <v>0.73299999999999998</v>
      </c>
      <c r="V65">
        <v>1</v>
      </c>
      <c r="W65">
        <v>1</v>
      </c>
      <c r="X65">
        <v>1</v>
      </c>
      <c r="Y65">
        <v>0</v>
      </c>
      <c r="Z65">
        <v>1</v>
      </c>
      <c r="AA65">
        <v>1</v>
      </c>
      <c r="AB65">
        <v>5</v>
      </c>
      <c r="AC65">
        <v>1</v>
      </c>
      <c r="AD65">
        <v>0</v>
      </c>
      <c r="AE65">
        <v>2</v>
      </c>
      <c r="AF65">
        <v>1</v>
      </c>
      <c r="AG65">
        <v>23</v>
      </c>
      <c r="AH65">
        <v>18.5</v>
      </c>
      <c r="AI65">
        <v>2</v>
      </c>
    </row>
    <row r="66" spans="1:35" ht="21" x14ac:dyDescent="0.3">
      <c r="A66" t="s">
        <v>547</v>
      </c>
      <c r="B66" s="11">
        <v>59</v>
      </c>
      <c r="C66">
        <v>167</v>
      </c>
      <c r="D66">
        <v>65</v>
      </c>
      <c r="E66" s="4">
        <v>44627</v>
      </c>
      <c r="F66" t="s">
        <v>33</v>
      </c>
      <c r="G66" t="s">
        <v>37</v>
      </c>
      <c r="H66" t="s">
        <v>34</v>
      </c>
      <c r="I66" t="s">
        <v>151</v>
      </c>
      <c r="J66" t="s">
        <v>41</v>
      </c>
      <c r="K66" s="9">
        <v>1.4229166666666666</v>
      </c>
      <c r="L66">
        <v>11</v>
      </c>
      <c r="M66">
        <v>19</v>
      </c>
      <c r="N66">
        <v>0.57899999999999996</v>
      </c>
      <c r="O66">
        <v>8</v>
      </c>
      <c r="P66">
        <v>12</v>
      </c>
      <c r="Q66">
        <v>0.66700000000000004</v>
      </c>
      <c r="R66">
        <v>3</v>
      </c>
      <c r="S66">
        <v>7</v>
      </c>
      <c r="T66">
        <v>0.42899999999999999</v>
      </c>
      <c r="U66">
        <v>0.78900000000000003</v>
      </c>
      <c r="V66">
        <v>2</v>
      </c>
      <c r="W66">
        <v>2</v>
      </c>
      <c r="X66">
        <v>1</v>
      </c>
      <c r="Y66">
        <v>0</v>
      </c>
      <c r="Z66">
        <v>3</v>
      </c>
      <c r="AA66">
        <v>3</v>
      </c>
      <c r="AB66">
        <v>7</v>
      </c>
      <c r="AC66">
        <v>1</v>
      </c>
      <c r="AD66">
        <v>0</v>
      </c>
      <c r="AE66">
        <v>5</v>
      </c>
      <c r="AF66">
        <v>4</v>
      </c>
      <c r="AG66">
        <v>32</v>
      </c>
      <c r="AH66">
        <v>23.3</v>
      </c>
      <c r="AI66">
        <v>-6</v>
      </c>
    </row>
    <row r="67" spans="1:35" ht="21" x14ac:dyDescent="0.3">
      <c r="A67" t="s">
        <v>547</v>
      </c>
      <c r="B67" s="11">
        <v>60</v>
      </c>
      <c r="C67">
        <v>168</v>
      </c>
      <c r="D67">
        <v>66</v>
      </c>
      <c r="E67" s="4">
        <v>44628</v>
      </c>
      <c r="F67" t="s">
        <v>33</v>
      </c>
      <c r="H67" t="s">
        <v>64</v>
      </c>
      <c r="I67" t="s">
        <v>152</v>
      </c>
      <c r="K67" s="9">
        <v>1.2402777777777778</v>
      </c>
      <c r="L67">
        <v>8</v>
      </c>
      <c r="M67">
        <v>13</v>
      </c>
      <c r="N67">
        <v>0.61499999999999999</v>
      </c>
      <c r="O67">
        <v>4</v>
      </c>
      <c r="P67">
        <v>6</v>
      </c>
      <c r="Q67">
        <v>0.66700000000000004</v>
      </c>
      <c r="R67">
        <v>4</v>
      </c>
      <c r="S67">
        <v>7</v>
      </c>
      <c r="T67">
        <v>0.57099999999999995</v>
      </c>
      <c r="U67">
        <v>0.76900000000000002</v>
      </c>
      <c r="V67">
        <v>0</v>
      </c>
      <c r="W67">
        <v>0</v>
      </c>
      <c r="Y67">
        <v>0</v>
      </c>
      <c r="Z67">
        <v>3</v>
      </c>
      <c r="AA67">
        <v>3</v>
      </c>
      <c r="AB67">
        <v>4</v>
      </c>
      <c r="AC67">
        <v>2</v>
      </c>
      <c r="AD67">
        <v>0</v>
      </c>
      <c r="AE67">
        <v>3</v>
      </c>
      <c r="AF67">
        <v>1</v>
      </c>
      <c r="AG67">
        <v>20</v>
      </c>
      <c r="AH67">
        <v>16.399999999999999</v>
      </c>
      <c r="AI67">
        <v>14</v>
      </c>
    </row>
    <row r="68" spans="1:35" ht="21" x14ac:dyDescent="0.3">
      <c r="A68" t="s">
        <v>547</v>
      </c>
      <c r="B68" s="11">
        <v>61</v>
      </c>
      <c r="C68">
        <v>169</v>
      </c>
      <c r="D68">
        <v>67</v>
      </c>
      <c r="E68" s="4">
        <v>44630</v>
      </c>
      <c r="F68" t="s">
        <v>33</v>
      </c>
      <c r="G68" t="s">
        <v>37</v>
      </c>
      <c r="H68" t="s">
        <v>34</v>
      </c>
      <c r="I68" t="s">
        <v>153</v>
      </c>
      <c r="K68" s="9">
        <v>1.4270833333333333</v>
      </c>
      <c r="L68">
        <v>8</v>
      </c>
      <c r="M68">
        <v>13</v>
      </c>
      <c r="N68">
        <v>0.61499999999999999</v>
      </c>
      <c r="O68">
        <v>4</v>
      </c>
      <c r="P68">
        <v>7</v>
      </c>
      <c r="Q68">
        <v>0.57099999999999995</v>
      </c>
      <c r="R68">
        <v>4</v>
      </c>
      <c r="S68">
        <v>6</v>
      </c>
      <c r="T68">
        <v>0.66700000000000004</v>
      </c>
      <c r="U68">
        <v>0.76900000000000002</v>
      </c>
      <c r="V68">
        <v>1</v>
      </c>
      <c r="W68">
        <v>2</v>
      </c>
      <c r="X68">
        <v>0.5</v>
      </c>
      <c r="Y68">
        <v>1</v>
      </c>
      <c r="Z68">
        <v>4</v>
      </c>
      <c r="AA68">
        <v>5</v>
      </c>
      <c r="AB68">
        <v>7</v>
      </c>
      <c r="AC68">
        <v>0</v>
      </c>
      <c r="AD68">
        <v>0</v>
      </c>
      <c r="AE68">
        <v>2</v>
      </c>
      <c r="AF68">
        <v>5</v>
      </c>
      <c r="AG68">
        <v>21</v>
      </c>
      <c r="AH68">
        <v>17.5</v>
      </c>
      <c r="AI68">
        <v>29</v>
      </c>
    </row>
    <row r="69" spans="1:35" ht="21" x14ac:dyDescent="0.3">
      <c r="A69" t="s">
        <v>547</v>
      </c>
      <c r="B69" s="11">
        <v>62</v>
      </c>
      <c r="C69">
        <v>170</v>
      </c>
      <c r="D69">
        <v>68</v>
      </c>
      <c r="E69" s="4">
        <v>44632</v>
      </c>
      <c r="F69" t="s">
        <v>33</v>
      </c>
      <c r="H69" t="s">
        <v>126</v>
      </c>
      <c r="I69" t="s">
        <v>154</v>
      </c>
      <c r="J69" t="s">
        <v>41</v>
      </c>
      <c r="K69" s="9">
        <v>1.4673611111111111</v>
      </c>
      <c r="L69">
        <v>9</v>
      </c>
      <c r="M69">
        <v>16</v>
      </c>
      <c r="N69">
        <v>0.56299999999999994</v>
      </c>
      <c r="O69">
        <v>5</v>
      </c>
      <c r="P69">
        <v>10</v>
      </c>
      <c r="Q69">
        <v>0.5</v>
      </c>
      <c r="R69">
        <v>4</v>
      </c>
      <c r="S69">
        <v>6</v>
      </c>
      <c r="T69">
        <v>0.66700000000000004</v>
      </c>
      <c r="U69">
        <v>0.71899999999999997</v>
      </c>
      <c r="V69">
        <v>7</v>
      </c>
      <c r="W69">
        <v>7</v>
      </c>
      <c r="X69">
        <v>1</v>
      </c>
      <c r="Y69">
        <v>0</v>
      </c>
      <c r="Z69">
        <v>6</v>
      </c>
      <c r="AA69">
        <v>6</v>
      </c>
      <c r="AB69">
        <v>5</v>
      </c>
      <c r="AC69">
        <v>1</v>
      </c>
      <c r="AD69">
        <v>0</v>
      </c>
      <c r="AE69">
        <v>1</v>
      </c>
      <c r="AF69">
        <v>2</v>
      </c>
      <c r="AG69">
        <v>30</v>
      </c>
      <c r="AH69">
        <v>26.9</v>
      </c>
      <c r="AI69">
        <v>26</v>
      </c>
    </row>
    <row r="70" spans="1:35" ht="21" x14ac:dyDescent="0.3">
      <c r="A70" t="s">
        <v>547</v>
      </c>
      <c r="B70" s="11">
        <v>63</v>
      </c>
      <c r="C70">
        <v>171</v>
      </c>
      <c r="D70">
        <v>69</v>
      </c>
      <c r="E70" s="4">
        <v>44634</v>
      </c>
      <c r="F70" t="s">
        <v>33</v>
      </c>
      <c r="H70" t="s">
        <v>155</v>
      </c>
      <c r="I70" t="s">
        <v>156</v>
      </c>
      <c r="J70" t="s">
        <v>41</v>
      </c>
      <c r="K70" s="9">
        <v>1.3534722222222222</v>
      </c>
      <c r="L70">
        <v>7</v>
      </c>
      <c r="M70">
        <v>13</v>
      </c>
      <c r="N70">
        <v>0.53800000000000003</v>
      </c>
      <c r="O70">
        <v>1</v>
      </c>
      <c r="P70">
        <v>4</v>
      </c>
      <c r="Q70">
        <v>0.25</v>
      </c>
      <c r="R70">
        <v>6</v>
      </c>
      <c r="S70">
        <v>9</v>
      </c>
      <c r="T70">
        <v>0.66700000000000004</v>
      </c>
      <c r="U70">
        <v>0.57699999999999996</v>
      </c>
      <c r="V70">
        <v>5</v>
      </c>
      <c r="W70">
        <v>7</v>
      </c>
      <c r="X70">
        <v>0.71399999999999997</v>
      </c>
      <c r="Y70">
        <v>0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  <c r="AF70">
        <v>4</v>
      </c>
      <c r="AG70">
        <v>20</v>
      </c>
      <c r="AH70">
        <v>14.7</v>
      </c>
      <c r="AI70">
        <v>11</v>
      </c>
    </row>
    <row r="71" spans="1:35" ht="21" x14ac:dyDescent="0.3">
      <c r="A71" t="s">
        <v>547</v>
      </c>
      <c r="B71" s="11">
        <v>64</v>
      </c>
      <c r="C71">
        <v>172</v>
      </c>
      <c r="D71">
        <v>70</v>
      </c>
      <c r="E71" s="4">
        <v>44636</v>
      </c>
      <c r="F71" t="s">
        <v>33</v>
      </c>
      <c r="H71" t="s">
        <v>55</v>
      </c>
      <c r="I71" t="s">
        <v>157</v>
      </c>
      <c r="J71" t="s">
        <v>41</v>
      </c>
      <c r="K71" s="9">
        <v>1.4347222222222222</v>
      </c>
      <c r="L71">
        <v>10</v>
      </c>
      <c r="M71">
        <v>20</v>
      </c>
      <c r="N71">
        <v>0.5</v>
      </c>
      <c r="O71">
        <v>6</v>
      </c>
      <c r="P71">
        <v>13</v>
      </c>
      <c r="Q71">
        <v>0.46200000000000002</v>
      </c>
      <c r="R71">
        <v>4</v>
      </c>
      <c r="S71">
        <v>7</v>
      </c>
      <c r="T71">
        <v>0.57099999999999995</v>
      </c>
      <c r="U71">
        <v>0.65</v>
      </c>
      <c r="V71">
        <v>3</v>
      </c>
      <c r="W71">
        <v>4</v>
      </c>
      <c r="X71">
        <v>0.75</v>
      </c>
      <c r="Y71">
        <v>0</v>
      </c>
      <c r="Z71">
        <v>2</v>
      </c>
      <c r="AA71">
        <v>2</v>
      </c>
      <c r="AB71">
        <v>3</v>
      </c>
      <c r="AC71">
        <v>2</v>
      </c>
      <c r="AD71">
        <v>1</v>
      </c>
      <c r="AE71">
        <v>0</v>
      </c>
      <c r="AF71">
        <v>4</v>
      </c>
      <c r="AG71">
        <v>29</v>
      </c>
      <c r="AH71">
        <v>22.4</v>
      </c>
      <c r="AI71">
        <v>-20</v>
      </c>
    </row>
    <row r="72" spans="1:35" ht="21" x14ac:dyDescent="0.3">
      <c r="A72" t="s">
        <v>547</v>
      </c>
      <c r="B72" s="11">
        <v>65</v>
      </c>
      <c r="C72">
        <v>173</v>
      </c>
      <c r="D72">
        <v>71</v>
      </c>
      <c r="E72" s="4">
        <v>44640</v>
      </c>
      <c r="F72" t="s">
        <v>33</v>
      </c>
      <c r="H72" t="s">
        <v>102</v>
      </c>
      <c r="I72" t="s">
        <v>158</v>
      </c>
      <c r="J72" t="s">
        <v>41</v>
      </c>
      <c r="K72" s="9">
        <v>1.5118055555555556</v>
      </c>
      <c r="L72">
        <v>11</v>
      </c>
      <c r="M72">
        <v>21</v>
      </c>
      <c r="N72">
        <v>0.52400000000000002</v>
      </c>
      <c r="O72">
        <v>4</v>
      </c>
      <c r="P72">
        <v>9</v>
      </c>
      <c r="Q72">
        <v>0.44400000000000001</v>
      </c>
      <c r="R72">
        <v>7</v>
      </c>
      <c r="S72">
        <v>12</v>
      </c>
      <c r="T72">
        <v>0.58299999999999996</v>
      </c>
      <c r="U72">
        <v>0.61899999999999999</v>
      </c>
      <c r="V72">
        <v>2</v>
      </c>
      <c r="W72">
        <v>2</v>
      </c>
      <c r="X72">
        <v>1</v>
      </c>
      <c r="Y72">
        <v>0</v>
      </c>
      <c r="Z72">
        <v>5</v>
      </c>
      <c r="AA72">
        <v>5</v>
      </c>
      <c r="AB72">
        <v>3</v>
      </c>
      <c r="AC72">
        <v>0</v>
      </c>
      <c r="AD72">
        <v>0</v>
      </c>
      <c r="AE72">
        <v>3</v>
      </c>
      <c r="AF72">
        <v>4</v>
      </c>
      <c r="AG72">
        <v>28</v>
      </c>
      <c r="AH72">
        <v>16.7</v>
      </c>
      <c r="AI72">
        <v>-5</v>
      </c>
    </row>
    <row r="73" spans="1:35" ht="21" x14ac:dyDescent="0.3">
      <c r="A73" t="s">
        <v>547</v>
      </c>
      <c r="B73" s="11">
        <v>66</v>
      </c>
      <c r="C73">
        <v>174</v>
      </c>
      <c r="D73">
        <v>72</v>
      </c>
      <c r="E73" s="4">
        <v>44642</v>
      </c>
      <c r="F73" t="s">
        <v>33</v>
      </c>
      <c r="G73" t="s">
        <v>37</v>
      </c>
      <c r="H73" t="s">
        <v>104</v>
      </c>
      <c r="I73" t="s">
        <v>159</v>
      </c>
      <c r="J73" t="s">
        <v>41</v>
      </c>
      <c r="K73" s="9">
        <v>1.6534722222222222</v>
      </c>
      <c r="L73">
        <v>9</v>
      </c>
      <c r="M73">
        <v>23</v>
      </c>
      <c r="N73">
        <v>0.39100000000000001</v>
      </c>
      <c r="O73">
        <v>5</v>
      </c>
      <c r="P73">
        <v>13</v>
      </c>
      <c r="Q73">
        <v>0.38500000000000001</v>
      </c>
      <c r="R73">
        <v>4</v>
      </c>
      <c r="S73">
        <v>10</v>
      </c>
      <c r="T73">
        <v>0.4</v>
      </c>
      <c r="U73">
        <v>0.5</v>
      </c>
      <c r="V73">
        <v>3</v>
      </c>
      <c r="W73">
        <v>3</v>
      </c>
      <c r="X73">
        <v>1</v>
      </c>
      <c r="Y73">
        <v>0</v>
      </c>
      <c r="Z73">
        <v>2</v>
      </c>
      <c r="AA73">
        <v>2</v>
      </c>
      <c r="AB73">
        <v>6</v>
      </c>
      <c r="AC73">
        <v>0</v>
      </c>
      <c r="AD73">
        <v>0</v>
      </c>
      <c r="AE73">
        <v>4</v>
      </c>
      <c r="AF73">
        <v>2</v>
      </c>
      <c r="AG73">
        <v>26</v>
      </c>
      <c r="AH73">
        <v>13.5</v>
      </c>
      <c r="AI73">
        <v>-7</v>
      </c>
    </row>
    <row r="74" spans="1:35" ht="21" x14ac:dyDescent="0.3">
      <c r="A74" t="s">
        <v>547</v>
      </c>
      <c r="B74" s="11">
        <v>67</v>
      </c>
      <c r="C74">
        <v>175</v>
      </c>
      <c r="D74">
        <v>73</v>
      </c>
      <c r="E74" s="4">
        <v>44643</v>
      </c>
      <c r="F74" t="s">
        <v>33</v>
      </c>
      <c r="G74" t="s">
        <v>37</v>
      </c>
      <c r="H74" t="s">
        <v>120</v>
      </c>
      <c r="I74" t="s">
        <v>160</v>
      </c>
      <c r="J74" t="s">
        <v>41</v>
      </c>
      <c r="K74" s="9">
        <v>1.6263888888888889</v>
      </c>
      <c r="L74">
        <v>10</v>
      </c>
      <c r="M74">
        <v>18</v>
      </c>
      <c r="N74">
        <v>0.55600000000000005</v>
      </c>
      <c r="O74">
        <v>7</v>
      </c>
      <c r="P74">
        <v>13</v>
      </c>
      <c r="Q74">
        <v>0.53800000000000003</v>
      </c>
      <c r="R74">
        <v>3</v>
      </c>
      <c r="S74">
        <v>5</v>
      </c>
      <c r="T74">
        <v>0.6</v>
      </c>
      <c r="U74">
        <v>0.75</v>
      </c>
      <c r="V74">
        <v>3</v>
      </c>
      <c r="W74">
        <v>3</v>
      </c>
      <c r="X74">
        <v>1</v>
      </c>
      <c r="Y74">
        <v>1</v>
      </c>
      <c r="Z74">
        <v>3</v>
      </c>
      <c r="AA74">
        <v>4</v>
      </c>
      <c r="AB74">
        <v>9</v>
      </c>
      <c r="AC74">
        <v>0</v>
      </c>
      <c r="AD74">
        <v>0</v>
      </c>
      <c r="AE74">
        <v>5</v>
      </c>
      <c r="AF74">
        <v>3</v>
      </c>
      <c r="AG74">
        <v>30</v>
      </c>
      <c r="AH74">
        <v>23.1</v>
      </c>
      <c r="AI74">
        <v>19</v>
      </c>
    </row>
    <row r="75" spans="1:35" ht="21" x14ac:dyDescent="0.3">
      <c r="A75" t="s">
        <v>547</v>
      </c>
      <c r="B75" s="11">
        <v>68</v>
      </c>
      <c r="C75">
        <v>176</v>
      </c>
      <c r="D75">
        <v>74</v>
      </c>
      <c r="E75" s="4">
        <v>44645</v>
      </c>
      <c r="F75" t="s">
        <v>33</v>
      </c>
      <c r="G75" t="s">
        <v>37</v>
      </c>
      <c r="H75" t="s">
        <v>78</v>
      </c>
      <c r="I75" t="s">
        <v>161</v>
      </c>
      <c r="J75" t="s">
        <v>41</v>
      </c>
      <c r="K75" s="9">
        <v>1.6229166666666666</v>
      </c>
      <c r="L75">
        <v>8</v>
      </c>
      <c r="M75">
        <v>22</v>
      </c>
      <c r="N75">
        <v>0.36399999999999999</v>
      </c>
      <c r="O75">
        <v>4</v>
      </c>
      <c r="P75">
        <v>13</v>
      </c>
      <c r="Q75">
        <v>0.308</v>
      </c>
      <c r="R75">
        <v>4</v>
      </c>
      <c r="S75">
        <v>9</v>
      </c>
      <c r="T75">
        <v>0.44400000000000001</v>
      </c>
      <c r="U75">
        <v>0.45500000000000002</v>
      </c>
      <c r="V75">
        <v>4</v>
      </c>
      <c r="W75">
        <v>4</v>
      </c>
      <c r="X75">
        <v>1</v>
      </c>
      <c r="Y75">
        <v>0</v>
      </c>
      <c r="Z75">
        <v>4</v>
      </c>
      <c r="AA75">
        <v>4</v>
      </c>
      <c r="AB75">
        <v>10</v>
      </c>
      <c r="AC75">
        <v>0</v>
      </c>
      <c r="AD75">
        <v>0</v>
      </c>
      <c r="AE75">
        <v>5</v>
      </c>
      <c r="AF75">
        <v>5</v>
      </c>
      <c r="AG75">
        <v>24</v>
      </c>
      <c r="AH75">
        <v>13</v>
      </c>
      <c r="AI75">
        <v>-8</v>
      </c>
    </row>
    <row r="76" spans="1:35" ht="21" x14ac:dyDescent="0.3">
      <c r="A76" t="s">
        <v>547</v>
      </c>
      <c r="B76" s="11">
        <v>69</v>
      </c>
      <c r="C76">
        <v>177</v>
      </c>
      <c r="D76">
        <v>75</v>
      </c>
      <c r="E76" s="4">
        <v>44647</v>
      </c>
      <c r="F76" t="s">
        <v>33</v>
      </c>
      <c r="G76" t="s">
        <v>37</v>
      </c>
      <c r="H76" t="s">
        <v>155</v>
      </c>
      <c r="I76" t="s">
        <v>162</v>
      </c>
      <c r="J76" t="s">
        <v>41</v>
      </c>
      <c r="K76" s="9">
        <v>1.6458333333333333</v>
      </c>
      <c r="L76">
        <v>8</v>
      </c>
      <c r="M76">
        <v>25</v>
      </c>
      <c r="N76">
        <v>0.32</v>
      </c>
      <c r="O76">
        <v>1</v>
      </c>
      <c r="P76">
        <v>10</v>
      </c>
      <c r="Q76">
        <v>0.1</v>
      </c>
      <c r="R76">
        <v>7</v>
      </c>
      <c r="S76">
        <v>15</v>
      </c>
      <c r="T76">
        <v>0.46700000000000003</v>
      </c>
      <c r="U76">
        <v>0.34</v>
      </c>
      <c r="V76">
        <v>9</v>
      </c>
      <c r="W76">
        <v>11</v>
      </c>
      <c r="X76">
        <v>0.81799999999999995</v>
      </c>
      <c r="Y76">
        <v>0</v>
      </c>
      <c r="Z76">
        <v>6</v>
      </c>
      <c r="AA76">
        <v>6</v>
      </c>
      <c r="AB76">
        <v>2</v>
      </c>
      <c r="AC76">
        <v>3</v>
      </c>
      <c r="AD76">
        <v>0</v>
      </c>
      <c r="AE76">
        <v>2</v>
      </c>
      <c r="AF76">
        <v>3</v>
      </c>
      <c r="AG76">
        <v>26</v>
      </c>
      <c r="AH76">
        <v>13.9</v>
      </c>
      <c r="AI76">
        <v>-3</v>
      </c>
    </row>
    <row r="77" spans="1:35" ht="21" x14ac:dyDescent="0.3">
      <c r="A77" t="s">
        <v>547</v>
      </c>
      <c r="B77" s="11">
        <v>70</v>
      </c>
      <c r="C77">
        <v>178</v>
      </c>
      <c r="D77">
        <v>76</v>
      </c>
      <c r="E77" s="4">
        <v>44648</v>
      </c>
      <c r="F77" t="s">
        <v>33</v>
      </c>
      <c r="G77" t="s">
        <v>37</v>
      </c>
      <c r="H77" t="s">
        <v>42</v>
      </c>
      <c r="I77" t="s">
        <v>163</v>
      </c>
      <c r="J77" t="s">
        <v>41</v>
      </c>
      <c r="K77" s="9">
        <v>1.1618055555555555</v>
      </c>
      <c r="L77">
        <v>7</v>
      </c>
      <c r="M77">
        <v>17</v>
      </c>
      <c r="N77">
        <v>0.41199999999999998</v>
      </c>
      <c r="O77">
        <v>3</v>
      </c>
      <c r="P77">
        <v>6</v>
      </c>
      <c r="Q77">
        <v>0.5</v>
      </c>
      <c r="R77">
        <v>4</v>
      </c>
      <c r="S77">
        <v>11</v>
      </c>
      <c r="T77">
        <v>0.36399999999999999</v>
      </c>
      <c r="U77">
        <v>0.5</v>
      </c>
      <c r="V77">
        <v>8</v>
      </c>
      <c r="W77">
        <v>8</v>
      </c>
      <c r="X77">
        <v>1</v>
      </c>
      <c r="Y77">
        <v>0</v>
      </c>
      <c r="Z77">
        <v>5</v>
      </c>
      <c r="AA77">
        <v>5</v>
      </c>
      <c r="AB77">
        <v>3</v>
      </c>
      <c r="AC77">
        <v>0</v>
      </c>
      <c r="AD77">
        <v>0</v>
      </c>
      <c r="AE77">
        <v>1</v>
      </c>
      <c r="AF77">
        <v>1</v>
      </c>
      <c r="AG77">
        <v>25</v>
      </c>
      <c r="AH77">
        <v>18.100000000000001</v>
      </c>
      <c r="AI77">
        <v>-21</v>
      </c>
    </row>
    <row r="78" spans="1:35" ht="21" x14ac:dyDescent="0.3">
      <c r="A78" t="s">
        <v>547</v>
      </c>
      <c r="B78" s="11">
        <v>71</v>
      </c>
      <c r="C78">
        <v>179</v>
      </c>
      <c r="D78">
        <v>77</v>
      </c>
      <c r="E78" s="4">
        <v>44650</v>
      </c>
      <c r="F78" t="s">
        <v>33</v>
      </c>
      <c r="H78" t="s">
        <v>99</v>
      </c>
      <c r="I78" t="s">
        <v>164</v>
      </c>
      <c r="J78" t="s">
        <v>41</v>
      </c>
      <c r="K78" s="9">
        <v>1.5208333333333333</v>
      </c>
      <c r="L78">
        <v>11</v>
      </c>
      <c r="M78">
        <v>22</v>
      </c>
      <c r="N78">
        <v>0.5</v>
      </c>
      <c r="O78">
        <v>7</v>
      </c>
      <c r="P78">
        <v>15</v>
      </c>
      <c r="Q78">
        <v>0.46700000000000003</v>
      </c>
      <c r="R78">
        <v>4</v>
      </c>
      <c r="S78">
        <v>7</v>
      </c>
      <c r="T78">
        <v>0.57099999999999995</v>
      </c>
      <c r="U78">
        <v>0.65900000000000003</v>
      </c>
      <c r="V78">
        <v>9</v>
      </c>
      <c r="W78">
        <v>10</v>
      </c>
      <c r="X78">
        <v>0.9</v>
      </c>
      <c r="Y78">
        <v>1</v>
      </c>
      <c r="Z78">
        <v>8</v>
      </c>
      <c r="AA78">
        <v>9</v>
      </c>
      <c r="AB78">
        <v>7</v>
      </c>
      <c r="AC78">
        <v>1</v>
      </c>
      <c r="AD78">
        <v>0</v>
      </c>
      <c r="AE78">
        <v>2</v>
      </c>
      <c r="AF78">
        <v>4</v>
      </c>
      <c r="AG78">
        <v>38</v>
      </c>
      <c r="AH78">
        <v>32</v>
      </c>
      <c r="AI78">
        <v>2</v>
      </c>
    </row>
    <row r="79" spans="1:35" ht="21" x14ac:dyDescent="0.3">
      <c r="A79" t="s">
        <v>547</v>
      </c>
      <c r="B79" s="11">
        <v>72</v>
      </c>
      <c r="C79">
        <v>180</v>
      </c>
      <c r="D79">
        <v>78</v>
      </c>
      <c r="E79" s="4">
        <v>44653</v>
      </c>
      <c r="F79" t="s">
        <v>33</v>
      </c>
      <c r="H79" t="s">
        <v>118</v>
      </c>
      <c r="I79" t="s">
        <v>112</v>
      </c>
      <c r="J79" t="s">
        <v>41</v>
      </c>
      <c r="K79" s="9">
        <v>1.5659722222222223</v>
      </c>
      <c r="L79">
        <v>9</v>
      </c>
      <c r="M79">
        <v>22</v>
      </c>
      <c r="N79">
        <v>0.40899999999999997</v>
      </c>
      <c r="O79">
        <v>6</v>
      </c>
      <c r="P79">
        <v>15</v>
      </c>
      <c r="Q79">
        <v>0.4</v>
      </c>
      <c r="R79">
        <v>3</v>
      </c>
      <c r="S79">
        <v>7</v>
      </c>
      <c r="T79">
        <v>0.42899999999999999</v>
      </c>
      <c r="U79">
        <v>0.54500000000000004</v>
      </c>
      <c r="V79">
        <v>7</v>
      </c>
      <c r="W79">
        <v>7</v>
      </c>
      <c r="X79">
        <v>1</v>
      </c>
      <c r="Y79">
        <v>1</v>
      </c>
      <c r="Z79">
        <v>5</v>
      </c>
      <c r="AA79">
        <v>6</v>
      </c>
      <c r="AB79">
        <v>6</v>
      </c>
      <c r="AC79">
        <v>0</v>
      </c>
      <c r="AD79">
        <v>1</v>
      </c>
      <c r="AE79">
        <v>5</v>
      </c>
      <c r="AF79">
        <v>4</v>
      </c>
      <c r="AG79">
        <v>31</v>
      </c>
      <c r="AH79">
        <v>19.7</v>
      </c>
      <c r="AI79">
        <v>16</v>
      </c>
    </row>
    <row r="80" spans="1:35" ht="21" x14ac:dyDescent="0.3">
      <c r="A80" t="s">
        <v>547</v>
      </c>
      <c r="B80" s="11">
        <v>73</v>
      </c>
      <c r="C80">
        <v>181</v>
      </c>
      <c r="D80">
        <v>79</v>
      </c>
      <c r="E80" s="4">
        <v>44654</v>
      </c>
      <c r="F80" t="s">
        <v>33</v>
      </c>
      <c r="G80" t="s">
        <v>37</v>
      </c>
      <c r="H80" t="s">
        <v>66</v>
      </c>
      <c r="I80" t="s">
        <v>165</v>
      </c>
      <c r="J80" t="s">
        <v>41</v>
      </c>
      <c r="K80" s="9">
        <v>1.4097222222222223</v>
      </c>
      <c r="L80">
        <v>9</v>
      </c>
      <c r="M80">
        <v>15</v>
      </c>
      <c r="N80">
        <v>0.6</v>
      </c>
      <c r="O80">
        <v>4</v>
      </c>
      <c r="P80">
        <v>9</v>
      </c>
      <c r="Q80">
        <v>0.44400000000000001</v>
      </c>
      <c r="R80">
        <v>5</v>
      </c>
      <c r="S80">
        <v>6</v>
      </c>
      <c r="T80">
        <v>0.83299999999999996</v>
      </c>
      <c r="U80">
        <v>0.73299999999999998</v>
      </c>
      <c r="V80">
        <v>0</v>
      </c>
      <c r="W80">
        <v>0</v>
      </c>
      <c r="Y80">
        <v>0</v>
      </c>
      <c r="Z80">
        <v>5</v>
      </c>
      <c r="AA80">
        <v>5</v>
      </c>
      <c r="AB80">
        <v>4</v>
      </c>
      <c r="AC80">
        <v>0</v>
      </c>
      <c r="AD80">
        <v>1</v>
      </c>
      <c r="AE80">
        <v>4</v>
      </c>
      <c r="AF80">
        <v>5</v>
      </c>
      <c r="AG80">
        <v>22</v>
      </c>
      <c r="AH80">
        <v>14.1</v>
      </c>
      <c r="AI80">
        <v>19</v>
      </c>
    </row>
    <row r="81" spans="1:35" ht="21" x14ac:dyDescent="0.3">
      <c r="A81" t="s">
        <v>547</v>
      </c>
      <c r="B81" s="11">
        <v>74</v>
      </c>
      <c r="C81">
        <v>182</v>
      </c>
      <c r="D81">
        <v>80</v>
      </c>
      <c r="E81" s="4">
        <v>44658</v>
      </c>
      <c r="F81" t="s">
        <v>33</v>
      </c>
      <c r="H81" t="s">
        <v>62</v>
      </c>
      <c r="I81" t="s">
        <v>166</v>
      </c>
      <c r="J81" t="s">
        <v>41</v>
      </c>
      <c r="K81" s="9">
        <v>1.3847222222222222</v>
      </c>
      <c r="L81">
        <v>7</v>
      </c>
      <c r="M81">
        <v>15</v>
      </c>
      <c r="N81">
        <v>0.46700000000000003</v>
      </c>
      <c r="O81">
        <v>3</v>
      </c>
      <c r="P81">
        <v>8</v>
      </c>
      <c r="Q81">
        <v>0.375</v>
      </c>
      <c r="R81">
        <v>4</v>
      </c>
      <c r="S81">
        <v>7</v>
      </c>
      <c r="T81">
        <v>0.57099999999999995</v>
      </c>
      <c r="U81">
        <v>0.56699999999999995</v>
      </c>
      <c r="V81">
        <v>2</v>
      </c>
      <c r="W81">
        <v>2</v>
      </c>
      <c r="X81">
        <v>1</v>
      </c>
      <c r="Y81">
        <v>0</v>
      </c>
      <c r="Z81">
        <v>4</v>
      </c>
      <c r="AA81">
        <v>4</v>
      </c>
      <c r="AB81">
        <v>11</v>
      </c>
      <c r="AC81">
        <v>1</v>
      </c>
      <c r="AD81">
        <v>0</v>
      </c>
      <c r="AE81">
        <v>4</v>
      </c>
      <c r="AF81">
        <v>4</v>
      </c>
      <c r="AG81">
        <v>19</v>
      </c>
      <c r="AH81">
        <v>15.6</v>
      </c>
      <c r="AI81">
        <v>2</v>
      </c>
    </row>
    <row r="82" spans="1:35" ht="21" x14ac:dyDescent="0.3">
      <c r="A82" t="s">
        <v>547</v>
      </c>
      <c r="B82" s="11">
        <v>75</v>
      </c>
      <c r="C82">
        <v>183</v>
      </c>
      <c r="D82">
        <v>81</v>
      </c>
      <c r="E82" s="4">
        <v>44660</v>
      </c>
      <c r="F82" t="s">
        <v>33</v>
      </c>
      <c r="G82" t="s">
        <v>37</v>
      </c>
      <c r="H82" t="s">
        <v>102</v>
      </c>
      <c r="I82" t="s">
        <v>167</v>
      </c>
      <c r="J82" t="s">
        <v>41</v>
      </c>
      <c r="K82" s="9">
        <v>1.4277777777777778</v>
      </c>
      <c r="L82">
        <v>3</v>
      </c>
      <c r="M82">
        <v>19</v>
      </c>
      <c r="N82">
        <v>0.158</v>
      </c>
      <c r="O82">
        <v>1</v>
      </c>
      <c r="P82">
        <v>11</v>
      </c>
      <c r="Q82">
        <v>9.0999999999999998E-2</v>
      </c>
      <c r="R82">
        <v>2</v>
      </c>
      <c r="S82">
        <v>8</v>
      </c>
      <c r="T82">
        <v>0.25</v>
      </c>
      <c r="U82">
        <v>0.184</v>
      </c>
      <c r="V82">
        <v>11</v>
      </c>
      <c r="W82">
        <v>11</v>
      </c>
      <c r="X82">
        <v>1</v>
      </c>
      <c r="Y82">
        <v>2</v>
      </c>
      <c r="Z82">
        <v>4</v>
      </c>
      <c r="AA82">
        <v>6</v>
      </c>
      <c r="AB82">
        <v>8</v>
      </c>
      <c r="AC82">
        <v>0</v>
      </c>
      <c r="AD82">
        <v>0</v>
      </c>
      <c r="AE82">
        <v>2</v>
      </c>
      <c r="AF82">
        <v>3</v>
      </c>
      <c r="AG82">
        <v>18</v>
      </c>
      <c r="AH82">
        <v>10.9</v>
      </c>
      <c r="AI82">
        <v>8</v>
      </c>
    </row>
    <row r="83" spans="1:35" ht="21" x14ac:dyDescent="0.3">
      <c r="A83" t="s">
        <v>547</v>
      </c>
      <c r="B83" s="11">
        <v>76</v>
      </c>
      <c r="C83">
        <v>184</v>
      </c>
      <c r="D83">
        <v>82</v>
      </c>
      <c r="E83" s="4">
        <v>44661</v>
      </c>
      <c r="F83" t="s">
        <v>33</v>
      </c>
      <c r="G83" t="s">
        <v>37</v>
      </c>
      <c r="H83" t="s">
        <v>74</v>
      </c>
      <c r="I83" t="s">
        <v>168</v>
      </c>
      <c r="J83" t="s">
        <v>41</v>
      </c>
      <c r="K83" s="9">
        <v>1.1777777777777778</v>
      </c>
      <c r="L83">
        <v>7</v>
      </c>
      <c r="M83">
        <v>16</v>
      </c>
      <c r="N83">
        <v>0.438</v>
      </c>
      <c r="O83">
        <v>4</v>
      </c>
      <c r="P83">
        <v>9</v>
      </c>
      <c r="Q83">
        <v>0.44400000000000001</v>
      </c>
      <c r="R83">
        <v>3</v>
      </c>
      <c r="S83">
        <v>7</v>
      </c>
      <c r="T83">
        <v>0.42899999999999999</v>
      </c>
      <c r="U83">
        <v>0.56299999999999994</v>
      </c>
      <c r="V83">
        <v>4</v>
      </c>
      <c r="W83">
        <v>4</v>
      </c>
      <c r="X83">
        <v>1</v>
      </c>
      <c r="Y83">
        <v>1</v>
      </c>
      <c r="Z83">
        <v>3</v>
      </c>
      <c r="AA83">
        <v>4</v>
      </c>
      <c r="AB83">
        <v>5</v>
      </c>
      <c r="AC83">
        <v>0</v>
      </c>
      <c r="AD83">
        <v>2</v>
      </c>
      <c r="AE83">
        <v>5</v>
      </c>
      <c r="AF83">
        <v>1</v>
      </c>
      <c r="AG83">
        <v>22</v>
      </c>
      <c r="AH83">
        <v>14.7</v>
      </c>
      <c r="AI83">
        <v>9</v>
      </c>
    </row>
    <row r="84" spans="1:35" ht="21" x14ac:dyDescent="0.3">
      <c r="A84" t="s">
        <v>547</v>
      </c>
      <c r="B84" s="11">
        <v>1</v>
      </c>
      <c r="C84">
        <v>1</v>
      </c>
      <c r="D84">
        <v>1</v>
      </c>
      <c r="E84" s="4">
        <v>44667</v>
      </c>
      <c r="F84" t="s">
        <v>33</v>
      </c>
      <c r="H84" t="s">
        <v>34</v>
      </c>
      <c r="I84" t="s">
        <v>170</v>
      </c>
      <c r="J84" t="s">
        <v>41</v>
      </c>
      <c r="K84" s="9">
        <v>1.2541666666666667</v>
      </c>
      <c r="L84">
        <v>9</v>
      </c>
      <c r="M84">
        <v>13</v>
      </c>
      <c r="N84">
        <v>0.69199999999999995</v>
      </c>
      <c r="O84">
        <v>5</v>
      </c>
      <c r="P84">
        <v>7</v>
      </c>
      <c r="Q84">
        <v>0.71399999999999997</v>
      </c>
      <c r="R84">
        <v>4</v>
      </c>
      <c r="S84">
        <v>6</v>
      </c>
      <c r="T84">
        <v>0.66700000000000004</v>
      </c>
      <c r="U84">
        <v>0.88500000000000001</v>
      </c>
      <c r="V84">
        <v>7</v>
      </c>
      <c r="W84">
        <v>8</v>
      </c>
      <c r="X84">
        <v>0.875</v>
      </c>
      <c r="Y84">
        <v>0</v>
      </c>
      <c r="Z84">
        <v>1</v>
      </c>
      <c r="AA84">
        <v>1</v>
      </c>
      <c r="AB84">
        <v>3</v>
      </c>
      <c r="AC84">
        <v>0</v>
      </c>
      <c r="AD84">
        <v>0</v>
      </c>
      <c r="AE84">
        <v>3</v>
      </c>
      <c r="AF84">
        <v>3</v>
      </c>
      <c r="AG84">
        <v>30</v>
      </c>
      <c r="AH84">
        <v>22.3</v>
      </c>
      <c r="AI84">
        <v>7</v>
      </c>
    </row>
    <row r="85" spans="1:35" ht="21" x14ac:dyDescent="0.3">
      <c r="A85" t="s">
        <v>547</v>
      </c>
      <c r="B85" s="11">
        <v>2</v>
      </c>
      <c r="C85">
        <v>2</v>
      </c>
      <c r="D85">
        <v>2</v>
      </c>
      <c r="E85" s="4">
        <v>44669</v>
      </c>
      <c r="F85" t="s">
        <v>33</v>
      </c>
      <c r="H85" t="s">
        <v>34</v>
      </c>
      <c r="I85" t="s">
        <v>171</v>
      </c>
      <c r="J85" t="s">
        <v>41</v>
      </c>
      <c r="K85" s="9">
        <v>1.4034722222222222</v>
      </c>
      <c r="L85">
        <v>10</v>
      </c>
      <c r="M85">
        <v>16</v>
      </c>
      <c r="N85">
        <v>0.625</v>
      </c>
      <c r="O85">
        <v>5</v>
      </c>
      <c r="P85">
        <v>10</v>
      </c>
      <c r="Q85">
        <v>0.5</v>
      </c>
      <c r="R85">
        <v>5</v>
      </c>
      <c r="S85">
        <v>6</v>
      </c>
      <c r="T85">
        <v>0.83299999999999996</v>
      </c>
      <c r="U85">
        <v>0.78100000000000003</v>
      </c>
      <c r="V85">
        <v>4</v>
      </c>
      <c r="W85">
        <v>4</v>
      </c>
      <c r="X85">
        <v>1</v>
      </c>
      <c r="Y85">
        <v>0</v>
      </c>
      <c r="Z85">
        <v>5</v>
      </c>
      <c r="AA85">
        <v>5</v>
      </c>
      <c r="AB85">
        <v>8</v>
      </c>
      <c r="AC85">
        <v>2</v>
      </c>
      <c r="AD85">
        <v>1</v>
      </c>
      <c r="AE85">
        <v>2</v>
      </c>
      <c r="AF85">
        <v>2</v>
      </c>
      <c r="AG85">
        <v>29</v>
      </c>
      <c r="AH85">
        <v>28.8</v>
      </c>
      <c r="AI85">
        <v>7</v>
      </c>
    </row>
    <row r="86" spans="1:35" ht="21" x14ac:dyDescent="0.3">
      <c r="A86" t="s">
        <v>547</v>
      </c>
      <c r="B86" s="11">
        <v>3</v>
      </c>
      <c r="C86">
        <v>3</v>
      </c>
      <c r="D86">
        <v>3</v>
      </c>
      <c r="E86" s="4">
        <v>44672</v>
      </c>
      <c r="F86" t="s">
        <v>33</v>
      </c>
      <c r="G86" t="s">
        <v>37</v>
      </c>
      <c r="H86" t="s">
        <v>34</v>
      </c>
      <c r="I86" t="s">
        <v>172</v>
      </c>
      <c r="J86" t="s">
        <v>41</v>
      </c>
      <c r="K86" s="9">
        <v>1.4069444444444446</v>
      </c>
      <c r="L86">
        <v>9</v>
      </c>
      <c r="M86">
        <v>13</v>
      </c>
      <c r="N86">
        <v>0.69199999999999995</v>
      </c>
      <c r="O86">
        <v>3</v>
      </c>
      <c r="P86">
        <v>5</v>
      </c>
      <c r="Q86">
        <v>0.6</v>
      </c>
      <c r="R86">
        <v>6</v>
      </c>
      <c r="S86">
        <v>8</v>
      </c>
      <c r="T86">
        <v>0.75</v>
      </c>
      <c r="U86">
        <v>0.80800000000000005</v>
      </c>
      <c r="V86">
        <v>6</v>
      </c>
      <c r="W86">
        <v>9</v>
      </c>
      <c r="X86">
        <v>0.66700000000000004</v>
      </c>
      <c r="Y86">
        <v>0</v>
      </c>
      <c r="Z86">
        <v>3</v>
      </c>
      <c r="AA86">
        <v>3</v>
      </c>
      <c r="AB86">
        <v>3</v>
      </c>
      <c r="AC86">
        <v>1</v>
      </c>
      <c r="AD86">
        <v>1</v>
      </c>
      <c r="AE86">
        <v>3</v>
      </c>
      <c r="AF86">
        <v>3</v>
      </c>
      <c r="AG86">
        <v>27</v>
      </c>
      <c r="AH86">
        <v>20.8</v>
      </c>
      <c r="AI86">
        <v>3</v>
      </c>
    </row>
    <row r="87" spans="1:35" ht="21" x14ac:dyDescent="0.3">
      <c r="A87" t="s">
        <v>547</v>
      </c>
      <c r="B87" s="11">
        <v>4</v>
      </c>
      <c r="C87">
        <v>4</v>
      </c>
      <c r="D87">
        <v>4</v>
      </c>
      <c r="E87" s="4">
        <v>44675</v>
      </c>
      <c r="F87" t="s">
        <v>33</v>
      </c>
      <c r="G87" t="s">
        <v>37</v>
      </c>
      <c r="H87" t="s">
        <v>34</v>
      </c>
      <c r="I87" t="s">
        <v>173</v>
      </c>
      <c r="J87" t="s">
        <v>41</v>
      </c>
      <c r="K87" s="9">
        <v>1.6069444444444445</v>
      </c>
      <c r="L87">
        <v>3</v>
      </c>
      <c r="M87">
        <v>10</v>
      </c>
      <c r="N87">
        <v>0.3</v>
      </c>
      <c r="O87">
        <v>1</v>
      </c>
      <c r="P87">
        <v>5</v>
      </c>
      <c r="Q87">
        <v>0.2</v>
      </c>
      <c r="R87">
        <v>2</v>
      </c>
      <c r="S87">
        <v>5</v>
      </c>
      <c r="T87">
        <v>0.4</v>
      </c>
      <c r="U87">
        <v>0.35</v>
      </c>
      <c r="V87">
        <v>4</v>
      </c>
      <c r="W87">
        <v>4</v>
      </c>
      <c r="X87">
        <v>1</v>
      </c>
      <c r="Y87">
        <v>2</v>
      </c>
      <c r="Z87">
        <v>0</v>
      </c>
      <c r="AA87">
        <v>2</v>
      </c>
      <c r="AB87">
        <v>9</v>
      </c>
      <c r="AC87">
        <v>3</v>
      </c>
      <c r="AD87">
        <v>0</v>
      </c>
      <c r="AE87">
        <v>3</v>
      </c>
      <c r="AF87">
        <v>2</v>
      </c>
      <c r="AG87">
        <v>11</v>
      </c>
      <c r="AH87">
        <v>12.1</v>
      </c>
      <c r="AI87">
        <v>-6</v>
      </c>
    </row>
    <row r="88" spans="1:35" ht="21" x14ac:dyDescent="0.3">
      <c r="A88" t="s">
        <v>547</v>
      </c>
      <c r="B88" s="11">
        <v>5</v>
      </c>
      <c r="C88">
        <v>5</v>
      </c>
      <c r="D88">
        <v>5</v>
      </c>
      <c r="E88" s="4">
        <v>44678</v>
      </c>
      <c r="F88" t="s">
        <v>33</v>
      </c>
      <c r="H88" t="s">
        <v>34</v>
      </c>
      <c r="I88" t="s">
        <v>174</v>
      </c>
      <c r="J88" t="s">
        <v>41</v>
      </c>
      <c r="K88" s="9">
        <v>1.070138888888889</v>
      </c>
      <c r="L88">
        <v>3</v>
      </c>
      <c r="M88">
        <v>10</v>
      </c>
      <c r="N88">
        <v>0.3</v>
      </c>
      <c r="O88">
        <v>1</v>
      </c>
      <c r="P88">
        <v>4</v>
      </c>
      <c r="Q88">
        <v>0.25</v>
      </c>
      <c r="R88">
        <v>2</v>
      </c>
      <c r="S88">
        <v>6</v>
      </c>
      <c r="T88">
        <v>0.33300000000000002</v>
      </c>
      <c r="U88">
        <v>0.35</v>
      </c>
      <c r="V88">
        <v>1</v>
      </c>
      <c r="W88">
        <v>1</v>
      </c>
      <c r="X88">
        <v>1</v>
      </c>
      <c r="Y88">
        <v>0</v>
      </c>
      <c r="Z88">
        <v>1</v>
      </c>
      <c r="AA88">
        <v>1</v>
      </c>
      <c r="AB88">
        <v>4</v>
      </c>
      <c r="AC88">
        <v>1</v>
      </c>
      <c r="AD88">
        <v>0</v>
      </c>
      <c r="AE88">
        <v>1</v>
      </c>
      <c r="AF88">
        <v>5</v>
      </c>
      <c r="AG88">
        <v>8</v>
      </c>
      <c r="AH88">
        <v>3.3</v>
      </c>
      <c r="AI88">
        <v>-6</v>
      </c>
    </row>
    <row r="89" spans="1:35" ht="21" x14ac:dyDescent="0.3">
      <c r="A89" t="s">
        <v>547</v>
      </c>
      <c r="B89" s="11">
        <v>6</v>
      </c>
      <c r="C89">
        <v>6</v>
      </c>
      <c r="D89">
        <v>6</v>
      </c>
      <c r="E89" s="4">
        <v>44682</v>
      </c>
      <c r="F89" t="s">
        <v>33</v>
      </c>
      <c r="G89" t="s">
        <v>37</v>
      </c>
      <c r="H89" t="s">
        <v>42</v>
      </c>
      <c r="I89" t="s">
        <v>175</v>
      </c>
      <c r="K89" s="9">
        <v>1.5625</v>
      </c>
      <c r="L89">
        <v>12</v>
      </c>
      <c r="M89">
        <v>20</v>
      </c>
      <c r="N89">
        <v>0.6</v>
      </c>
      <c r="O89">
        <v>5</v>
      </c>
      <c r="P89">
        <v>10</v>
      </c>
      <c r="Q89">
        <v>0.5</v>
      </c>
      <c r="R89">
        <v>7</v>
      </c>
      <c r="S89">
        <v>10</v>
      </c>
      <c r="T89">
        <v>0.7</v>
      </c>
      <c r="U89">
        <v>0.72499999999999998</v>
      </c>
      <c r="V89">
        <v>2</v>
      </c>
      <c r="W89">
        <v>2</v>
      </c>
      <c r="X89">
        <v>1</v>
      </c>
      <c r="Y89">
        <v>3</v>
      </c>
      <c r="Z89">
        <v>5</v>
      </c>
      <c r="AA89">
        <v>8</v>
      </c>
      <c r="AB89">
        <v>9</v>
      </c>
      <c r="AC89">
        <v>0</v>
      </c>
      <c r="AD89">
        <v>2</v>
      </c>
      <c r="AE89">
        <v>4</v>
      </c>
      <c r="AF89">
        <v>3</v>
      </c>
      <c r="AG89">
        <v>31</v>
      </c>
      <c r="AH89">
        <v>27.9</v>
      </c>
      <c r="AI89">
        <v>10</v>
      </c>
    </row>
    <row r="90" spans="1:35" ht="21" x14ac:dyDescent="0.3">
      <c r="A90" t="s">
        <v>547</v>
      </c>
      <c r="B90" s="11">
        <v>7</v>
      </c>
      <c r="C90">
        <v>7</v>
      </c>
      <c r="D90">
        <v>7</v>
      </c>
      <c r="E90" s="4">
        <v>44684</v>
      </c>
      <c r="F90" t="s">
        <v>33</v>
      </c>
      <c r="G90" t="s">
        <v>37</v>
      </c>
      <c r="H90" t="s">
        <v>42</v>
      </c>
      <c r="I90" t="s">
        <v>176</v>
      </c>
      <c r="K90" s="9">
        <v>1.40625</v>
      </c>
      <c r="L90">
        <v>8</v>
      </c>
      <c r="M90">
        <v>16</v>
      </c>
      <c r="N90">
        <v>0.5</v>
      </c>
      <c r="O90">
        <v>1</v>
      </c>
      <c r="P90">
        <v>6</v>
      </c>
      <c r="Q90">
        <v>0.16700000000000001</v>
      </c>
      <c r="R90">
        <v>7</v>
      </c>
      <c r="S90">
        <v>10</v>
      </c>
      <c r="T90">
        <v>0.7</v>
      </c>
      <c r="U90">
        <v>0.53100000000000003</v>
      </c>
      <c r="V90">
        <v>3</v>
      </c>
      <c r="W90">
        <v>3</v>
      </c>
      <c r="X90">
        <v>1</v>
      </c>
      <c r="Y90">
        <v>1</v>
      </c>
      <c r="Z90">
        <v>2</v>
      </c>
      <c r="AA90">
        <v>3</v>
      </c>
      <c r="AB90">
        <v>5</v>
      </c>
      <c r="AC90">
        <v>0</v>
      </c>
      <c r="AD90">
        <v>0</v>
      </c>
      <c r="AE90">
        <v>3</v>
      </c>
      <c r="AF90">
        <v>5</v>
      </c>
      <c r="AG90">
        <v>20</v>
      </c>
      <c r="AH90">
        <v>11.8</v>
      </c>
      <c r="AI90">
        <v>2</v>
      </c>
    </row>
    <row r="91" spans="1:35" ht="21" x14ac:dyDescent="0.3">
      <c r="A91" t="s">
        <v>547</v>
      </c>
      <c r="B91" s="11">
        <v>8</v>
      </c>
      <c r="C91">
        <v>8</v>
      </c>
      <c r="D91">
        <v>8</v>
      </c>
      <c r="E91" s="4">
        <v>44688</v>
      </c>
      <c r="F91" t="s">
        <v>33</v>
      </c>
      <c r="H91" t="s">
        <v>42</v>
      </c>
      <c r="I91" t="s">
        <v>177</v>
      </c>
      <c r="K91" s="9">
        <v>1.2986111111111112</v>
      </c>
      <c r="L91">
        <v>11</v>
      </c>
      <c r="M91">
        <v>17</v>
      </c>
      <c r="N91">
        <v>0.64700000000000002</v>
      </c>
      <c r="O91">
        <v>3</v>
      </c>
      <c r="P91">
        <v>5</v>
      </c>
      <c r="Q91">
        <v>0.6</v>
      </c>
      <c r="R91">
        <v>8</v>
      </c>
      <c r="S91">
        <v>12</v>
      </c>
      <c r="T91">
        <v>0.66700000000000004</v>
      </c>
      <c r="U91">
        <v>0.73499999999999999</v>
      </c>
      <c r="V91">
        <v>2</v>
      </c>
      <c r="W91">
        <v>2</v>
      </c>
      <c r="X91">
        <v>1</v>
      </c>
      <c r="Y91">
        <v>0</v>
      </c>
      <c r="Z91">
        <v>4</v>
      </c>
      <c r="AA91">
        <v>4</v>
      </c>
      <c r="AB91">
        <v>2</v>
      </c>
      <c r="AC91">
        <v>0</v>
      </c>
      <c r="AD91">
        <v>0</v>
      </c>
      <c r="AE91">
        <v>2</v>
      </c>
      <c r="AF91">
        <v>1</v>
      </c>
      <c r="AG91">
        <v>27</v>
      </c>
      <c r="AH91">
        <v>19.7</v>
      </c>
      <c r="AI91">
        <v>33</v>
      </c>
    </row>
    <row r="92" spans="1:35" ht="21" x14ac:dyDescent="0.3">
      <c r="A92" t="s">
        <v>547</v>
      </c>
      <c r="B92" s="11">
        <v>9</v>
      </c>
      <c r="C92">
        <v>9</v>
      </c>
      <c r="D92">
        <v>9</v>
      </c>
      <c r="E92" s="4">
        <v>44690</v>
      </c>
      <c r="F92" t="s">
        <v>33</v>
      </c>
      <c r="H92" t="s">
        <v>42</v>
      </c>
      <c r="I92" t="s">
        <v>178</v>
      </c>
      <c r="K92" s="9">
        <v>1.3430555555555554</v>
      </c>
      <c r="L92">
        <v>4</v>
      </c>
      <c r="M92">
        <v>12</v>
      </c>
      <c r="N92">
        <v>0.33300000000000002</v>
      </c>
      <c r="O92">
        <v>0</v>
      </c>
      <c r="P92">
        <v>3</v>
      </c>
      <c r="Q92">
        <v>0</v>
      </c>
      <c r="R92">
        <v>4</v>
      </c>
      <c r="S92">
        <v>9</v>
      </c>
      <c r="T92">
        <v>0.44400000000000001</v>
      </c>
      <c r="U92">
        <v>0.33300000000000002</v>
      </c>
      <c r="V92">
        <v>6</v>
      </c>
      <c r="W92">
        <v>6</v>
      </c>
      <c r="X92">
        <v>1</v>
      </c>
      <c r="Y92">
        <v>1</v>
      </c>
      <c r="Z92">
        <v>5</v>
      </c>
      <c r="AA92">
        <v>6</v>
      </c>
      <c r="AB92">
        <v>5</v>
      </c>
      <c r="AC92">
        <v>0</v>
      </c>
      <c r="AD92">
        <v>0</v>
      </c>
      <c r="AE92">
        <v>4</v>
      </c>
      <c r="AF92">
        <v>3</v>
      </c>
      <c r="AG92">
        <v>14</v>
      </c>
      <c r="AH92">
        <v>7.7</v>
      </c>
      <c r="AI92">
        <v>5</v>
      </c>
    </row>
    <row r="93" spans="1:35" ht="21" x14ac:dyDescent="0.3">
      <c r="A93" t="s">
        <v>547</v>
      </c>
      <c r="B93" s="11">
        <v>10</v>
      </c>
      <c r="C93">
        <v>10</v>
      </c>
      <c r="D93">
        <v>10</v>
      </c>
      <c r="E93" s="4">
        <v>44692</v>
      </c>
      <c r="F93" t="s">
        <v>33</v>
      </c>
      <c r="G93" t="s">
        <v>37</v>
      </c>
      <c r="H93" t="s">
        <v>42</v>
      </c>
      <c r="I93" t="s">
        <v>179</v>
      </c>
      <c r="K93" s="7">
        <v>0.83125000000000004</v>
      </c>
      <c r="L93">
        <v>1</v>
      </c>
      <c r="M93">
        <v>6</v>
      </c>
      <c r="N93">
        <v>0.16700000000000001</v>
      </c>
      <c r="O93">
        <v>1</v>
      </c>
      <c r="P93">
        <v>3</v>
      </c>
      <c r="Q93">
        <v>0.33300000000000002</v>
      </c>
      <c r="R93">
        <v>0</v>
      </c>
      <c r="S93">
        <v>3</v>
      </c>
      <c r="T93">
        <v>0</v>
      </c>
      <c r="U93">
        <v>0.25</v>
      </c>
      <c r="V93">
        <v>0</v>
      </c>
      <c r="W93">
        <v>0</v>
      </c>
      <c r="Y93">
        <v>0</v>
      </c>
      <c r="Z93">
        <v>1</v>
      </c>
      <c r="AA93">
        <v>1</v>
      </c>
      <c r="AB93">
        <v>3</v>
      </c>
      <c r="AC93">
        <v>1</v>
      </c>
      <c r="AD93">
        <v>1</v>
      </c>
      <c r="AE93">
        <v>4</v>
      </c>
      <c r="AF93">
        <v>3</v>
      </c>
      <c r="AG93">
        <v>3</v>
      </c>
      <c r="AH93">
        <v>-1.9</v>
      </c>
      <c r="AI93">
        <v>-34</v>
      </c>
    </row>
    <row r="94" spans="1:35" ht="21" x14ac:dyDescent="0.3">
      <c r="A94" t="s">
        <v>547</v>
      </c>
      <c r="B94" s="11">
        <v>11</v>
      </c>
      <c r="C94">
        <v>11</v>
      </c>
      <c r="D94">
        <v>11</v>
      </c>
      <c r="E94" s="4">
        <v>44694</v>
      </c>
      <c r="F94" t="s">
        <v>33</v>
      </c>
      <c r="H94" t="s">
        <v>42</v>
      </c>
      <c r="I94" t="s">
        <v>180</v>
      </c>
      <c r="K94" s="9">
        <v>1.0125</v>
      </c>
      <c r="L94">
        <v>4</v>
      </c>
      <c r="M94">
        <v>15</v>
      </c>
      <c r="N94">
        <v>0.26700000000000002</v>
      </c>
      <c r="O94">
        <v>2</v>
      </c>
      <c r="P94">
        <v>11</v>
      </c>
      <c r="Q94">
        <v>0.182</v>
      </c>
      <c r="R94">
        <v>2</v>
      </c>
      <c r="S94">
        <v>4</v>
      </c>
      <c r="T94">
        <v>0.5</v>
      </c>
      <c r="U94">
        <v>0.33300000000000002</v>
      </c>
      <c r="V94">
        <v>2</v>
      </c>
      <c r="W94">
        <v>3</v>
      </c>
      <c r="X94">
        <v>0.66700000000000004</v>
      </c>
      <c r="Y94">
        <v>0</v>
      </c>
      <c r="Z94">
        <v>3</v>
      </c>
      <c r="AA94">
        <v>3</v>
      </c>
      <c r="AB94">
        <v>2</v>
      </c>
      <c r="AC94">
        <v>0</v>
      </c>
      <c r="AD94">
        <v>1</v>
      </c>
      <c r="AE94">
        <v>2</v>
      </c>
      <c r="AF94">
        <v>0</v>
      </c>
      <c r="AG94">
        <v>12</v>
      </c>
      <c r="AH94">
        <v>3.7</v>
      </c>
      <c r="AI94">
        <v>-3</v>
      </c>
    </row>
    <row r="95" spans="1:35" ht="21" x14ac:dyDescent="0.3">
      <c r="A95" t="s">
        <v>547</v>
      </c>
      <c r="B95" s="11">
        <v>12</v>
      </c>
      <c r="C95">
        <v>12</v>
      </c>
      <c r="D95">
        <v>12</v>
      </c>
      <c r="E95" s="4">
        <v>44699</v>
      </c>
      <c r="F95" t="s">
        <v>33</v>
      </c>
      <c r="H95" t="s">
        <v>49</v>
      </c>
      <c r="I95" t="s">
        <v>181</v>
      </c>
      <c r="K95" s="9">
        <v>1.0965277777777778</v>
      </c>
      <c r="L95">
        <v>8</v>
      </c>
      <c r="M95">
        <v>12</v>
      </c>
      <c r="N95">
        <v>0.66700000000000004</v>
      </c>
      <c r="O95">
        <v>1</v>
      </c>
      <c r="P95">
        <v>4</v>
      </c>
      <c r="Q95">
        <v>0.25</v>
      </c>
      <c r="R95">
        <v>7</v>
      </c>
      <c r="S95">
        <v>8</v>
      </c>
      <c r="T95">
        <v>0.875</v>
      </c>
      <c r="U95">
        <v>0.70799999999999996</v>
      </c>
      <c r="V95">
        <v>2</v>
      </c>
      <c r="W95">
        <v>2</v>
      </c>
      <c r="X95">
        <v>1</v>
      </c>
      <c r="Y95">
        <v>1</v>
      </c>
      <c r="Z95">
        <v>1</v>
      </c>
      <c r="AA95">
        <v>2</v>
      </c>
      <c r="AB95">
        <v>3</v>
      </c>
      <c r="AC95">
        <v>1</v>
      </c>
      <c r="AD95">
        <v>0</v>
      </c>
      <c r="AE95">
        <v>1</v>
      </c>
      <c r="AF95">
        <v>5</v>
      </c>
      <c r="AG95">
        <v>19</v>
      </c>
      <c r="AH95">
        <v>14.9</v>
      </c>
      <c r="AI95">
        <v>15</v>
      </c>
    </row>
    <row r="96" spans="1:35" ht="21" x14ac:dyDescent="0.3">
      <c r="A96" t="s">
        <v>547</v>
      </c>
      <c r="B96" s="11">
        <v>13</v>
      </c>
      <c r="C96">
        <v>13</v>
      </c>
      <c r="D96">
        <v>13</v>
      </c>
      <c r="E96" s="4">
        <v>44701</v>
      </c>
      <c r="F96" t="s">
        <v>33</v>
      </c>
      <c r="H96" t="s">
        <v>49</v>
      </c>
      <c r="I96" t="s">
        <v>182</v>
      </c>
      <c r="K96" s="9">
        <v>1.2</v>
      </c>
      <c r="L96">
        <v>7</v>
      </c>
      <c r="M96">
        <v>10</v>
      </c>
      <c r="N96">
        <v>0.7</v>
      </c>
      <c r="O96">
        <v>2</v>
      </c>
      <c r="P96">
        <v>4</v>
      </c>
      <c r="Q96">
        <v>0.5</v>
      </c>
      <c r="R96">
        <v>5</v>
      </c>
      <c r="S96">
        <v>6</v>
      </c>
      <c r="T96">
        <v>0.83299999999999996</v>
      </c>
      <c r="U96">
        <v>0.8</v>
      </c>
      <c r="V96">
        <v>7</v>
      </c>
      <c r="W96">
        <v>7</v>
      </c>
      <c r="X96">
        <v>1</v>
      </c>
      <c r="Y96">
        <v>0</v>
      </c>
      <c r="Z96">
        <v>1</v>
      </c>
      <c r="AA96">
        <v>1</v>
      </c>
      <c r="AB96">
        <v>5</v>
      </c>
      <c r="AC96">
        <v>2</v>
      </c>
      <c r="AD96">
        <v>0</v>
      </c>
      <c r="AE96">
        <v>3</v>
      </c>
      <c r="AF96">
        <v>2</v>
      </c>
      <c r="AG96">
        <v>23</v>
      </c>
      <c r="AH96">
        <v>20.8</v>
      </c>
      <c r="AI96">
        <v>26</v>
      </c>
    </row>
    <row r="97" spans="1:35" ht="21" x14ac:dyDescent="0.3">
      <c r="A97" t="s">
        <v>547</v>
      </c>
      <c r="B97" s="11">
        <v>14</v>
      </c>
      <c r="C97">
        <v>14</v>
      </c>
      <c r="D97">
        <v>14</v>
      </c>
      <c r="E97" s="4">
        <v>44703</v>
      </c>
      <c r="F97" t="s">
        <v>33</v>
      </c>
      <c r="G97" t="s">
        <v>37</v>
      </c>
      <c r="H97" t="s">
        <v>49</v>
      </c>
      <c r="I97" t="s">
        <v>183</v>
      </c>
      <c r="K97" s="9">
        <v>1.163888888888889</v>
      </c>
      <c r="L97">
        <v>2</v>
      </c>
      <c r="M97">
        <v>4</v>
      </c>
      <c r="N97">
        <v>0.5</v>
      </c>
      <c r="O97">
        <v>2</v>
      </c>
      <c r="P97">
        <v>4</v>
      </c>
      <c r="Q97">
        <v>0.5</v>
      </c>
      <c r="R97">
        <v>0</v>
      </c>
      <c r="S97">
        <v>0</v>
      </c>
      <c r="U97">
        <v>0.75</v>
      </c>
      <c r="V97">
        <v>4</v>
      </c>
      <c r="W97">
        <v>4</v>
      </c>
      <c r="X97">
        <v>1</v>
      </c>
      <c r="Y97">
        <v>1</v>
      </c>
      <c r="Z97">
        <v>4</v>
      </c>
      <c r="AA97">
        <v>5</v>
      </c>
      <c r="AB97">
        <v>1</v>
      </c>
      <c r="AC97">
        <v>2</v>
      </c>
      <c r="AD97">
        <v>0</v>
      </c>
      <c r="AE97">
        <v>2</v>
      </c>
      <c r="AF97">
        <v>4</v>
      </c>
      <c r="AG97">
        <v>10</v>
      </c>
      <c r="AH97">
        <v>9</v>
      </c>
      <c r="AI97">
        <v>-6</v>
      </c>
    </row>
    <row r="98" spans="1:35" ht="21" x14ac:dyDescent="0.3">
      <c r="A98" t="s">
        <v>547</v>
      </c>
      <c r="B98" s="11">
        <v>15</v>
      </c>
      <c r="C98">
        <v>15</v>
      </c>
      <c r="D98">
        <v>15</v>
      </c>
      <c r="E98" s="4">
        <v>44705</v>
      </c>
      <c r="F98" t="s">
        <v>33</v>
      </c>
      <c r="G98" t="s">
        <v>37</v>
      </c>
      <c r="H98" t="s">
        <v>49</v>
      </c>
      <c r="I98" t="s">
        <v>184</v>
      </c>
      <c r="K98" s="9">
        <v>1.1916666666666667</v>
      </c>
      <c r="L98">
        <v>5</v>
      </c>
      <c r="M98">
        <v>10</v>
      </c>
      <c r="N98">
        <v>0.5</v>
      </c>
      <c r="O98">
        <v>2</v>
      </c>
      <c r="P98">
        <v>5</v>
      </c>
      <c r="Q98">
        <v>0.4</v>
      </c>
      <c r="R98">
        <v>3</v>
      </c>
      <c r="S98">
        <v>5</v>
      </c>
      <c r="T98">
        <v>0.6</v>
      </c>
      <c r="U98">
        <v>0.6</v>
      </c>
      <c r="V98">
        <v>2</v>
      </c>
      <c r="W98">
        <v>2</v>
      </c>
      <c r="X98">
        <v>1</v>
      </c>
      <c r="Y98">
        <v>0</v>
      </c>
      <c r="Z98">
        <v>0</v>
      </c>
      <c r="AA98">
        <v>0</v>
      </c>
      <c r="AB98">
        <v>4</v>
      </c>
      <c r="AC98">
        <v>0</v>
      </c>
      <c r="AD98">
        <v>1</v>
      </c>
      <c r="AE98">
        <v>1</v>
      </c>
      <c r="AF98">
        <v>6</v>
      </c>
      <c r="AG98">
        <v>14</v>
      </c>
      <c r="AH98">
        <v>9.1</v>
      </c>
      <c r="AI98">
        <v>7</v>
      </c>
    </row>
    <row r="99" spans="1:35" ht="21" x14ac:dyDescent="0.3">
      <c r="A99" t="s">
        <v>547</v>
      </c>
      <c r="B99" s="11">
        <v>16</v>
      </c>
      <c r="C99">
        <v>16</v>
      </c>
      <c r="D99">
        <v>16</v>
      </c>
      <c r="E99" s="4">
        <v>44707</v>
      </c>
      <c r="F99" t="s">
        <v>33</v>
      </c>
      <c r="H99" t="s">
        <v>49</v>
      </c>
      <c r="I99" t="s">
        <v>185</v>
      </c>
      <c r="K99" s="9">
        <v>1.1847222222222222</v>
      </c>
      <c r="L99">
        <v>6</v>
      </c>
      <c r="M99">
        <v>8</v>
      </c>
      <c r="N99">
        <v>0.75</v>
      </c>
      <c r="O99">
        <v>1</v>
      </c>
      <c r="P99">
        <v>3</v>
      </c>
      <c r="Q99">
        <v>0.33300000000000002</v>
      </c>
      <c r="R99">
        <v>5</v>
      </c>
      <c r="S99">
        <v>5</v>
      </c>
      <c r="T99">
        <v>1</v>
      </c>
      <c r="U99">
        <v>0.81299999999999994</v>
      </c>
      <c r="V99">
        <v>3</v>
      </c>
      <c r="W99">
        <v>3</v>
      </c>
      <c r="X99">
        <v>1</v>
      </c>
      <c r="Y99">
        <v>0</v>
      </c>
      <c r="Z99">
        <v>6</v>
      </c>
      <c r="AA99">
        <v>6</v>
      </c>
      <c r="AB99">
        <v>6</v>
      </c>
      <c r="AC99">
        <v>1</v>
      </c>
      <c r="AD99">
        <v>0</v>
      </c>
      <c r="AE99">
        <v>3</v>
      </c>
      <c r="AF99">
        <v>3</v>
      </c>
      <c r="AG99">
        <v>16</v>
      </c>
      <c r="AH99">
        <v>15.6</v>
      </c>
      <c r="AI99">
        <v>-6</v>
      </c>
    </row>
    <row r="100" spans="1:35" ht="21" x14ac:dyDescent="0.3">
      <c r="A100" t="s">
        <v>547</v>
      </c>
      <c r="B100" s="11">
        <v>17</v>
      </c>
      <c r="C100">
        <v>17</v>
      </c>
      <c r="D100">
        <v>17</v>
      </c>
      <c r="E100" s="4">
        <v>44714</v>
      </c>
      <c r="F100" t="s">
        <v>33</v>
      </c>
      <c r="H100" t="s">
        <v>55</v>
      </c>
      <c r="I100" t="s">
        <v>186</v>
      </c>
      <c r="K100" s="9">
        <v>1.0423611111111111</v>
      </c>
      <c r="L100">
        <v>2</v>
      </c>
      <c r="M100">
        <v>7</v>
      </c>
      <c r="N100">
        <v>0.28599999999999998</v>
      </c>
      <c r="O100">
        <v>1</v>
      </c>
      <c r="P100">
        <v>5</v>
      </c>
      <c r="Q100">
        <v>0.2</v>
      </c>
      <c r="R100">
        <v>1</v>
      </c>
      <c r="S100">
        <v>2</v>
      </c>
      <c r="T100">
        <v>0.5</v>
      </c>
      <c r="U100">
        <v>0.35699999999999998</v>
      </c>
      <c r="V100">
        <v>4</v>
      </c>
      <c r="W100">
        <v>4</v>
      </c>
      <c r="X100">
        <v>1</v>
      </c>
      <c r="Y100">
        <v>0</v>
      </c>
      <c r="Z100">
        <v>2</v>
      </c>
      <c r="AA100">
        <v>2</v>
      </c>
      <c r="AB100">
        <v>2</v>
      </c>
      <c r="AC100">
        <v>0</v>
      </c>
      <c r="AD100">
        <v>0</v>
      </c>
      <c r="AE100">
        <v>4</v>
      </c>
      <c r="AF100">
        <v>1</v>
      </c>
      <c r="AG100">
        <v>9</v>
      </c>
      <c r="AH100">
        <v>2.5</v>
      </c>
      <c r="AI100">
        <v>-19</v>
      </c>
    </row>
    <row r="101" spans="1:35" ht="21" x14ac:dyDescent="0.3">
      <c r="A101" t="s">
        <v>547</v>
      </c>
      <c r="B101" s="11">
        <v>18</v>
      </c>
      <c r="C101">
        <v>18</v>
      </c>
      <c r="D101">
        <v>18</v>
      </c>
      <c r="E101" s="4">
        <v>44717</v>
      </c>
      <c r="F101" t="s">
        <v>33</v>
      </c>
      <c r="H101" t="s">
        <v>55</v>
      </c>
      <c r="I101" t="s">
        <v>187</v>
      </c>
      <c r="K101" s="7">
        <v>0.94305555555555554</v>
      </c>
      <c r="L101">
        <v>6</v>
      </c>
      <c r="M101">
        <v>14</v>
      </c>
      <c r="N101">
        <v>0.42899999999999999</v>
      </c>
      <c r="O101">
        <v>5</v>
      </c>
      <c r="P101">
        <v>9</v>
      </c>
      <c r="Q101">
        <v>0.55600000000000005</v>
      </c>
      <c r="R101">
        <v>1</v>
      </c>
      <c r="S101">
        <v>5</v>
      </c>
      <c r="T101">
        <v>0.2</v>
      </c>
      <c r="U101">
        <v>0.60699999999999998</v>
      </c>
      <c r="V101">
        <v>0</v>
      </c>
      <c r="W101">
        <v>0</v>
      </c>
      <c r="Y101">
        <v>0</v>
      </c>
      <c r="Z101">
        <v>2</v>
      </c>
      <c r="AA101">
        <v>2</v>
      </c>
      <c r="AB101">
        <v>3</v>
      </c>
      <c r="AC101">
        <v>2</v>
      </c>
      <c r="AD101">
        <v>0</v>
      </c>
      <c r="AE101">
        <v>3</v>
      </c>
      <c r="AF101">
        <v>1</v>
      </c>
      <c r="AG101">
        <v>17</v>
      </c>
      <c r="AH101">
        <v>10.9</v>
      </c>
      <c r="AI101">
        <v>7</v>
      </c>
    </row>
    <row r="102" spans="1:35" ht="21" x14ac:dyDescent="0.3">
      <c r="A102" t="s">
        <v>547</v>
      </c>
      <c r="B102" s="11">
        <v>19</v>
      </c>
      <c r="C102">
        <v>19</v>
      </c>
      <c r="D102">
        <v>19</v>
      </c>
      <c r="E102" s="4">
        <v>44720</v>
      </c>
      <c r="F102" t="s">
        <v>33</v>
      </c>
      <c r="G102" t="s">
        <v>37</v>
      </c>
      <c r="H102" t="s">
        <v>55</v>
      </c>
      <c r="I102" t="s">
        <v>188</v>
      </c>
      <c r="K102" s="9">
        <v>1.0194444444444444</v>
      </c>
      <c r="L102">
        <v>4</v>
      </c>
      <c r="M102">
        <v>8</v>
      </c>
      <c r="N102">
        <v>0.5</v>
      </c>
      <c r="O102">
        <v>1</v>
      </c>
      <c r="P102">
        <v>4</v>
      </c>
      <c r="Q102">
        <v>0.25</v>
      </c>
      <c r="R102">
        <v>3</v>
      </c>
      <c r="S102">
        <v>4</v>
      </c>
      <c r="T102">
        <v>0.75</v>
      </c>
      <c r="U102">
        <v>0.56299999999999994</v>
      </c>
      <c r="V102">
        <v>1</v>
      </c>
      <c r="W102">
        <v>2</v>
      </c>
      <c r="X102">
        <v>0.5</v>
      </c>
      <c r="Y102">
        <v>0</v>
      </c>
      <c r="Z102">
        <v>3</v>
      </c>
      <c r="AA102">
        <v>3</v>
      </c>
      <c r="AB102">
        <v>3</v>
      </c>
      <c r="AC102">
        <v>0</v>
      </c>
      <c r="AD102">
        <v>0</v>
      </c>
      <c r="AE102">
        <v>3</v>
      </c>
      <c r="AF102">
        <v>2</v>
      </c>
      <c r="AG102">
        <v>10</v>
      </c>
      <c r="AH102">
        <v>4.8</v>
      </c>
      <c r="AI102">
        <v>-6</v>
      </c>
    </row>
    <row r="103" spans="1:35" ht="21" x14ac:dyDescent="0.3">
      <c r="A103" t="s">
        <v>547</v>
      </c>
      <c r="B103" s="11">
        <v>20</v>
      </c>
      <c r="C103">
        <v>20</v>
      </c>
      <c r="D103">
        <v>20</v>
      </c>
      <c r="E103" s="4">
        <v>44722</v>
      </c>
      <c r="F103" t="s">
        <v>33</v>
      </c>
      <c r="G103" t="s">
        <v>37</v>
      </c>
      <c r="H103" t="s">
        <v>55</v>
      </c>
      <c r="I103" t="s">
        <v>189</v>
      </c>
      <c r="K103" s="7">
        <v>0.85624999999999996</v>
      </c>
      <c r="L103">
        <v>6</v>
      </c>
      <c r="M103">
        <v>13</v>
      </c>
      <c r="N103">
        <v>0.46200000000000002</v>
      </c>
      <c r="O103">
        <v>2</v>
      </c>
      <c r="P103">
        <v>7</v>
      </c>
      <c r="Q103">
        <v>0.28599999999999998</v>
      </c>
      <c r="R103">
        <v>4</v>
      </c>
      <c r="S103">
        <v>6</v>
      </c>
      <c r="T103">
        <v>0.66700000000000004</v>
      </c>
      <c r="U103">
        <v>0.53800000000000003</v>
      </c>
      <c r="V103">
        <v>0</v>
      </c>
      <c r="W103">
        <v>0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4</v>
      </c>
      <c r="AG103">
        <v>14</v>
      </c>
      <c r="AH103">
        <v>7.4</v>
      </c>
      <c r="AI103">
        <v>2</v>
      </c>
    </row>
    <row r="104" spans="1:35" ht="21" x14ac:dyDescent="0.3">
      <c r="A104" t="s">
        <v>547</v>
      </c>
      <c r="B104" s="11">
        <v>21</v>
      </c>
      <c r="C104">
        <v>21</v>
      </c>
      <c r="D104">
        <v>21</v>
      </c>
      <c r="E104" s="4">
        <v>44725</v>
      </c>
      <c r="F104" t="s">
        <v>33</v>
      </c>
      <c r="H104" t="s">
        <v>55</v>
      </c>
      <c r="I104" t="s">
        <v>106</v>
      </c>
      <c r="K104" s="7">
        <v>0.59513888888888888</v>
      </c>
      <c r="L104">
        <v>4</v>
      </c>
      <c r="M104">
        <v>8</v>
      </c>
      <c r="N104">
        <v>0.5</v>
      </c>
      <c r="O104">
        <v>3</v>
      </c>
      <c r="P104">
        <v>6</v>
      </c>
      <c r="Q104">
        <v>0.5</v>
      </c>
      <c r="R104">
        <v>1</v>
      </c>
      <c r="S104">
        <v>2</v>
      </c>
      <c r="T104">
        <v>0.5</v>
      </c>
      <c r="U104">
        <v>0.68799999999999994</v>
      </c>
      <c r="V104">
        <v>3</v>
      </c>
      <c r="W104">
        <v>3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1</v>
      </c>
      <c r="AG104">
        <v>14</v>
      </c>
      <c r="AH104">
        <v>8.6</v>
      </c>
      <c r="AI104">
        <v>2</v>
      </c>
    </row>
    <row r="105" spans="1:35" ht="21" x14ac:dyDescent="0.3">
      <c r="A105" t="s">
        <v>547</v>
      </c>
      <c r="B105" s="11">
        <v>22</v>
      </c>
      <c r="C105">
        <v>22</v>
      </c>
      <c r="D105">
        <v>22</v>
      </c>
      <c r="E105" s="4">
        <v>44728</v>
      </c>
      <c r="F105" t="s">
        <v>33</v>
      </c>
      <c r="G105" t="s">
        <v>37</v>
      </c>
      <c r="H105" t="s">
        <v>55</v>
      </c>
      <c r="I105" t="s">
        <v>190</v>
      </c>
      <c r="K105" s="7">
        <v>0.74027777777777781</v>
      </c>
      <c r="L105">
        <v>5</v>
      </c>
      <c r="M105">
        <v>12</v>
      </c>
      <c r="N105">
        <v>0.41699999999999998</v>
      </c>
      <c r="O105">
        <v>3</v>
      </c>
      <c r="P105">
        <v>8</v>
      </c>
      <c r="Q105">
        <v>0.375</v>
      </c>
      <c r="R105">
        <v>2</v>
      </c>
      <c r="S105">
        <v>4</v>
      </c>
      <c r="T105">
        <v>0.5</v>
      </c>
      <c r="U105">
        <v>0.54200000000000004</v>
      </c>
      <c r="V105">
        <v>2</v>
      </c>
      <c r="W105">
        <v>2</v>
      </c>
      <c r="X105">
        <v>1</v>
      </c>
      <c r="Y105">
        <v>1</v>
      </c>
      <c r="Z105">
        <v>2</v>
      </c>
      <c r="AA105">
        <v>3</v>
      </c>
      <c r="AB105">
        <v>2</v>
      </c>
      <c r="AC105">
        <v>0</v>
      </c>
      <c r="AD105">
        <v>0</v>
      </c>
      <c r="AE105">
        <v>0</v>
      </c>
      <c r="AF105">
        <v>3</v>
      </c>
      <c r="AG105">
        <v>15</v>
      </c>
      <c r="AH105">
        <v>10.1</v>
      </c>
      <c r="AI105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13B8-BAC7-AD4C-9FE8-EAF9001CA5CE}">
  <dimension ref="A1:AI87"/>
  <sheetViews>
    <sheetView workbookViewId="0">
      <selection activeCell="H2" sqref="H2:H87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546</v>
      </c>
      <c r="B2" s="11">
        <v>1</v>
      </c>
      <c r="C2">
        <v>885</v>
      </c>
      <c r="D2">
        <v>1</v>
      </c>
      <c r="E2" s="4">
        <v>44488</v>
      </c>
      <c r="F2" t="s">
        <v>85</v>
      </c>
      <c r="G2" t="s">
        <v>37</v>
      </c>
      <c r="H2" t="s">
        <v>126</v>
      </c>
      <c r="I2" t="s">
        <v>436</v>
      </c>
      <c r="J2" t="s">
        <v>41</v>
      </c>
      <c r="K2" s="9">
        <v>1.2604166666666667</v>
      </c>
      <c r="L2">
        <v>13</v>
      </c>
      <c r="M2">
        <v>25</v>
      </c>
      <c r="N2">
        <v>0.52</v>
      </c>
      <c r="O2">
        <v>3</v>
      </c>
      <c r="P2">
        <v>7</v>
      </c>
      <c r="Q2">
        <v>0.42899999999999999</v>
      </c>
      <c r="R2">
        <v>10</v>
      </c>
      <c r="S2">
        <v>18</v>
      </c>
      <c r="T2">
        <v>0.55600000000000005</v>
      </c>
      <c r="U2">
        <v>0.57999999999999996</v>
      </c>
      <c r="V2">
        <v>3</v>
      </c>
      <c r="W2">
        <v>6</v>
      </c>
      <c r="X2">
        <v>0.5</v>
      </c>
      <c r="Y2">
        <v>0</v>
      </c>
      <c r="Z2">
        <v>11</v>
      </c>
      <c r="AA2">
        <v>11</v>
      </c>
      <c r="AB2">
        <v>4</v>
      </c>
      <c r="AC2">
        <v>0</v>
      </c>
      <c r="AD2">
        <v>2</v>
      </c>
      <c r="AE2">
        <v>1</v>
      </c>
      <c r="AF2">
        <v>2</v>
      </c>
      <c r="AG2">
        <v>32</v>
      </c>
      <c r="AH2">
        <v>24.2</v>
      </c>
      <c r="AI2">
        <v>-20</v>
      </c>
    </row>
    <row r="3" spans="1:35" ht="21" x14ac:dyDescent="0.3">
      <c r="A3" t="s">
        <v>546</v>
      </c>
      <c r="B3" s="11">
        <v>2</v>
      </c>
      <c r="C3">
        <v>886</v>
      </c>
      <c r="D3">
        <v>2</v>
      </c>
      <c r="E3" s="4">
        <v>44491</v>
      </c>
      <c r="F3" t="s">
        <v>85</v>
      </c>
      <c r="G3" t="s">
        <v>37</v>
      </c>
      <c r="H3" t="s">
        <v>94</v>
      </c>
      <c r="I3" t="s">
        <v>317</v>
      </c>
      <c r="J3" t="s">
        <v>41</v>
      </c>
      <c r="K3" s="9">
        <v>1.5375000000000001</v>
      </c>
      <c r="L3">
        <v>9</v>
      </c>
      <c r="M3">
        <v>20</v>
      </c>
      <c r="N3">
        <v>0.45</v>
      </c>
      <c r="O3">
        <v>1</v>
      </c>
      <c r="P3">
        <v>6</v>
      </c>
      <c r="Q3">
        <v>0.16700000000000001</v>
      </c>
      <c r="R3">
        <v>8</v>
      </c>
      <c r="S3">
        <v>14</v>
      </c>
      <c r="T3">
        <v>0.57099999999999995</v>
      </c>
      <c r="U3">
        <v>0.47499999999999998</v>
      </c>
      <c r="V3">
        <v>10</v>
      </c>
      <c r="W3">
        <v>10</v>
      </c>
      <c r="X3">
        <v>1</v>
      </c>
      <c r="Y3">
        <v>3</v>
      </c>
      <c r="Z3">
        <v>12</v>
      </c>
      <c r="AA3">
        <v>15</v>
      </c>
      <c r="AB3">
        <v>12</v>
      </c>
      <c r="AC3">
        <v>1</v>
      </c>
      <c r="AD3">
        <v>1</v>
      </c>
      <c r="AE3">
        <v>2</v>
      </c>
      <c r="AF3">
        <v>1</v>
      </c>
      <c r="AG3">
        <v>29</v>
      </c>
      <c r="AH3">
        <v>32</v>
      </c>
      <c r="AI3">
        <v>11</v>
      </c>
    </row>
    <row r="4" spans="1:35" ht="21" x14ac:dyDescent="0.3">
      <c r="A4" t="s">
        <v>546</v>
      </c>
      <c r="B4" s="11">
        <v>3</v>
      </c>
      <c r="C4">
        <v>887</v>
      </c>
      <c r="D4">
        <v>3</v>
      </c>
      <c r="E4" s="4">
        <v>44493</v>
      </c>
      <c r="F4" t="s">
        <v>85</v>
      </c>
      <c r="H4" t="s">
        <v>72</v>
      </c>
      <c r="I4" t="s">
        <v>291</v>
      </c>
      <c r="J4" t="s">
        <v>41</v>
      </c>
      <c r="K4" s="9">
        <v>1.5055555555555555</v>
      </c>
      <c r="L4">
        <v>17</v>
      </c>
      <c r="M4">
        <v>24</v>
      </c>
      <c r="N4">
        <v>0.70799999999999996</v>
      </c>
      <c r="O4">
        <v>2</v>
      </c>
      <c r="P4">
        <v>6</v>
      </c>
      <c r="Q4">
        <v>0.33300000000000002</v>
      </c>
      <c r="R4">
        <v>15</v>
      </c>
      <c r="S4">
        <v>18</v>
      </c>
      <c r="T4">
        <v>0.83299999999999996</v>
      </c>
      <c r="U4">
        <v>0.75</v>
      </c>
      <c r="V4">
        <v>2</v>
      </c>
      <c r="W4">
        <v>2</v>
      </c>
      <c r="X4">
        <v>1</v>
      </c>
      <c r="Y4">
        <v>1</v>
      </c>
      <c r="Z4">
        <v>4</v>
      </c>
      <c r="AA4">
        <v>5</v>
      </c>
      <c r="AB4">
        <v>3</v>
      </c>
      <c r="AC4">
        <v>1</v>
      </c>
      <c r="AD4">
        <v>0</v>
      </c>
      <c r="AE4">
        <v>3</v>
      </c>
      <c r="AF4">
        <v>0</v>
      </c>
      <c r="AG4">
        <v>38</v>
      </c>
      <c r="AH4">
        <v>30</v>
      </c>
      <c r="AI4">
        <v>-10</v>
      </c>
    </row>
    <row r="5" spans="1:35" ht="21" x14ac:dyDescent="0.3">
      <c r="A5" t="s">
        <v>546</v>
      </c>
      <c r="B5" s="11">
        <v>4</v>
      </c>
      <c r="C5">
        <v>888</v>
      </c>
      <c r="D5">
        <v>4</v>
      </c>
      <c r="E5" s="4">
        <v>44494</v>
      </c>
      <c r="F5" t="s">
        <v>85</v>
      </c>
      <c r="H5" t="s">
        <v>155</v>
      </c>
      <c r="I5" t="s">
        <v>437</v>
      </c>
      <c r="J5" t="s">
        <v>41</v>
      </c>
      <c r="K5" s="9">
        <v>1.4472222222222222</v>
      </c>
      <c r="L5">
        <v>9</v>
      </c>
      <c r="M5">
        <v>17</v>
      </c>
      <c r="N5">
        <v>0.52900000000000003</v>
      </c>
      <c r="O5">
        <v>1</v>
      </c>
      <c r="P5">
        <v>2</v>
      </c>
      <c r="Q5">
        <v>0.5</v>
      </c>
      <c r="R5">
        <v>8</v>
      </c>
      <c r="S5">
        <v>15</v>
      </c>
      <c r="T5">
        <v>0.53300000000000003</v>
      </c>
      <c r="U5">
        <v>0.55900000000000005</v>
      </c>
      <c r="V5">
        <v>6</v>
      </c>
      <c r="W5">
        <v>9</v>
      </c>
      <c r="X5">
        <v>0.66700000000000004</v>
      </c>
      <c r="Y5">
        <v>0</v>
      </c>
      <c r="Z5">
        <v>8</v>
      </c>
      <c r="AA5">
        <v>8</v>
      </c>
      <c r="AB5">
        <v>4</v>
      </c>
      <c r="AC5">
        <v>2</v>
      </c>
      <c r="AD5">
        <v>0</v>
      </c>
      <c r="AE5">
        <v>1</v>
      </c>
      <c r="AF5">
        <v>1</v>
      </c>
      <c r="AG5">
        <v>25</v>
      </c>
      <c r="AH5">
        <v>21.3</v>
      </c>
      <c r="AI5">
        <v>6</v>
      </c>
    </row>
    <row r="6" spans="1:35" ht="21" x14ac:dyDescent="0.3">
      <c r="A6" t="s">
        <v>546</v>
      </c>
      <c r="B6" s="11">
        <v>5</v>
      </c>
      <c r="C6">
        <v>889</v>
      </c>
      <c r="D6">
        <v>5</v>
      </c>
      <c r="E6" s="4">
        <v>44496</v>
      </c>
      <c r="F6" t="s">
        <v>85</v>
      </c>
      <c r="H6" t="s">
        <v>120</v>
      </c>
      <c r="I6" t="s">
        <v>438</v>
      </c>
      <c r="J6" t="s">
        <v>41</v>
      </c>
      <c r="K6" s="9">
        <v>1.5513888888888889</v>
      </c>
      <c r="L6">
        <v>9</v>
      </c>
      <c r="M6">
        <v>18</v>
      </c>
      <c r="N6">
        <v>0.5</v>
      </c>
      <c r="O6">
        <v>2</v>
      </c>
      <c r="P6">
        <v>4</v>
      </c>
      <c r="Q6">
        <v>0.5</v>
      </c>
      <c r="R6">
        <v>7</v>
      </c>
      <c r="S6">
        <v>14</v>
      </c>
      <c r="T6">
        <v>0.5</v>
      </c>
      <c r="U6">
        <v>0.55600000000000005</v>
      </c>
      <c r="V6">
        <v>5</v>
      </c>
      <c r="W6">
        <v>6</v>
      </c>
      <c r="X6">
        <v>0.83299999999999996</v>
      </c>
      <c r="Y6">
        <v>0</v>
      </c>
      <c r="Z6">
        <v>11</v>
      </c>
      <c r="AA6">
        <v>11</v>
      </c>
      <c r="AB6">
        <v>2</v>
      </c>
      <c r="AC6">
        <v>1</v>
      </c>
      <c r="AD6">
        <v>2</v>
      </c>
      <c r="AE6">
        <v>5</v>
      </c>
      <c r="AF6">
        <v>1</v>
      </c>
      <c r="AG6">
        <v>25</v>
      </c>
      <c r="AH6">
        <v>17.3</v>
      </c>
      <c r="AI6">
        <v>-14</v>
      </c>
    </row>
    <row r="7" spans="1:35" ht="21" x14ac:dyDescent="0.3">
      <c r="A7" t="s">
        <v>546</v>
      </c>
      <c r="B7" s="11">
        <v>6</v>
      </c>
      <c r="C7">
        <v>890</v>
      </c>
      <c r="D7">
        <v>6</v>
      </c>
      <c r="E7" s="4">
        <v>44498</v>
      </c>
      <c r="F7" t="s">
        <v>85</v>
      </c>
      <c r="H7" t="s">
        <v>108</v>
      </c>
      <c r="I7" t="s">
        <v>279</v>
      </c>
      <c r="J7" t="s">
        <v>41</v>
      </c>
      <c r="K7" s="9">
        <v>1.5569444444444445</v>
      </c>
      <c r="L7">
        <v>7</v>
      </c>
      <c r="M7">
        <v>10</v>
      </c>
      <c r="N7">
        <v>0.7</v>
      </c>
      <c r="O7">
        <v>1</v>
      </c>
      <c r="P7">
        <v>3</v>
      </c>
      <c r="Q7">
        <v>0.33300000000000002</v>
      </c>
      <c r="R7">
        <v>6</v>
      </c>
      <c r="S7">
        <v>7</v>
      </c>
      <c r="T7">
        <v>0.85699999999999998</v>
      </c>
      <c r="U7">
        <v>0.75</v>
      </c>
      <c r="V7">
        <v>7</v>
      </c>
      <c r="W7">
        <v>8</v>
      </c>
      <c r="X7">
        <v>0.875</v>
      </c>
      <c r="Y7">
        <v>0</v>
      </c>
      <c r="Z7">
        <v>11</v>
      </c>
      <c r="AA7">
        <v>11</v>
      </c>
      <c r="AB7">
        <v>7</v>
      </c>
      <c r="AC7">
        <v>1</v>
      </c>
      <c r="AD7">
        <v>0</v>
      </c>
      <c r="AE7">
        <v>7</v>
      </c>
      <c r="AF7">
        <v>2</v>
      </c>
      <c r="AG7">
        <v>22</v>
      </c>
      <c r="AH7">
        <v>18.8</v>
      </c>
      <c r="AI7">
        <v>10</v>
      </c>
    </row>
    <row r="8" spans="1:35" ht="21" x14ac:dyDescent="0.3">
      <c r="A8" t="s">
        <v>546</v>
      </c>
      <c r="B8" s="11">
        <v>7</v>
      </c>
      <c r="C8">
        <v>891</v>
      </c>
      <c r="D8">
        <v>7</v>
      </c>
      <c r="E8" s="4">
        <v>44500</v>
      </c>
      <c r="F8" t="s">
        <v>85</v>
      </c>
      <c r="H8" t="s">
        <v>89</v>
      </c>
      <c r="I8" t="s">
        <v>439</v>
      </c>
      <c r="J8" t="s">
        <v>41</v>
      </c>
      <c r="K8" s="9">
        <v>1.1388888888888888</v>
      </c>
      <c r="L8">
        <v>10</v>
      </c>
      <c r="M8">
        <v>13</v>
      </c>
      <c r="N8">
        <v>0.76900000000000002</v>
      </c>
      <c r="O8">
        <v>1</v>
      </c>
      <c r="P8">
        <v>1</v>
      </c>
      <c r="Q8">
        <v>1</v>
      </c>
      <c r="R8">
        <v>9</v>
      </c>
      <c r="S8">
        <v>12</v>
      </c>
      <c r="T8">
        <v>0.75</v>
      </c>
      <c r="U8">
        <v>0.80800000000000005</v>
      </c>
      <c r="V8">
        <v>2</v>
      </c>
      <c r="W8">
        <v>3</v>
      </c>
      <c r="X8">
        <v>0.66700000000000004</v>
      </c>
      <c r="Y8">
        <v>0</v>
      </c>
      <c r="Z8">
        <v>1</v>
      </c>
      <c r="AA8">
        <v>1</v>
      </c>
      <c r="AB8">
        <v>5</v>
      </c>
      <c r="AC8">
        <v>0</v>
      </c>
      <c r="AD8">
        <v>1</v>
      </c>
      <c r="AE8">
        <v>3</v>
      </c>
      <c r="AF8">
        <v>3</v>
      </c>
      <c r="AG8">
        <v>23</v>
      </c>
      <c r="AH8">
        <v>17.8</v>
      </c>
      <c r="AI8">
        <v>10</v>
      </c>
    </row>
    <row r="9" spans="1:35" ht="21" x14ac:dyDescent="0.3">
      <c r="A9" t="s">
        <v>546</v>
      </c>
      <c r="B9" s="11">
        <v>8</v>
      </c>
      <c r="C9">
        <v>892</v>
      </c>
      <c r="D9">
        <v>8</v>
      </c>
      <c r="E9" s="4">
        <v>44503</v>
      </c>
      <c r="F9" t="s">
        <v>85</v>
      </c>
      <c r="H9" t="s">
        <v>78</v>
      </c>
      <c r="I9" t="s">
        <v>440</v>
      </c>
      <c r="J9" t="s">
        <v>41</v>
      </c>
      <c r="K9" s="9">
        <v>1.4965277777777777</v>
      </c>
      <c r="L9">
        <v>13</v>
      </c>
      <c r="M9">
        <v>20</v>
      </c>
      <c r="N9">
        <v>0.65</v>
      </c>
      <c r="O9">
        <v>2</v>
      </c>
      <c r="P9">
        <v>6</v>
      </c>
      <c r="Q9">
        <v>0.33300000000000002</v>
      </c>
      <c r="R9">
        <v>11</v>
      </c>
      <c r="S9">
        <v>14</v>
      </c>
      <c r="T9">
        <v>0.78600000000000003</v>
      </c>
      <c r="U9">
        <v>0.7</v>
      </c>
      <c r="V9">
        <v>4</v>
      </c>
      <c r="W9">
        <v>6</v>
      </c>
      <c r="X9">
        <v>0.66700000000000004</v>
      </c>
      <c r="Y9">
        <v>0</v>
      </c>
      <c r="Z9">
        <v>7</v>
      </c>
      <c r="AA9">
        <v>7</v>
      </c>
      <c r="AB9">
        <v>5</v>
      </c>
      <c r="AC9">
        <v>1</v>
      </c>
      <c r="AD9">
        <v>1</v>
      </c>
      <c r="AE9">
        <v>3</v>
      </c>
      <c r="AF9">
        <v>2</v>
      </c>
      <c r="AG9">
        <v>32</v>
      </c>
      <c r="AH9">
        <v>25.9</v>
      </c>
      <c r="AI9">
        <v>15</v>
      </c>
    </row>
    <row r="10" spans="1:35" ht="21" x14ac:dyDescent="0.3">
      <c r="A10" t="s">
        <v>546</v>
      </c>
      <c r="B10" s="11">
        <v>9</v>
      </c>
      <c r="C10">
        <v>893</v>
      </c>
      <c r="D10">
        <v>9</v>
      </c>
      <c r="E10" s="4">
        <v>44505</v>
      </c>
      <c r="F10" t="s">
        <v>85</v>
      </c>
      <c r="G10" t="s">
        <v>37</v>
      </c>
      <c r="H10" t="s">
        <v>89</v>
      </c>
      <c r="I10" t="s">
        <v>441</v>
      </c>
      <c r="J10" t="s">
        <v>41</v>
      </c>
      <c r="K10" s="9">
        <v>1.5208333333333333</v>
      </c>
      <c r="L10">
        <v>12</v>
      </c>
      <c r="M10">
        <v>27</v>
      </c>
      <c r="N10">
        <v>0.44400000000000001</v>
      </c>
      <c r="O10">
        <v>2</v>
      </c>
      <c r="P10">
        <v>6</v>
      </c>
      <c r="Q10">
        <v>0.33300000000000002</v>
      </c>
      <c r="R10">
        <v>10</v>
      </c>
      <c r="S10">
        <v>21</v>
      </c>
      <c r="T10">
        <v>0.47599999999999998</v>
      </c>
      <c r="U10">
        <v>0.48099999999999998</v>
      </c>
      <c r="V10">
        <v>3</v>
      </c>
      <c r="W10">
        <v>4</v>
      </c>
      <c r="X10">
        <v>0.75</v>
      </c>
      <c r="Y10">
        <v>0</v>
      </c>
      <c r="Z10">
        <v>10</v>
      </c>
      <c r="AA10">
        <v>10</v>
      </c>
      <c r="AB10">
        <v>5</v>
      </c>
      <c r="AC10">
        <v>0</v>
      </c>
      <c r="AD10">
        <v>1</v>
      </c>
      <c r="AE10">
        <v>3</v>
      </c>
      <c r="AF10">
        <v>0</v>
      </c>
      <c r="AG10">
        <v>29</v>
      </c>
      <c r="AH10">
        <v>18.7</v>
      </c>
      <c r="AI10">
        <v>20</v>
      </c>
    </row>
    <row r="11" spans="1:35" ht="21" x14ac:dyDescent="0.3">
      <c r="A11" t="s">
        <v>546</v>
      </c>
      <c r="B11" s="11">
        <v>10</v>
      </c>
      <c r="C11">
        <v>894</v>
      </c>
      <c r="D11">
        <v>10</v>
      </c>
      <c r="E11" s="4">
        <v>44507</v>
      </c>
      <c r="F11" t="s">
        <v>85</v>
      </c>
      <c r="G11" t="s">
        <v>37</v>
      </c>
      <c r="H11" t="s">
        <v>92</v>
      </c>
      <c r="I11" t="s">
        <v>442</v>
      </c>
      <c r="J11" t="s">
        <v>41</v>
      </c>
      <c r="K11" s="9">
        <v>1.5368055555555555</v>
      </c>
      <c r="L11">
        <v>11</v>
      </c>
      <c r="M11">
        <v>19</v>
      </c>
      <c r="N11">
        <v>0.57899999999999996</v>
      </c>
      <c r="O11">
        <v>3</v>
      </c>
      <c r="P11">
        <v>6</v>
      </c>
      <c r="Q11">
        <v>0.5</v>
      </c>
      <c r="R11">
        <v>8</v>
      </c>
      <c r="S11">
        <v>13</v>
      </c>
      <c r="T11">
        <v>0.61499999999999999</v>
      </c>
      <c r="U11">
        <v>0.65800000000000003</v>
      </c>
      <c r="V11">
        <v>6</v>
      </c>
      <c r="W11">
        <v>6</v>
      </c>
      <c r="X11">
        <v>1</v>
      </c>
      <c r="Y11">
        <v>1</v>
      </c>
      <c r="Z11">
        <v>6</v>
      </c>
      <c r="AA11">
        <v>7</v>
      </c>
      <c r="AB11">
        <v>7</v>
      </c>
      <c r="AC11">
        <v>0</v>
      </c>
      <c r="AD11">
        <v>0</v>
      </c>
      <c r="AE11">
        <v>6</v>
      </c>
      <c r="AF11">
        <v>2</v>
      </c>
      <c r="AG11">
        <v>31</v>
      </c>
      <c r="AH11">
        <v>22.7</v>
      </c>
      <c r="AI11">
        <v>17</v>
      </c>
    </row>
    <row r="12" spans="1:35" ht="21" x14ac:dyDescent="0.3">
      <c r="A12" t="s">
        <v>546</v>
      </c>
      <c r="B12" s="11">
        <v>11</v>
      </c>
      <c r="C12">
        <v>895</v>
      </c>
      <c r="D12">
        <v>11</v>
      </c>
      <c r="E12" s="4">
        <v>44508</v>
      </c>
      <c r="F12" t="s">
        <v>85</v>
      </c>
      <c r="G12" t="s">
        <v>37</v>
      </c>
      <c r="H12" t="s">
        <v>82</v>
      </c>
      <c r="I12" t="s">
        <v>443</v>
      </c>
      <c r="J12" t="s">
        <v>41</v>
      </c>
      <c r="K12" s="9">
        <v>1.461111111111111</v>
      </c>
      <c r="L12">
        <v>13</v>
      </c>
      <c r="M12">
        <v>24</v>
      </c>
      <c r="N12">
        <v>0.54200000000000004</v>
      </c>
      <c r="O12">
        <v>3</v>
      </c>
      <c r="P12">
        <v>8</v>
      </c>
      <c r="Q12">
        <v>0.375</v>
      </c>
      <c r="R12">
        <v>10</v>
      </c>
      <c r="S12">
        <v>16</v>
      </c>
      <c r="T12">
        <v>0.625</v>
      </c>
      <c r="U12">
        <v>0.60399999999999998</v>
      </c>
      <c r="V12">
        <v>9</v>
      </c>
      <c r="W12">
        <v>9</v>
      </c>
      <c r="X12">
        <v>1</v>
      </c>
      <c r="Y12">
        <v>1</v>
      </c>
      <c r="Z12">
        <v>10</v>
      </c>
      <c r="AA12">
        <v>11</v>
      </c>
      <c r="AB12">
        <v>4</v>
      </c>
      <c r="AC12">
        <v>0</v>
      </c>
      <c r="AD12">
        <v>0</v>
      </c>
      <c r="AE12">
        <v>2</v>
      </c>
      <c r="AF12">
        <v>1</v>
      </c>
      <c r="AG12">
        <v>38</v>
      </c>
      <c r="AH12">
        <v>30.5</v>
      </c>
      <c r="AI12">
        <v>-22</v>
      </c>
    </row>
    <row r="13" spans="1:35" ht="21" x14ac:dyDescent="0.3">
      <c r="A13" t="s">
        <v>546</v>
      </c>
      <c r="B13" s="11">
        <v>12</v>
      </c>
      <c r="C13">
        <v>896</v>
      </c>
      <c r="D13">
        <v>12</v>
      </c>
      <c r="E13" s="4">
        <v>44510</v>
      </c>
      <c r="F13" t="s">
        <v>85</v>
      </c>
      <c r="G13" t="s">
        <v>37</v>
      </c>
      <c r="H13" t="s">
        <v>104</v>
      </c>
      <c r="I13" t="s">
        <v>444</v>
      </c>
      <c r="J13" t="s">
        <v>41</v>
      </c>
      <c r="K13" s="9">
        <v>1.2159722222222222</v>
      </c>
      <c r="L13">
        <v>11</v>
      </c>
      <c r="M13">
        <v>12</v>
      </c>
      <c r="N13">
        <v>0.91700000000000004</v>
      </c>
      <c r="O13">
        <v>2</v>
      </c>
      <c r="P13">
        <v>2</v>
      </c>
      <c r="Q13">
        <v>1</v>
      </c>
      <c r="R13">
        <v>9</v>
      </c>
      <c r="S13">
        <v>10</v>
      </c>
      <c r="T13">
        <v>0.9</v>
      </c>
      <c r="U13">
        <v>1</v>
      </c>
      <c r="V13">
        <v>6</v>
      </c>
      <c r="W13">
        <v>7</v>
      </c>
      <c r="X13">
        <v>0.85699999999999998</v>
      </c>
      <c r="Y13">
        <v>0</v>
      </c>
      <c r="Z13">
        <v>5</v>
      </c>
      <c r="AA13">
        <v>5</v>
      </c>
      <c r="AB13">
        <v>2</v>
      </c>
      <c r="AC13">
        <v>0</v>
      </c>
      <c r="AD13">
        <v>0</v>
      </c>
      <c r="AE13">
        <v>6</v>
      </c>
      <c r="AF13">
        <v>1</v>
      </c>
      <c r="AG13">
        <v>30</v>
      </c>
      <c r="AH13">
        <v>22.1</v>
      </c>
      <c r="AI13">
        <v>9</v>
      </c>
    </row>
    <row r="14" spans="1:35" ht="21" x14ac:dyDescent="0.3">
      <c r="A14" t="s">
        <v>546</v>
      </c>
      <c r="B14" s="11">
        <v>13</v>
      </c>
      <c r="C14">
        <v>897</v>
      </c>
      <c r="D14">
        <v>13</v>
      </c>
      <c r="E14" s="4">
        <v>44512</v>
      </c>
      <c r="F14" t="s">
        <v>85</v>
      </c>
      <c r="G14" t="s">
        <v>37</v>
      </c>
      <c r="H14" t="s">
        <v>74</v>
      </c>
      <c r="I14" t="s">
        <v>445</v>
      </c>
      <c r="J14" t="s">
        <v>41</v>
      </c>
      <c r="K14" s="9">
        <v>1.5652777777777778</v>
      </c>
      <c r="L14">
        <v>11</v>
      </c>
      <c r="M14">
        <v>17</v>
      </c>
      <c r="N14">
        <v>0.64700000000000002</v>
      </c>
      <c r="O14">
        <v>3</v>
      </c>
      <c r="P14">
        <v>3</v>
      </c>
      <c r="Q14">
        <v>1</v>
      </c>
      <c r="R14">
        <v>8</v>
      </c>
      <c r="S14">
        <v>14</v>
      </c>
      <c r="T14">
        <v>0.57099999999999995</v>
      </c>
      <c r="U14">
        <v>0.73499999999999999</v>
      </c>
      <c r="V14">
        <v>3</v>
      </c>
      <c r="W14">
        <v>4</v>
      </c>
      <c r="X14">
        <v>0.75</v>
      </c>
      <c r="Y14">
        <v>0</v>
      </c>
      <c r="Z14">
        <v>7</v>
      </c>
      <c r="AA14">
        <v>7</v>
      </c>
      <c r="AB14">
        <v>8</v>
      </c>
      <c r="AC14">
        <v>0</v>
      </c>
      <c r="AD14">
        <v>0</v>
      </c>
      <c r="AE14">
        <v>2</v>
      </c>
      <c r="AF14">
        <v>0</v>
      </c>
      <c r="AG14">
        <v>28</v>
      </c>
      <c r="AH14">
        <v>25.8</v>
      </c>
      <c r="AI14">
        <v>17</v>
      </c>
    </row>
    <row r="15" spans="1:35" ht="21" x14ac:dyDescent="0.3">
      <c r="A15" t="s">
        <v>546</v>
      </c>
      <c r="B15" s="11">
        <v>14</v>
      </c>
      <c r="C15">
        <v>898</v>
      </c>
      <c r="D15">
        <v>14</v>
      </c>
      <c r="E15" s="4">
        <v>44514</v>
      </c>
      <c r="F15" t="s">
        <v>85</v>
      </c>
      <c r="G15" t="s">
        <v>37</v>
      </c>
      <c r="H15" t="s">
        <v>68</v>
      </c>
      <c r="I15" t="s">
        <v>446</v>
      </c>
      <c r="J15" t="s">
        <v>41</v>
      </c>
      <c r="K15" s="9">
        <v>1.4236111111111112</v>
      </c>
      <c r="L15">
        <v>9</v>
      </c>
      <c r="M15">
        <v>17</v>
      </c>
      <c r="N15">
        <v>0.52900000000000003</v>
      </c>
      <c r="O15">
        <v>2</v>
      </c>
      <c r="P15">
        <v>6</v>
      </c>
      <c r="Q15">
        <v>0.33300000000000002</v>
      </c>
      <c r="R15">
        <v>7</v>
      </c>
      <c r="S15">
        <v>11</v>
      </c>
      <c r="T15">
        <v>0.63600000000000001</v>
      </c>
      <c r="U15">
        <v>0.58799999999999997</v>
      </c>
      <c r="V15">
        <v>13</v>
      </c>
      <c r="W15">
        <v>14</v>
      </c>
      <c r="X15">
        <v>0.92900000000000005</v>
      </c>
      <c r="Y15">
        <v>0</v>
      </c>
      <c r="Z15">
        <v>8</v>
      </c>
      <c r="AA15">
        <v>8</v>
      </c>
      <c r="AB15">
        <v>4</v>
      </c>
      <c r="AC15">
        <v>1</v>
      </c>
      <c r="AD15">
        <v>0</v>
      </c>
      <c r="AE15">
        <v>1</v>
      </c>
      <c r="AF15">
        <v>1</v>
      </c>
      <c r="AG15">
        <v>33</v>
      </c>
      <c r="AH15">
        <v>29.1</v>
      </c>
      <c r="AI15">
        <v>30</v>
      </c>
    </row>
    <row r="16" spans="1:35" ht="21" x14ac:dyDescent="0.3">
      <c r="A16" t="s">
        <v>546</v>
      </c>
      <c r="B16" s="11">
        <v>15</v>
      </c>
      <c r="C16">
        <v>899</v>
      </c>
      <c r="D16">
        <v>15</v>
      </c>
      <c r="E16" s="4">
        <v>44516</v>
      </c>
      <c r="F16" t="s">
        <v>85</v>
      </c>
      <c r="H16" t="s">
        <v>33</v>
      </c>
      <c r="I16" t="s">
        <v>447</v>
      </c>
      <c r="J16" t="s">
        <v>41</v>
      </c>
      <c r="K16" s="9">
        <v>1.3430555555555554</v>
      </c>
      <c r="L16">
        <v>6</v>
      </c>
      <c r="M16">
        <v>19</v>
      </c>
      <c r="N16">
        <v>0.316</v>
      </c>
      <c r="O16">
        <v>2</v>
      </c>
      <c r="P16">
        <v>6</v>
      </c>
      <c r="Q16">
        <v>0.33300000000000002</v>
      </c>
      <c r="R16">
        <v>4</v>
      </c>
      <c r="S16">
        <v>13</v>
      </c>
      <c r="T16">
        <v>0.308</v>
      </c>
      <c r="U16">
        <v>0.36799999999999999</v>
      </c>
      <c r="V16">
        <v>5</v>
      </c>
      <c r="W16">
        <v>6</v>
      </c>
      <c r="X16">
        <v>0.83299999999999996</v>
      </c>
      <c r="Y16">
        <v>1</v>
      </c>
      <c r="Z16">
        <v>4</v>
      </c>
      <c r="AA16">
        <v>5</v>
      </c>
      <c r="AB16">
        <v>3</v>
      </c>
      <c r="AC16">
        <v>0</v>
      </c>
      <c r="AD16">
        <v>0</v>
      </c>
      <c r="AE16">
        <v>2</v>
      </c>
      <c r="AF16">
        <v>1</v>
      </c>
      <c r="AG16">
        <v>19</v>
      </c>
      <c r="AH16">
        <v>9.3000000000000007</v>
      </c>
      <c r="AI16">
        <v>-24</v>
      </c>
    </row>
    <row r="17" spans="1:35" ht="21" x14ac:dyDescent="0.3">
      <c r="A17" t="s">
        <v>546</v>
      </c>
      <c r="B17" s="11">
        <v>16</v>
      </c>
      <c r="C17">
        <v>900</v>
      </c>
      <c r="D17">
        <v>16</v>
      </c>
      <c r="E17" s="4">
        <v>44517</v>
      </c>
      <c r="F17" t="s">
        <v>85</v>
      </c>
      <c r="H17" t="s">
        <v>87</v>
      </c>
      <c r="I17" t="s">
        <v>448</v>
      </c>
      <c r="J17" t="s">
        <v>41</v>
      </c>
      <c r="K17" s="9">
        <v>1.5444444444444445</v>
      </c>
      <c r="L17">
        <v>9</v>
      </c>
      <c r="M17">
        <v>16</v>
      </c>
      <c r="N17">
        <v>0.56299999999999994</v>
      </c>
      <c r="O17">
        <v>2</v>
      </c>
      <c r="P17">
        <v>3</v>
      </c>
      <c r="Q17">
        <v>0.66700000000000004</v>
      </c>
      <c r="R17">
        <v>7</v>
      </c>
      <c r="S17">
        <v>13</v>
      </c>
      <c r="T17">
        <v>0.53800000000000003</v>
      </c>
      <c r="U17">
        <v>0.625</v>
      </c>
      <c r="V17">
        <v>3</v>
      </c>
      <c r="W17">
        <v>3</v>
      </c>
      <c r="X17">
        <v>1</v>
      </c>
      <c r="Y17">
        <v>0</v>
      </c>
      <c r="Z17">
        <v>4</v>
      </c>
      <c r="AA17">
        <v>4</v>
      </c>
      <c r="AB17">
        <v>3</v>
      </c>
      <c r="AC17">
        <v>0</v>
      </c>
      <c r="AD17">
        <v>0</v>
      </c>
      <c r="AE17">
        <v>1</v>
      </c>
      <c r="AF17">
        <v>0</v>
      </c>
      <c r="AG17">
        <v>23</v>
      </c>
      <c r="AH17">
        <v>17.7</v>
      </c>
      <c r="AI17">
        <v>-5</v>
      </c>
    </row>
    <row r="18" spans="1:35" ht="21" x14ac:dyDescent="0.3">
      <c r="A18" t="s">
        <v>546</v>
      </c>
      <c r="B18" s="11">
        <v>16</v>
      </c>
      <c r="D18">
        <v>17</v>
      </c>
      <c r="E18" s="4">
        <v>44519</v>
      </c>
      <c r="F18" t="s">
        <v>85</v>
      </c>
      <c r="H18" t="s">
        <v>104</v>
      </c>
      <c r="I18" t="s">
        <v>65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</row>
    <row r="19" spans="1:35" ht="21" x14ac:dyDescent="0.3">
      <c r="A19" t="s">
        <v>546</v>
      </c>
      <c r="B19" s="11">
        <v>17</v>
      </c>
      <c r="C19">
        <v>901</v>
      </c>
      <c r="D19">
        <v>18</v>
      </c>
      <c r="E19" s="4">
        <v>44522</v>
      </c>
      <c r="F19" t="s">
        <v>85</v>
      </c>
      <c r="G19" t="s">
        <v>37</v>
      </c>
      <c r="H19" t="s">
        <v>87</v>
      </c>
      <c r="I19" t="s">
        <v>449</v>
      </c>
      <c r="J19" t="s">
        <v>41</v>
      </c>
      <c r="K19" s="9">
        <v>1.6263888888888889</v>
      </c>
      <c r="L19">
        <v>8</v>
      </c>
      <c r="M19">
        <v>19</v>
      </c>
      <c r="N19">
        <v>0.42099999999999999</v>
      </c>
      <c r="O19">
        <v>1</v>
      </c>
      <c r="P19">
        <v>4</v>
      </c>
      <c r="Q19">
        <v>0.25</v>
      </c>
      <c r="R19">
        <v>7</v>
      </c>
      <c r="S19">
        <v>15</v>
      </c>
      <c r="T19">
        <v>0.46700000000000003</v>
      </c>
      <c r="U19">
        <v>0.44700000000000001</v>
      </c>
      <c r="V19">
        <v>10</v>
      </c>
      <c r="W19">
        <v>10</v>
      </c>
      <c r="X19">
        <v>1</v>
      </c>
      <c r="Y19">
        <v>0</v>
      </c>
      <c r="Z19">
        <v>6</v>
      </c>
      <c r="AA19">
        <v>6</v>
      </c>
      <c r="AB19">
        <v>9</v>
      </c>
      <c r="AC19">
        <v>0</v>
      </c>
      <c r="AD19">
        <v>3</v>
      </c>
      <c r="AE19">
        <v>2</v>
      </c>
      <c r="AF19">
        <v>3</v>
      </c>
      <c r="AG19">
        <v>27</v>
      </c>
      <c r="AH19">
        <v>23.9</v>
      </c>
      <c r="AI19">
        <v>5</v>
      </c>
    </row>
    <row r="20" spans="1:35" ht="21" x14ac:dyDescent="0.3">
      <c r="A20" t="s">
        <v>546</v>
      </c>
      <c r="B20" s="11">
        <v>18</v>
      </c>
      <c r="C20">
        <v>902</v>
      </c>
      <c r="D20">
        <v>19</v>
      </c>
      <c r="E20" s="4">
        <v>44524</v>
      </c>
      <c r="F20" t="s">
        <v>85</v>
      </c>
      <c r="G20" t="s">
        <v>37</v>
      </c>
      <c r="H20" t="s">
        <v>55</v>
      </c>
      <c r="I20" t="s">
        <v>450</v>
      </c>
      <c r="J20" t="s">
        <v>41</v>
      </c>
      <c r="K20" s="9">
        <v>1.5486111111111112</v>
      </c>
      <c r="L20">
        <v>8</v>
      </c>
      <c r="M20">
        <v>16</v>
      </c>
      <c r="N20">
        <v>0.5</v>
      </c>
      <c r="O20">
        <v>0</v>
      </c>
      <c r="P20">
        <v>4</v>
      </c>
      <c r="Q20">
        <v>0</v>
      </c>
      <c r="R20">
        <v>8</v>
      </c>
      <c r="S20">
        <v>12</v>
      </c>
      <c r="T20">
        <v>0.66700000000000004</v>
      </c>
      <c r="U20">
        <v>0.5</v>
      </c>
      <c r="V20">
        <v>5</v>
      </c>
      <c r="W20">
        <v>6</v>
      </c>
      <c r="X20">
        <v>0.83299999999999996</v>
      </c>
      <c r="Y20">
        <v>2</v>
      </c>
      <c r="Z20">
        <v>2</v>
      </c>
      <c r="AA20">
        <v>4</v>
      </c>
      <c r="AB20">
        <v>8</v>
      </c>
      <c r="AC20">
        <v>2</v>
      </c>
      <c r="AD20">
        <v>0</v>
      </c>
      <c r="AE20">
        <v>3</v>
      </c>
      <c r="AF20">
        <v>3</v>
      </c>
      <c r="AG20">
        <v>21</v>
      </c>
      <c r="AH20">
        <v>18</v>
      </c>
      <c r="AI20">
        <v>20</v>
      </c>
    </row>
    <row r="21" spans="1:35" ht="21" x14ac:dyDescent="0.3">
      <c r="A21" t="s">
        <v>546</v>
      </c>
      <c r="B21" s="11">
        <v>19</v>
      </c>
      <c r="C21">
        <v>903</v>
      </c>
      <c r="D21">
        <v>20</v>
      </c>
      <c r="E21" s="4">
        <v>44527</v>
      </c>
      <c r="F21" t="s">
        <v>85</v>
      </c>
      <c r="H21" t="s">
        <v>99</v>
      </c>
      <c r="I21" t="s">
        <v>236</v>
      </c>
      <c r="J21" t="s">
        <v>41</v>
      </c>
      <c r="K21" s="9">
        <v>1.8680555555555556</v>
      </c>
      <c r="L21">
        <v>13</v>
      </c>
      <c r="M21">
        <v>28</v>
      </c>
      <c r="N21">
        <v>0.46400000000000002</v>
      </c>
      <c r="O21">
        <v>4</v>
      </c>
      <c r="P21">
        <v>7</v>
      </c>
      <c r="Q21">
        <v>0.57099999999999995</v>
      </c>
      <c r="R21">
        <v>9</v>
      </c>
      <c r="S21">
        <v>21</v>
      </c>
      <c r="T21">
        <v>0.42899999999999999</v>
      </c>
      <c r="U21">
        <v>0.53600000000000003</v>
      </c>
      <c r="V21">
        <v>9</v>
      </c>
      <c r="W21">
        <v>11</v>
      </c>
      <c r="X21">
        <v>0.81799999999999995</v>
      </c>
      <c r="Y21">
        <v>0</v>
      </c>
      <c r="Z21">
        <v>9</v>
      </c>
      <c r="AA21">
        <v>9</v>
      </c>
      <c r="AB21">
        <v>7</v>
      </c>
      <c r="AC21">
        <v>4</v>
      </c>
      <c r="AD21">
        <v>1</v>
      </c>
      <c r="AE21">
        <v>6</v>
      </c>
      <c r="AF21">
        <v>0</v>
      </c>
      <c r="AG21">
        <v>39</v>
      </c>
      <c r="AH21">
        <v>30.1</v>
      </c>
      <c r="AI21">
        <v>-1</v>
      </c>
    </row>
    <row r="22" spans="1:35" ht="21" x14ac:dyDescent="0.3">
      <c r="A22" t="s">
        <v>546</v>
      </c>
      <c r="B22" s="11">
        <v>20</v>
      </c>
      <c r="C22">
        <v>904</v>
      </c>
      <c r="D22">
        <v>21</v>
      </c>
      <c r="E22" s="4">
        <v>44530</v>
      </c>
      <c r="F22" t="s">
        <v>85</v>
      </c>
      <c r="H22" t="s">
        <v>110</v>
      </c>
      <c r="I22" t="s">
        <v>451</v>
      </c>
      <c r="J22" t="s">
        <v>41</v>
      </c>
      <c r="K22" s="9">
        <v>1.6875</v>
      </c>
      <c r="L22">
        <v>9</v>
      </c>
      <c r="M22">
        <v>23</v>
      </c>
      <c r="N22">
        <v>0.39100000000000001</v>
      </c>
      <c r="O22">
        <v>0</v>
      </c>
      <c r="P22">
        <v>5</v>
      </c>
      <c r="Q22">
        <v>0</v>
      </c>
      <c r="R22">
        <v>9</v>
      </c>
      <c r="S22">
        <v>18</v>
      </c>
      <c r="T22">
        <v>0.5</v>
      </c>
      <c r="U22">
        <v>0.39100000000000001</v>
      </c>
      <c r="V22">
        <v>9</v>
      </c>
      <c r="W22">
        <v>9</v>
      </c>
      <c r="X22">
        <v>1</v>
      </c>
      <c r="Y22">
        <v>0</v>
      </c>
      <c r="Z22">
        <v>5</v>
      </c>
      <c r="AA22">
        <v>5</v>
      </c>
      <c r="AB22">
        <v>9</v>
      </c>
      <c r="AC22">
        <v>0</v>
      </c>
      <c r="AD22">
        <v>1</v>
      </c>
      <c r="AE22">
        <v>1</v>
      </c>
      <c r="AF22">
        <v>3</v>
      </c>
      <c r="AG22">
        <v>27</v>
      </c>
      <c r="AH22">
        <v>20.8</v>
      </c>
      <c r="AI22">
        <v>10</v>
      </c>
    </row>
    <row r="23" spans="1:35" ht="21" x14ac:dyDescent="0.3">
      <c r="A23" t="s">
        <v>546</v>
      </c>
      <c r="B23" s="11">
        <v>21</v>
      </c>
      <c r="C23">
        <v>905</v>
      </c>
      <c r="D23">
        <v>22</v>
      </c>
      <c r="E23" s="4">
        <v>44533</v>
      </c>
      <c r="F23" t="s">
        <v>85</v>
      </c>
      <c r="H23" t="s">
        <v>80</v>
      </c>
      <c r="I23" t="s">
        <v>452</v>
      </c>
      <c r="J23" t="s">
        <v>41</v>
      </c>
      <c r="K23" s="9">
        <v>1.5743055555555556</v>
      </c>
      <c r="L23">
        <v>9</v>
      </c>
      <c r="M23">
        <v>18</v>
      </c>
      <c r="N23">
        <v>0.5</v>
      </c>
      <c r="O23">
        <v>0</v>
      </c>
      <c r="P23">
        <v>1</v>
      </c>
      <c r="Q23">
        <v>0</v>
      </c>
      <c r="R23">
        <v>9</v>
      </c>
      <c r="S23">
        <v>17</v>
      </c>
      <c r="T23">
        <v>0.52900000000000003</v>
      </c>
      <c r="U23">
        <v>0.5</v>
      </c>
      <c r="V23">
        <v>12</v>
      </c>
      <c r="W23">
        <v>13</v>
      </c>
      <c r="X23">
        <v>0.92300000000000004</v>
      </c>
      <c r="Y23">
        <v>1</v>
      </c>
      <c r="Z23">
        <v>9</v>
      </c>
      <c r="AA23">
        <v>10</v>
      </c>
      <c r="AB23">
        <v>6</v>
      </c>
      <c r="AC23">
        <v>0</v>
      </c>
      <c r="AD23">
        <v>0</v>
      </c>
      <c r="AE23">
        <v>5</v>
      </c>
      <c r="AF23">
        <v>4</v>
      </c>
      <c r="AG23">
        <v>30</v>
      </c>
      <c r="AH23">
        <v>21.6</v>
      </c>
      <c r="AI23">
        <v>0</v>
      </c>
    </row>
    <row r="24" spans="1:35" ht="21" x14ac:dyDescent="0.3">
      <c r="A24" t="s">
        <v>546</v>
      </c>
      <c r="B24" s="11">
        <v>22</v>
      </c>
      <c r="C24">
        <v>906</v>
      </c>
      <c r="D24">
        <v>23</v>
      </c>
      <c r="E24" s="4">
        <v>44534</v>
      </c>
      <c r="F24" t="s">
        <v>85</v>
      </c>
      <c r="H24" t="s">
        <v>82</v>
      </c>
      <c r="I24" t="s">
        <v>453</v>
      </c>
      <c r="J24" t="s">
        <v>41</v>
      </c>
      <c r="K24" s="9">
        <v>1.5888888888888888</v>
      </c>
      <c r="L24">
        <v>12</v>
      </c>
      <c r="M24">
        <v>26</v>
      </c>
      <c r="N24">
        <v>0.46200000000000002</v>
      </c>
      <c r="O24">
        <v>2</v>
      </c>
      <c r="P24">
        <v>6</v>
      </c>
      <c r="Q24">
        <v>0.33300000000000002</v>
      </c>
      <c r="R24">
        <v>10</v>
      </c>
      <c r="S24">
        <v>20</v>
      </c>
      <c r="T24">
        <v>0.5</v>
      </c>
      <c r="U24">
        <v>0.5</v>
      </c>
      <c r="V24">
        <v>2</v>
      </c>
      <c r="W24">
        <v>2</v>
      </c>
      <c r="X24">
        <v>1</v>
      </c>
      <c r="Y24">
        <v>0</v>
      </c>
      <c r="Z24">
        <v>10</v>
      </c>
      <c r="AA24">
        <v>10</v>
      </c>
      <c r="AB24">
        <v>4</v>
      </c>
      <c r="AC24">
        <v>0</v>
      </c>
      <c r="AD24">
        <v>2</v>
      </c>
      <c r="AE24">
        <v>1</v>
      </c>
      <c r="AF24">
        <v>5</v>
      </c>
      <c r="AG24">
        <v>28</v>
      </c>
      <c r="AH24">
        <v>18.8</v>
      </c>
      <c r="AI24">
        <v>6</v>
      </c>
    </row>
    <row r="25" spans="1:35" ht="21" x14ac:dyDescent="0.3">
      <c r="A25" t="s">
        <v>546</v>
      </c>
      <c r="B25" s="11">
        <v>23</v>
      </c>
      <c r="C25">
        <v>907</v>
      </c>
      <c r="D25">
        <v>24</v>
      </c>
      <c r="E25" s="4">
        <v>44537</v>
      </c>
      <c r="F25" t="s">
        <v>85</v>
      </c>
      <c r="G25" t="s">
        <v>37</v>
      </c>
      <c r="H25" t="s">
        <v>49</v>
      </c>
      <c r="I25" t="s">
        <v>328</v>
      </c>
      <c r="J25" t="s">
        <v>41</v>
      </c>
      <c r="K25" s="9">
        <v>1.6875</v>
      </c>
      <c r="L25">
        <v>10</v>
      </c>
      <c r="M25">
        <v>22</v>
      </c>
      <c r="N25">
        <v>0.45500000000000002</v>
      </c>
      <c r="O25">
        <v>1</v>
      </c>
      <c r="P25">
        <v>4</v>
      </c>
      <c r="Q25">
        <v>0.25</v>
      </c>
      <c r="R25">
        <v>9</v>
      </c>
      <c r="S25">
        <v>18</v>
      </c>
      <c r="T25">
        <v>0.5</v>
      </c>
      <c r="U25">
        <v>0.47699999999999998</v>
      </c>
      <c r="V25">
        <v>3</v>
      </c>
      <c r="W25">
        <v>3</v>
      </c>
      <c r="X25">
        <v>1</v>
      </c>
      <c r="Y25">
        <v>2</v>
      </c>
      <c r="Z25">
        <v>5</v>
      </c>
      <c r="AA25">
        <v>7</v>
      </c>
      <c r="AB25">
        <v>3</v>
      </c>
      <c r="AC25">
        <v>1</v>
      </c>
      <c r="AD25">
        <v>1</v>
      </c>
      <c r="AE25">
        <v>3</v>
      </c>
      <c r="AF25">
        <v>1</v>
      </c>
      <c r="AG25">
        <v>24</v>
      </c>
      <c r="AH25">
        <v>15.9</v>
      </c>
      <c r="AI25">
        <v>4</v>
      </c>
    </row>
    <row r="26" spans="1:35" ht="21" x14ac:dyDescent="0.3">
      <c r="A26" t="s">
        <v>546</v>
      </c>
      <c r="B26" s="11">
        <v>23</v>
      </c>
      <c r="D26">
        <v>25</v>
      </c>
      <c r="E26" s="4">
        <v>44538</v>
      </c>
      <c r="F26" t="s">
        <v>85</v>
      </c>
      <c r="G26" t="s">
        <v>37</v>
      </c>
      <c r="H26" t="s">
        <v>76</v>
      </c>
      <c r="I26" t="s">
        <v>454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91</v>
      </c>
      <c r="Q26" t="s">
        <v>91</v>
      </c>
      <c r="R26" t="s">
        <v>91</v>
      </c>
      <c r="S26" t="s">
        <v>91</v>
      </c>
      <c r="T26" t="s">
        <v>91</v>
      </c>
      <c r="U26" t="s">
        <v>91</v>
      </c>
      <c r="V26" t="s">
        <v>91</v>
      </c>
      <c r="W26" t="s">
        <v>91</v>
      </c>
      <c r="X26" t="s">
        <v>91</v>
      </c>
      <c r="Y26" t="s">
        <v>91</v>
      </c>
      <c r="Z26" t="s">
        <v>91</v>
      </c>
      <c r="AA26" t="s">
        <v>91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</row>
    <row r="27" spans="1:35" ht="21" x14ac:dyDescent="0.3">
      <c r="A27" t="s">
        <v>546</v>
      </c>
      <c r="B27" s="11">
        <v>24</v>
      </c>
      <c r="C27">
        <v>908</v>
      </c>
      <c r="D27">
        <v>26</v>
      </c>
      <c r="E27" s="4">
        <v>44540</v>
      </c>
      <c r="F27" t="s">
        <v>85</v>
      </c>
      <c r="G27" t="s">
        <v>37</v>
      </c>
      <c r="H27" t="s">
        <v>78</v>
      </c>
      <c r="I27" t="s">
        <v>455</v>
      </c>
      <c r="J27" t="s">
        <v>41</v>
      </c>
      <c r="K27" s="9">
        <v>1.5979166666666667</v>
      </c>
      <c r="L27">
        <v>12</v>
      </c>
      <c r="M27">
        <v>22</v>
      </c>
      <c r="N27">
        <v>0.54500000000000004</v>
      </c>
      <c r="O27">
        <v>1</v>
      </c>
      <c r="P27">
        <v>4</v>
      </c>
      <c r="Q27">
        <v>0.25</v>
      </c>
      <c r="R27">
        <v>11</v>
      </c>
      <c r="S27">
        <v>18</v>
      </c>
      <c r="T27">
        <v>0.61099999999999999</v>
      </c>
      <c r="U27">
        <v>0.56799999999999995</v>
      </c>
      <c r="V27">
        <v>6</v>
      </c>
      <c r="W27">
        <v>7</v>
      </c>
      <c r="X27">
        <v>0.85699999999999998</v>
      </c>
      <c r="Y27">
        <v>0</v>
      </c>
      <c r="Z27">
        <v>5</v>
      </c>
      <c r="AA27">
        <v>5</v>
      </c>
      <c r="AB27">
        <v>6</v>
      </c>
      <c r="AC27">
        <v>1</v>
      </c>
      <c r="AD27">
        <v>3</v>
      </c>
      <c r="AE27">
        <v>5</v>
      </c>
      <c r="AF27">
        <v>4</v>
      </c>
      <c r="AG27">
        <v>31</v>
      </c>
      <c r="AH27">
        <v>22.2</v>
      </c>
      <c r="AI27">
        <v>6</v>
      </c>
    </row>
    <row r="28" spans="1:35" ht="21" x14ac:dyDescent="0.3">
      <c r="A28" t="s">
        <v>546</v>
      </c>
      <c r="B28" s="11">
        <v>25</v>
      </c>
      <c r="C28">
        <v>909</v>
      </c>
      <c r="D28">
        <v>27</v>
      </c>
      <c r="E28" s="4">
        <v>44542</v>
      </c>
      <c r="F28" t="s">
        <v>85</v>
      </c>
      <c r="G28" t="s">
        <v>37</v>
      </c>
      <c r="H28" t="s">
        <v>89</v>
      </c>
      <c r="I28" t="s">
        <v>456</v>
      </c>
      <c r="J28" t="s">
        <v>41</v>
      </c>
      <c r="K28" s="9">
        <v>1.7277777777777779</v>
      </c>
      <c r="L28">
        <v>16</v>
      </c>
      <c r="M28">
        <v>31</v>
      </c>
      <c r="N28">
        <v>0.51600000000000001</v>
      </c>
      <c r="O28">
        <v>5</v>
      </c>
      <c r="P28">
        <v>10</v>
      </c>
      <c r="Q28">
        <v>0.5</v>
      </c>
      <c r="R28">
        <v>11</v>
      </c>
      <c r="S28">
        <v>21</v>
      </c>
      <c r="T28">
        <v>0.52400000000000002</v>
      </c>
      <c r="U28">
        <v>0.59699999999999998</v>
      </c>
      <c r="V28">
        <v>14</v>
      </c>
      <c r="W28">
        <v>15</v>
      </c>
      <c r="X28">
        <v>0.93300000000000005</v>
      </c>
      <c r="Y28">
        <v>0</v>
      </c>
      <c r="Z28">
        <v>7</v>
      </c>
      <c r="AA28">
        <v>7</v>
      </c>
      <c r="AB28">
        <v>9</v>
      </c>
      <c r="AC28">
        <v>1</v>
      </c>
      <c r="AD28">
        <v>2</v>
      </c>
      <c r="AE28">
        <v>5</v>
      </c>
      <c r="AF28">
        <v>5</v>
      </c>
      <c r="AG28">
        <v>51</v>
      </c>
      <c r="AH28">
        <v>39.1</v>
      </c>
      <c r="AI28">
        <v>25</v>
      </c>
    </row>
    <row r="29" spans="1:35" ht="21" x14ac:dyDescent="0.3">
      <c r="A29" t="s">
        <v>546</v>
      </c>
      <c r="B29" s="11">
        <v>26</v>
      </c>
      <c r="C29">
        <v>910</v>
      </c>
      <c r="D29">
        <v>28</v>
      </c>
      <c r="E29" s="4">
        <v>44544</v>
      </c>
      <c r="F29" t="s">
        <v>85</v>
      </c>
      <c r="H29" t="s">
        <v>92</v>
      </c>
      <c r="I29" t="s">
        <v>457</v>
      </c>
      <c r="J29" t="s">
        <v>41</v>
      </c>
      <c r="K29" s="9">
        <v>2.0076388888888888</v>
      </c>
      <c r="L29">
        <v>12</v>
      </c>
      <c r="M29">
        <v>29</v>
      </c>
      <c r="N29">
        <v>0.41399999999999998</v>
      </c>
      <c r="O29">
        <v>2</v>
      </c>
      <c r="P29">
        <v>8</v>
      </c>
      <c r="Q29">
        <v>0.25</v>
      </c>
      <c r="R29">
        <v>10</v>
      </c>
      <c r="S29">
        <v>21</v>
      </c>
      <c r="T29">
        <v>0.47599999999999998</v>
      </c>
      <c r="U29">
        <v>0.44800000000000001</v>
      </c>
      <c r="V29">
        <v>8</v>
      </c>
      <c r="W29">
        <v>8</v>
      </c>
      <c r="X29">
        <v>1</v>
      </c>
      <c r="Y29">
        <v>1</v>
      </c>
      <c r="Z29">
        <v>12</v>
      </c>
      <c r="AA29">
        <v>13</v>
      </c>
      <c r="AB29">
        <v>11</v>
      </c>
      <c r="AC29">
        <v>0</v>
      </c>
      <c r="AD29">
        <v>1</v>
      </c>
      <c r="AE29">
        <v>4</v>
      </c>
      <c r="AF29">
        <v>1</v>
      </c>
      <c r="AG29">
        <v>34</v>
      </c>
      <c r="AH29">
        <v>26.8</v>
      </c>
      <c r="AI29">
        <v>-5</v>
      </c>
    </row>
    <row r="30" spans="1:35" ht="21" x14ac:dyDescent="0.3">
      <c r="A30" t="s">
        <v>546</v>
      </c>
      <c r="B30" s="11">
        <v>27</v>
      </c>
      <c r="C30">
        <v>911</v>
      </c>
      <c r="D30">
        <v>29</v>
      </c>
      <c r="E30" s="4">
        <v>44546</v>
      </c>
      <c r="F30" t="s">
        <v>85</v>
      </c>
      <c r="H30" t="s">
        <v>94</v>
      </c>
      <c r="I30" t="s">
        <v>458</v>
      </c>
      <c r="J30" t="s">
        <v>41</v>
      </c>
      <c r="K30" s="9">
        <v>1.6263888888888889</v>
      </c>
      <c r="L30">
        <v>13</v>
      </c>
      <c r="M30">
        <v>24</v>
      </c>
      <c r="N30">
        <v>0.54200000000000004</v>
      </c>
      <c r="O30">
        <v>2</v>
      </c>
      <c r="P30">
        <v>3</v>
      </c>
      <c r="Q30">
        <v>0.66700000000000004</v>
      </c>
      <c r="R30">
        <v>11</v>
      </c>
      <c r="S30">
        <v>21</v>
      </c>
      <c r="T30">
        <v>0.52400000000000002</v>
      </c>
      <c r="U30">
        <v>0.58299999999999996</v>
      </c>
      <c r="V30">
        <v>6</v>
      </c>
      <c r="W30">
        <v>6</v>
      </c>
      <c r="X30">
        <v>1</v>
      </c>
      <c r="Y30">
        <v>1</v>
      </c>
      <c r="Z30">
        <v>10</v>
      </c>
      <c r="AA30">
        <v>11</v>
      </c>
      <c r="AB30">
        <v>8</v>
      </c>
      <c r="AC30">
        <v>0</v>
      </c>
      <c r="AD30">
        <v>1</v>
      </c>
      <c r="AE30">
        <v>4</v>
      </c>
      <c r="AF30">
        <v>1</v>
      </c>
      <c r="AG30">
        <v>34</v>
      </c>
      <c r="AH30">
        <v>28</v>
      </c>
      <c r="AI30">
        <v>12</v>
      </c>
    </row>
    <row r="31" spans="1:35" ht="21" x14ac:dyDescent="0.3">
      <c r="A31" t="s">
        <v>546</v>
      </c>
      <c r="B31" s="11">
        <v>27</v>
      </c>
      <c r="D31">
        <v>30</v>
      </c>
      <c r="E31" s="4">
        <v>44548</v>
      </c>
      <c r="F31" t="s">
        <v>85</v>
      </c>
      <c r="H31" t="s">
        <v>104</v>
      </c>
      <c r="I31" t="s">
        <v>459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  <c r="O31" t="s">
        <v>91</v>
      </c>
      <c r="P31" t="s">
        <v>91</v>
      </c>
      <c r="Q31" t="s">
        <v>91</v>
      </c>
      <c r="R31" t="s">
        <v>91</v>
      </c>
      <c r="S31" t="s">
        <v>91</v>
      </c>
      <c r="T31" t="s">
        <v>91</v>
      </c>
      <c r="U31" t="s">
        <v>91</v>
      </c>
      <c r="V31" t="s">
        <v>91</v>
      </c>
      <c r="W31" t="s">
        <v>91</v>
      </c>
      <c r="X31" t="s">
        <v>91</v>
      </c>
      <c r="Y31" t="s">
        <v>91</v>
      </c>
      <c r="Z31" t="s">
        <v>91</v>
      </c>
      <c r="AA31" t="s">
        <v>91</v>
      </c>
      <c r="AB31" t="s">
        <v>91</v>
      </c>
      <c r="AC31" t="s">
        <v>91</v>
      </c>
      <c r="AD31" t="s">
        <v>91</v>
      </c>
      <c r="AE31" t="s">
        <v>91</v>
      </c>
      <c r="AF31" t="s">
        <v>91</v>
      </c>
      <c r="AG31" t="s">
        <v>91</v>
      </c>
      <c r="AH31" t="s">
        <v>91</v>
      </c>
      <c r="AI31" t="s">
        <v>91</v>
      </c>
    </row>
    <row r="32" spans="1:35" ht="21" x14ac:dyDescent="0.3">
      <c r="A32" t="s">
        <v>546</v>
      </c>
      <c r="B32" s="11">
        <v>27</v>
      </c>
      <c r="D32">
        <v>31</v>
      </c>
      <c r="E32" s="4">
        <v>44555</v>
      </c>
      <c r="F32" t="s">
        <v>85</v>
      </c>
      <c r="G32" t="s">
        <v>37</v>
      </c>
      <c r="H32" t="s">
        <v>62</v>
      </c>
      <c r="I32" t="s">
        <v>460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  <c r="O32" t="s">
        <v>91</v>
      </c>
      <c r="P32" t="s">
        <v>91</v>
      </c>
      <c r="Q32" t="s">
        <v>91</v>
      </c>
      <c r="R32" t="s">
        <v>91</v>
      </c>
      <c r="S32" t="s">
        <v>91</v>
      </c>
      <c r="T32" t="s">
        <v>91</v>
      </c>
      <c r="U32" t="s">
        <v>91</v>
      </c>
      <c r="V32" t="s">
        <v>91</v>
      </c>
      <c r="W32" t="s">
        <v>91</v>
      </c>
      <c r="X32" t="s">
        <v>91</v>
      </c>
      <c r="Y32" t="s">
        <v>91</v>
      </c>
      <c r="Z32" t="s">
        <v>91</v>
      </c>
      <c r="AA32" t="s">
        <v>91</v>
      </c>
      <c r="AB32" t="s">
        <v>91</v>
      </c>
      <c r="AC32" t="s">
        <v>91</v>
      </c>
      <c r="AD32" t="s">
        <v>91</v>
      </c>
      <c r="AE32" t="s">
        <v>91</v>
      </c>
      <c r="AF32" t="s">
        <v>91</v>
      </c>
      <c r="AG32" t="s">
        <v>91</v>
      </c>
      <c r="AH32" t="s">
        <v>91</v>
      </c>
      <c r="AI32" t="s">
        <v>91</v>
      </c>
    </row>
    <row r="33" spans="1:35" ht="21" x14ac:dyDescent="0.3">
      <c r="A33" t="s">
        <v>546</v>
      </c>
      <c r="B33" s="11">
        <v>27</v>
      </c>
      <c r="D33">
        <v>32</v>
      </c>
      <c r="E33" s="4">
        <v>44557</v>
      </c>
      <c r="F33" t="s">
        <v>85</v>
      </c>
      <c r="G33" t="s">
        <v>37</v>
      </c>
      <c r="H33" t="s">
        <v>64</v>
      </c>
      <c r="I33" t="s">
        <v>461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91</v>
      </c>
      <c r="Q33" t="s">
        <v>91</v>
      </c>
      <c r="R33" t="s">
        <v>91</v>
      </c>
      <c r="S33" t="s">
        <v>91</v>
      </c>
      <c r="T33" t="s">
        <v>91</v>
      </c>
      <c r="U33" t="s">
        <v>91</v>
      </c>
      <c r="V33" t="s">
        <v>91</v>
      </c>
      <c r="W33" t="s">
        <v>91</v>
      </c>
      <c r="X33" t="s">
        <v>91</v>
      </c>
      <c r="Y33" t="s">
        <v>91</v>
      </c>
      <c r="Z33" t="s">
        <v>91</v>
      </c>
      <c r="AA33" t="s">
        <v>91</v>
      </c>
      <c r="AB33" t="s">
        <v>91</v>
      </c>
      <c r="AC33" t="s">
        <v>91</v>
      </c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 t="s">
        <v>91</v>
      </c>
    </row>
    <row r="34" spans="1:35" ht="21" x14ac:dyDescent="0.3">
      <c r="A34" t="s">
        <v>546</v>
      </c>
      <c r="B34" s="11">
        <v>28</v>
      </c>
      <c r="C34">
        <v>912</v>
      </c>
      <c r="D34">
        <v>33</v>
      </c>
      <c r="E34" s="4">
        <v>44560</v>
      </c>
      <c r="F34" t="s">
        <v>85</v>
      </c>
      <c r="H34" t="s">
        <v>94</v>
      </c>
      <c r="I34" t="s">
        <v>406</v>
      </c>
      <c r="J34" t="s">
        <v>41</v>
      </c>
      <c r="K34" s="9">
        <v>1.58125</v>
      </c>
      <c r="L34">
        <v>13</v>
      </c>
      <c r="M34">
        <v>24</v>
      </c>
      <c r="N34">
        <v>0.54200000000000004</v>
      </c>
      <c r="O34">
        <v>3</v>
      </c>
      <c r="P34">
        <v>8</v>
      </c>
      <c r="Q34">
        <v>0.375</v>
      </c>
      <c r="R34">
        <v>10</v>
      </c>
      <c r="S34">
        <v>16</v>
      </c>
      <c r="T34">
        <v>0.625</v>
      </c>
      <c r="U34">
        <v>0.60399999999999998</v>
      </c>
      <c r="V34">
        <v>4</v>
      </c>
      <c r="W34">
        <v>6</v>
      </c>
      <c r="X34">
        <v>0.66700000000000004</v>
      </c>
      <c r="Y34">
        <v>0</v>
      </c>
      <c r="Z34">
        <v>6</v>
      </c>
      <c r="AA34">
        <v>6</v>
      </c>
      <c r="AB34">
        <v>4</v>
      </c>
      <c r="AC34">
        <v>0</v>
      </c>
      <c r="AD34">
        <v>1</v>
      </c>
      <c r="AE34">
        <v>4</v>
      </c>
      <c r="AF34">
        <v>2</v>
      </c>
      <c r="AG34">
        <v>33</v>
      </c>
      <c r="AH34">
        <v>21.1</v>
      </c>
      <c r="AI34">
        <v>-9</v>
      </c>
    </row>
    <row r="35" spans="1:35" ht="21" x14ac:dyDescent="0.3">
      <c r="A35" t="s">
        <v>546</v>
      </c>
      <c r="B35" s="11">
        <v>29</v>
      </c>
      <c r="C35">
        <v>913</v>
      </c>
      <c r="D35">
        <v>34</v>
      </c>
      <c r="E35" s="4">
        <v>44562</v>
      </c>
      <c r="F35" t="s">
        <v>85</v>
      </c>
      <c r="H35" t="s">
        <v>64</v>
      </c>
      <c r="I35" t="s">
        <v>462</v>
      </c>
      <c r="J35" t="s">
        <v>41</v>
      </c>
      <c r="K35" s="9">
        <v>1.6222222222222222</v>
      </c>
      <c r="L35">
        <v>11</v>
      </c>
      <c r="M35">
        <v>24</v>
      </c>
      <c r="N35">
        <v>0.45800000000000002</v>
      </c>
      <c r="O35">
        <v>2</v>
      </c>
      <c r="P35">
        <v>6</v>
      </c>
      <c r="Q35">
        <v>0.33300000000000002</v>
      </c>
      <c r="R35">
        <v>9</v>
      </c>
      <c r="S35">
        <v>18</v>
      </c>
      <c r="T35">
        <v>0.5</v>
      </c>
      <c r="U35">
        <v>0.5</v>
      </c>
      <c r="V35">
        <v>4</v>
      </c>
      <c r="W35">
        <v>5</v>
      </c>
      <c r="X35">
        <v>0.8</v>
      </c>
      <c r="Y35">
        <v>0</v>
      </c>
      <c r="Z35">
        <v>9</v>
      </c>
      <c r="AA35">
        <v>9</v>
      </c>
      <c r="AB35">
        <v>3</v>
      </c>
      <c r="AC35">
        <v>0</v>
      </c>
      <c r="AD35">
        <v>1</v>
      </c>
      <c r="AE35">
        <v>3</v>
      </c>
      <c r="AF35">
        <v>1</v>
      </c>
      <c r="AG35">
        <v>28</v>
      </c>
      <c r="AH35">
        <v>17.3</v>
      </c>
      <c r="AI35">
        <v>-7</v>
      </c>
    </row>
    <row r="36" spans="1:35" ht="21" x14ac:dyDescent="0.3">
      <c r="A36" t="s">
        <v>546</v>
      </c>
      <c r="B36" s="11">
        <v>30</v>
      </c>
      <c r="C36">
        <v>914</v>
      </c>
      <c r="D36">
        <v>35</v>
      </c>
      <c r="E36" s="4">
        <v>44564</v>
      </c>
      <c r="F36" t="s">
        <v>85</v>
      </c>
      <c r="H36" t="s">
        <v>42</v>
      </c>
      <c r="I36" t="s">
        <v>463</v>
      </c>
      <c r="J36" t="s">
        <v>41</v>
      </c>
      <c r="K36" s="9">
        <v>1.3069444444444445</v>
      </c>
      <c r="L36">
        <v>8</v>
      </c>
      <c r="M36">
        <v>24</v>
      </c>
      <c r="N36">
        <v>0.33300000000000002</v>
      </c>
      <c r="O36">
        <v>2</v>
      </c>
      <c r="P36">
        <v>8</v>
      </c>
      <c r="Q36">
        <v>0.25</v>
      </c>
      <c r="R36">
        <v>6</v>
      </c>
      <c r="S36">
        <v>16</v>
      </c>
      <c r="T36">
        <v>0.375</v>
      </c>
      <c r="U36">
        <v>0.375</v>
      </c>
      <c r="V36">
        <v>8</v>
      </c>
      <c r="W36">
        <v>9</v>
      </c>
      <c r="X36">
        <v>0.88900000000000001</v>
      </c>
      <c r="Y36">
        <v>0</v>
      </c>
      <c r="Z36">
        <v>3</v>
      </c>
      <c r="AA36">
        <v>3</v>
      </c>
      <c r="AB36">
        <v>6</v>
      </c>
      <c r="AC36">
        <v>3</v>
      </c>
      <c r="AD36">
        <v>3</v>
      </c>
      <c r="AE36">
        <v>2</v>
      </c>
      <c r="AF36">
        <v>1</v>
      </c>
      <c r="AG36">
        <v>26</v>
      </c>
      <c r="AH36">
        <v>19.8</v>
      </c>
      <c r="AI36">
        <v>-23</v>
      </c>
    </row>
    <row r="37" spans="1:35" ht="21" x14ac:dyDescent="0.3">
      <c r="A37" t="s">
        <v>546</v>
      </c>
      <c r="B37" s="11">
        <v>31</v>
      </c>
      <c r="C37">
        <v>915</v>
      </c>
      <c r="D37">
        <v>36</v>
      </c>
      <c r="E37" s="4">
        <v>44566</v>
      </c>
      <c r="F37" t="s">
        <v>85</v>
      </c>
      <c r="G37" t="s">
        <v>37</v>
      </c>
      <c r="H37" t="s">
        <v>108</v>
      </c>
      <c r="I37" t="s">
        <v>464</v>
      </c>
      <c r="J37" t="s">
        <v>41</v>
      </c>
      <c r="K37" s="9">
        <v>1.7229166666666667</v>
      </c>
      <c r="L37">
        <v>15</v>
      </c>
      <c r="M37">
        <v>24</v>
      </c>
      <c r="N37">
        <v>0.625</v>
      </c>
      <c r="O37">
        <v>2</v>
      </c>
      <c r="P37">
        <v>6</v>
      </c>
      <c r="Q37">
        <v>0.33300000000000002</v>
      </c>
      <c r="R37">
        <v>13</v>
      </c>
      <c r="S37">
        <v>18</v>
      </c>
      <c r="T37">
        <v>0.72199999999999998</v>
      </c>
      <c r="U37">
        <v>0.66700000000000004</v>
      </c>
      <c r="V37">
        <v>7</v>
      </c>
      <c r="W37">
        <v>7</v>
      </c>
      <c r="X37">
        <v>1</v>
      </c>
      <c r="Y37">
        <v>1</v>
      </c>
      <c r="Z37">
        <v>7</v>
      </c>
      <c r="AA37">
        <v>8</v>
      </c>
      <c r="AB37">
        <v>7</v>
      </c>
      <c r="AC37">
        <v>1</v>
      </c>
      <c r="AD37">
        <v>0</v>
      </c>
      <c r="AE37">
        <v>3</v>
      </c>
      <c r="AF37">
        <v>3</v>
      </c>
      <c r="AG37">
        <v>39</v>
      </c>
      <c r="AH37">
        <v>32.700000000000003</v>
      </c>
      <c r="AI37">
        <v>13</v>
      </c>
    </row>
    <row r="38" spans="1:35" ht="21" x14ac:dyDescent="0.3">
      <c r="A38" t="s">
        <v>546</v>
      </c>
      <c r="B38" s="11">
        <v>32</v>
      </c>
      <c r="C38">
        <v>916</v>
      </c>
      <c r="D38">
        <v>37</v>
      </c>
      <c r="E38" s="4">
        <v>44568</v>
      </c>
      <c r="F38" t="s">
        <v>85</v>
      </c>
      <c r="H38" t="s">
        <v>126</v>
      </c>
      <c r="I38" t="s">
        <v>465</v>
      </c>
      <c r="J38" t="s">
        <v>41</v>
      </c>
      <c r="K38" s="9">
        <v>1.5395833333333333</v>
      </c>
      <c r="L38">
        <v>10</v>
      </c>
      <c r="M38">
        <v>19</v>
      </c>
      <c r="N38">
        <v>0.52600000000000002</v>
      </c>
      <c r="O38">
        <v>1</v>
      </c>
      <c r="P38">
        <v>3</v>
      </c>
      <c r="Q38">
        <v>0.33300000000000002</v>
      </c>
      <c r="R38">
        <v>9</v>
      </c>
      <c r="S38">
        <v>16</v>
      </c>
      <c r="T38">
        <v>0.56299999999999994</v>
      </c>
      <c r="U38">
        <v>0.55300000000000005</v>
      </c>
      <c r="V38">
        <v>8</v>
      </c>
      <c r="W38">
        <v>8</v>
      </c>
      <c r="X38">
        <v>1</v>
      </c>
      <c r="Y38">
        <v>2</v>
      </c>
      <c r="Z38">
        <v>7</v>
      </c>
      <c r="AA38">
        <v>9</v>
      </c>
      <c r="AB38">
        <v>7</v>
      </c>
      <c r="AC38">
        <v>1</v>
      </c>
      <c r="AD38">
        <v>1</v>
      </c>
      <c r="AE38">
        <v>2</v>
      </c>
      <c r="AF38">
        <v>4</v>
      </c>
      <c r="AG38">
        <v>29</v>
      </c>
      <c r="AH38">
        <v>26.2</v>
      </c>
      <c r="AI38">
        <v>-19</v>
      </c>
    </row>
    <row r="39" spans="1:35" ht="21" x14ac:dyDescent="0.3">
      <c r="A39" t="s">
        <v>546</v>
      </c>
      <c r="B39" s="11">
        <v>33</v>
      </c>
      <c r="C39">
        <v>917</v>
      </c>
      <c r="D39">
        <v>38</v>
      </c>
      <c r="E39" s="4">
        <v>44570</v>
      </c>
      <c r="F39" t="s">
        <v>85</v>
      </c>
      <c r="H39" t="s">
        <v>102</v>
      </c>
      <c r="I39" t="s">
        <v>466</v>
      </c>
      <c r="J39" t="s">
        <v>41</v>
      </c>
      <c r="K39" s="9">
        <v>1.8</v>
      </c>
      <c r="L39">
        <v>11</v>
      </c>
      <c r="M39">
        <v>21</v>
      </c>
      <c r="N39">
        <v>0.52400000000000002</v>
      </c>
      <c r="O39">
        <v>1</v>
      </c>
      <c r="P39">
        <v>5</v>
      </c>
      <c r="Q39">
        <v>0.2</v>
      </c>
      <c r="R39">
        <v>10</v>
      </c>
      <c r="S39">
        <v>16</v>
      </c>
      <c r="T39">
        <v>0.625</v>
      </c>
      <c r="U39">
        <v>0.54800000000000004</v>
      </c>
      <c r="V39">
        <v>5</v>
      </c>
      <c r="W39">
        <v>5</v>
      </c>
      <c r="X39">
        <v>1</v>
      </c>
      <c r="Y39">
        <v>2</v>
      </c>
      <c r="Z39">
        <v>2</v>
      </c>
      <c r="AA39">
        <v>4</v>
      </c>
      <c r="AB39">
        <v>6</v>
      </c>
      <c r="AC39">
        <v>1</v>
      </c>
      <c r="AD39">
        <v>3</v>
      </c>
      <c r="AE39">
        <v>3</v>
      </c>
      <c r="AF39">
        <v>4</v>
      </c>
      <c r="AG39">
        <v>28</v>
      </c>
      <c r="AH39">
        <v>22.4</v>
      </c>
      <c r="AI39">
        <v>4</v>
      </c>
    </row>
    <row r="40" spans="1:35" ht="21" x14ac:dyDescent="0.3">
      <c r="A40" t="s">
        <v>546</v>
      </c>
      <c r="B40" s="11">
        <v>34</v>
      </c>
      <c r="C40">
        <v>918</v>
      </c>
      <c r="D40">
        <v>39</v>
      </c>
      <c r="E40" s="4">
        <v>44571</v>
      </c>
      <c r="F40" t="s">
        <v>85</v>
      </c>
      <c r="G40" t="s">
        <v>37</v>
      </c>
      <c r="H40" t="s">
        <v>96</v>
      </c>
      <c r="I40" t="s">
        <v>467</v>
      </c>
      <c r="J40" t="s">
        <v>41</v>
      </c>
      <c r="K40" s="9">
        <v>1.7319444444444445</v>
      </c>
      <c r="L40">
        <v>9</v>
      </c>
      <c r="M40">
        <v>19</v>
      </c>
      <c r="N40">
        <v>0.47399999999999998</v>
      </c>
      <c r="O40">
        <v>2</v>
      </c>
      <c r="P40">
        <v>7</v>
      </c>
      <c r="Q40">
        <v>0.28599999999999998</v>
      </c>
      <c r="R40">
        <v>7</v>
      </c>
      <c r="S40">
        <v>12</v>
      </c>
      <c r="T40">
        <v>0.58299999999999996</v>
      </c>
      <c r="U40">
        <v>0.52600000000000002</v>
      </c>
      <c r="V40">
        <v>8</v>
      </c>
      <c r="W40">
        <v>8</v>
      </c>
      <c r="X40">
        <v>1</v>
      </c>
      <c r="Y40">
        <v>1</v>
      </c>
      <c r="Z40">
        <v>9</v>
      </c>
      <c r="AA40">
        <v>10</v>
      </c>
      <c r="AB40">
        <v>5</v>
      </c>
      <c r="AC40">
        <v>2</v>
      </c>
      <c r="AD40">
        <v>1</v>
      </c>
      <c r="AE40">
        <v>1</v>
      </c>
      <c r="AF40">
        <v>2</v>
      </c>
      <c r="AG40">
        <v>28</v>
      </c>
      <c r="AH40">
        <v>26.1</v>
      </c>
      <c r="AI40">
        <v>-15</v>
      </c>
    </row>
    <row r="41" spans="1:35" ht="21" x14ac:dyDescent="0.3">
      <c r="A41" t="s">
        <v>546</v>
      </c>
      <c r="B41" s="11">
        <v>35</v>
      </c>
      <c r="C41">
        <v>919</v>
      </c>
      <c r="D41">
        <v>40</v>
      </c>
      <c r="E41" s="4">
        <v>44573</v>
      </c>
      <c r="F41" t="s">
        <v>85</v>
      </c>
      <c r="G41" t="s">
        <v>37</v>
      </c>
      <c r="H41" t="s">
        <v>82</v>
      </c>
      <c r="I41" t="s">
        <v>468</v>
      </c>
      <c r="J41" t="s">
        <v>41</v>
      </c>
      <c r="K41" s="9">
        <v>1.2513888888888889</v>
      </c>
      <c r="L41">
        <v>7</v>
      </c>
      <c r="M41">
        <v>10</v>
      </c>
      <c r="N41">
        <v>0.7</v>
      </c>
      <c r="O41">
        <v>3</v>
      </c>
      <c r="P41">
        <v>4</v>
      </c>
      <c r="Q41">
        <v>0.75</v>
      </c>
      <c r="R41">
        <v>4</v>
      </c>
      <c r="S41">
        <v>6</v>
      </c>
      <c r="T41">
        <v>0.66700000000000004</v>
      </c>
      <c r="U41">
        <v>0.85</v>
      </c>
      <c r="V41">
        <v>10</v>
      </c>
      <c r="W41">
        <v>11</v>
      </c>
      <c r="X41">
        <v>0.90900000000000003</v>
      </c>
      <c r="Y41">
        <v>0</v>
      </c>
      <c r="Z41">
        <v>2</v>
      </c>
      <c r="AA41">
        <v>2</v>
      </c>
      <c r="AB41">
        <v>9</v>
      </c>
      <c r="AC41">
        <v>2</v>
      </c>
      <c r="AD41">
        <v>0</v>
      </c>
      <c r="AE41">
        <v>1</v>
      </c>
      <c r="AF41">
        <v>2</v>
      </c>
      <c r="AG41">
        <v>27</v>
      </c>
      <c r="AH41">
        <v>29.5</v>
      </c>
      <c r="AI41">
        <v>23</v>
      </c>
    </row>
    <row r="42" spans="1:35" ht="21" x14ac:dyDescent="0.3">
      <c r="A42" t="s">
        <v>546</v>
      </c>
      <c r="B42" s="11">
        <v>35</v>
      </c>
      <c r="D42">
        <v>41</v>
      </c>
      <c r="E42" s="4">
        <v>44574</v>
      </c>
      <c r="F42" t="s">
        <v>85</v>
      </c>
      <c r="H42" t="s">
        <v>68</v>
      </c>
      <c r="I42" t="s">
        <v>469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  <c r="O42" t="s">
        <v>91</v>
      </c>
      <c r="P42" t="s">
        <v>91</v>
      </c>
      <c r="Q42" t="s">
        <v>91</v>
      </c>
      <c r="R42" t="s">
        <v>91</v>
      </c>
      <c r="S42" t="s">
        <v>91</v>
      </c>
      <c r="T42" t="s">
        <v>91</v>
      </c>
      <c r="U42" t="s">
        <v>91</v>
      </c>
      <c r="V42" t="s">
        <v>91</v>
      </c>
      <c r="W42" t="s">
        <v>91</v>
      </c>
      <c r="X42" t="s">
        <v>91</v>
      </c>
      <c r="Y42" t="s">
        <v>91</v>
      </c>
      <c r="Z42" t="s">
        <v>91</v>
      </c>
      <c r="AA42" t="s">
        <v>91</v>
      </c>
      <c r="AB42" t="s">
        <v>91</v>
      </c>
      <c r="AC42" t="s">
        <v>91</v>
      </c>
      <c r="AD42" t="s">
        <v>91</v>
      </c>
      <c r="AE42" t="s">
        <v>91</v>
      </c>
      <c r="AF42" t="s">
        <v>91</v>
      </c>
      <c r="AG42" t="s">
        <v>91</v>
      </c>
      <c r="AH42" t="s">
        <v>91</v>
      </c>
      <c r="AI42" t="s">
        <v>91</v>
      </c>
    </row>
    <row r="43" spans="1:35" ht="21" x14ac:dyDescent="0.3">
      <c r="A43" t="s">
        <v>546</v>
      </c>
      <c r="B43" s="11">
        <v>36</v>
      </c>
      <c r="C43">
        <v>920</v>
      </c>
      <c r="D43">
        <v>42</v>
      </c>
      <c r="E43" s="4">
        <v>44576</v>
      </c>
      <c r="F43" t="s">
        <v>85</v>
      </c>
      <c r="H43" t="s">
        <v>74</v>
      </c>
      <c r="I43" t="s">
        <v>470</v>
      </c>
      <c r="J43" t="s">
        <v>41</v>
      </c>
      <c r="K43" s="7">
        <v>0.51527777777777772</v>
      </c>
      <c r="L43">
        <v>4</v>
      </c>
      <c r="M43">
        <v>8</v>
      </c>
      <c r="N43">
        <v>0.5</v>
      </c>
      <c r="O43">
        <v>1</v>
      </c>
      <c r="P43">
        <v>2</v>
      </c>
      <c r="Q43">
        <v>0.5</v>
      </c>
      <c r="R43">
        <v>3</v>
      </c>
      <c r="S43">
        <v>6</v>
      </c>
      <c r="T43">
        <v>0.5</v>
      </c>
      <c r="U43">
        <v>0.56299999999999994</v>
      </c>
      <c r="V43">
        <v>3</v>
      </c>
      <c r="W43">
        <v>3</v>
      </c>
      <c r="X43">
        <v>1</v>
      </c>
      <c r="Y43">
        <v>0</v>
      </c>
      <c r="Z43">
        <v>3</v>
      </c>
      <c r="AA43">
        <v>3</v>
      </c>
      <c r="AB43">
        <v>2</v>
      </c>
      <c r="AC43">
        <v>1</v>
      </c>
      <c r="AD43">
        <v>1</v>
      </c>
      <c r="AE43">
        <v>1</v>
      </c>
      <c r="AF43">
        <v>1</v>
      </c>
      <c r="AG43">
        <v>12</v>
      </c>
      <c r="AH43">
        <v>10.6</v>
      </c>
      <c r="AI43">
        <v>10</v>
      </c>
    </row>
    <row r="44" spans="1:35" ht="21" x14ac:dyDescent="0.3">
      <c r="A44" t="s">
        <v>546</v>
      </c>
      <c r="B44" s="11">
        <v>36</v>
      </c>
      <c r="D44">
        <v>43</v>
      </c>
      <c r="E44" s="4">
        <v>44578</v>
      </c>
      <c r="F44" t="s">
        <v>85</v>
      </c>
      <c r="G44" t="s">
        <v>37</v>
      </c>
      <c r="H44" t="s">
        <v>87</v>
      </c>
      <c r="I44" t="s">
        <v>471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  <c r="O44" t="s">
        <v>91</v>
      </c>
      <c r="P44" t="s">
        <v>91</v>
      </c>
      <c r="Q44" t="s">
        <v>91</v>
      </c>
      <c r="R44" t="s">
        <v>91</v>
      </c>
      <c r="S44" t="s">
        <v>91</v>
      </c>
      <c r="T44" t="s">
        <v>91</v>
      </c>
      <c r="U44" t="s">
        <v>91</v>
      </c>
      <c r="V44" t="s">
        <v>91</v>
      </c>
      <c r="W44" t="s">
        <v>91</v>
      </c>
      <c r="X44" t="s">
        <v>91</v>
      </c>
      <c r="Y44" t="s">
        <v>91</v>
      </c>
      <c r="Z44" t="s">
        <v>91</v>
      </c>
      <c r="AA44" t="s">
        <v>91</v>
      </c>
      <c r="AB44" t="s">
        <v>91</v>
      </c>
      <c r="AC44" t="s">
        <v>91</v>
      </c>
      <c r="AD44" t="s">
        <v>91</v>
      </c>
      <c r="AE44" t="s">
        <v>91</v>
      </c>
      <c r="AF44" t="s">
        <v>91</v>
      </c>
      <c r="AG44" t="s">
        <v>91</v>
      </c>
      <c r="AH44" t="s">
        <v>91</v>
      </c>
      <c r="AI44" t="s">
        <v>91</v>
      </c>
    </row>
    <row r="45" spans="1:35" ht="21" x14ac:dyDescent="0.3">
      <c r="A45" t="s">
        <v>546</v>
      </c>
      <c r="B45" s="11">
        <v>36</v>
      </c>
      <c r="D45">
        <v>44</v>
      </c>
      <c r="E45" s="4">
        <v>44580</v>
      </c>
      <c r="F45" t="s">
        <v>85</v>
      </c>
      <c r="G45" t="s">
        <v>37</v>
      </c>
      <c r="H45" t="s">
        <v>155</v>
      </c>
      <c r="I45" t="s">
        <v>472</v>
      </c>
      <c r="J45" t="s">
        <v>91</v>
      </c>
      <c r="K45" t="s">
        <v>91</v>
      </c>
      <c r="L45" t="s">
        <v>91</v>
      </c>
      <c r="M45" t="s">
        <v>91</v>
      </c>
      <c r="N45" t="s">
        <v>91</v>
      </c>
      <c r="O45" t="s">
        <v>91</v>
      </c>
      <c r="P45" t="s">
        <v>91</v>
      </c>
      <c r="Q45" t="s">
        <v>91</v>
      </c>
      <c r="R45" t="s">
        <v>91</v>
      </c>
      <c r="S45" t="s">
        <v>91</v>
      </c>
      <c r="T45" t="s">
        <v>91</v>
      </c>
      <c r="U45" t="s">
        <v>91</v>
      </c>
      <c r="V45" t="s">
        <v>91</v>
      </c>
      <c r="W45" t="s">
        <v>91</v>
      </c>
      <c r="X45" t="s">
        <v>91</v>
      </c>
      <c r="Y45" t="s">
        <v>91</v>
      </c>
      <c r="Z45" t="s">
        <v>91</v>
      </c>
      <c r="AA45" t="s">
        <v>91</v>
      </c>
      <c r="AB45" t="s">
        <v>91</v>
      </c>
      <c r="AC45" t="s">
        <v>91</v>
      </c>
      <c r="AD45" t="s">
        <v>91</v>
      </c>
      <c r="AE45" t="s">
        <v>91</v>
      </c>
      <c r="AF45" t="s">
        <v>91</v>
      </c>
      <c r="AG45" t="s">
        <v>91</v>
      </c>
      <c r="AH45" t="s">
        <v>91</v>
      </c>
      <c r="AI45" t="s">
        <v>91</v>
      </c>
    </row>
    <row r="46" spans="1:35" ht="21" x14ac:dyDescent="0.3">
      <c r="A46" t="s">
        <v>546</v>
      </c>
      <c r="B46" s="11">
        <v>36</v>
      </c>
      <c r="D46">
        <v>45</v>
      </c>
      <c r="E46" s="4">
        <v>44582</v>
      </c>
      <c r="F46" t="s">
        <v>85</v>
      </c>
      <c r="G46" t="s">
        <v>37</v>
      </c>
      <c r="H46" t="s">
        <v>102</v>
      </c>
      <c r="I46" t="s">
        <v>214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  <c r="O46" t="s">
        <v>91</v>
      </c>
      <c r="P46" t="s">
        <v>91</v>
      </c>
      <c r="Q46" t="s">
        <v>91</v>
      </c>
      <c r="R46" t="s">
        <v>91</v>
      </c>
      <c r="S46" t="s">
        <v>91</v>
      </c>
      <c r="T46" t="s">
        <v>91</v>
      </c>
      <c r="U46" t="s">
        <v>91</v>
      </c>
      <c r="V46" t="s">
        <v>91</v>
      </c>
      <c r="W46" t="s">
        <v>91</v>
      </c>
      <c r="X46" t="s">
        <v>91</v>
      </c>
      <c r="Y46" t="s">
        <v>91</v>
      </c>
      <c r="Z46" t="s">
        <v>91</v>
      </c>
      <c r="AA46" t="s">
        <v>91</v>
      </c>
      <c r="AB46" t="s">
        <v>91</v>
      </c>
      <c r="AC46" t="s">
        <v>91</v>
      </c>
      <c r="AD46" t="s">
        <v>91</v>
      </c>
      <c r="AE46" t="s">
        <v>91</v>
      </c>
      <c r="AF46" t="s">
        <v>91</v>
      </c>
      <c r="AG46" t="s">
        <v>91</v>
      </c>
      <c r="AH46" t="s">
        <v>91</v>
      </c>
      <c r="AI46" t="s">
        <v>91</v>
      </c>
    </row>
    <row r="47" spans="1:35" ht="21" x14ac:dyDescent="0.3">
      <c r="A47" t="s">
        <v>546</v>
      </c>
      <c r="B47" s="11">
        <v>36</v>
      </c>
      <c r="D47">
        <v>46</v>
      </c>
      <c r="E47" s="4">
        <v>44584</v>
      </c>
      <c r="F47" t="s">
        <v>85</v>
      </c>
      <c r="G47" t="s">
        <v>37</v>
      </c>
      <c r="H47" t="s">
        <v>80</v>
      </c>
      <c r="I47" t="s">
        <v>473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  <c r="O47" t="s">
        <v>91</v>
      </c>
      <c r="P47" t="s">
        <v>91</v>
      </c>
      <c r="Q47" t="s">
        <v>91</v>
      </c>
      <c r="R47" t="s">
        <v>91</v>
      </c>
      <c r="S47" t="s">
        <v>91</v>
      </c>
      <c r="T47" t="s">
        <v>91</v>
      </c>
      <c r="U47" t="s">
        <v>91</v>
      </c>
      <c r="V47" t="s">
        <v>91</v>
      </c>
      <c r="W47" t="s">
        <v>91</v>
      </c>
      <c r="X47" t="s">
        <v>91</v>
      </c>
      <c r="Y47" t="s">
        <v>91</v>
      </c>
      <c r="Z47" t="s">
        <v>91</v>
      </c>
      <c r="AA47" t="s">
        <v>91</v>
      </c>
      <c r="AB47" t="s">
        <v>91</v>
      </c>
      <c r="AC47" t="s">
        <v>91</v>
      </c>
      <c r="AD47" t="s">
        <v>91</v>
      </c>
      <c r="AE47" t="s">
        <v>91</v>
      </c>
      <c r="AF47" t="s">
        <v>91</v>
      </c>
      <c r="AG47" t="s">
        <v>91</v>
      </c>
      <c r="AH47" t="s">
        <v>91</v>
      </c>
      <c r="AI47" t="s">
        <v>91</v>
      </c>
    </row>
    <row r="48" spans="1:35" ht="21" x14ac:dyDescent="0.3">
      <c r="A48" t="s">
        <v>546</v>
      </c>
      <c r="B48" s="11">
        <v>36</v>
      </c>
      <c r="D48">
        <v>47</v>
      </c>
      <c r="E48" s="4">
        <v>44586</v>
      </c>
      <c r="F48" t="s">
        <v>85</v>
      </c>
      <c r="H48" t="s">
        <v>62</v>
      </c>
      <c r="I48" t="s">
        <v>474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  <c r="O48" t="s">
        <v>91</v>
      </c>
      <c r="P48" t="s">
        <v>91</v>
      </c>
      <c r="Q48" t="s">
        <v>91</v>
      </c>
      <c r="R48" t="s">
        <v>91</v>
      </c>
      <c r="S48" t="s">
        <v>91</v>
      </c>
      <c r="T48" t="s">
        <v>91</v>
      </c>
      <c r="U48" t="s">
        <v>91</v>
      </c>
      <c r="V48" t="s">
        <v>91</v>
      </c>
      <c r="W48" t="s">
        <v>91</v>
      </c>
      <c r="X48" t="s">
        <v>91</v>
      </c>
      <c r="Y48" t="s">
        <v>91</v>
      </c>
      <c r="Z48" t="s">
        <v>91</v>
      </c>
      <c r="AA48" t="s">
        <v>91</v>
      </c>
      <c r="AB48" t="s">
        <v>91</v>
      </c>
      <c r="AC48" t="s">
        <v>91</v>
      </c>
      <c r="AD48" t="s">
        <v>91</v>
      </c>
      <c r="AE48" t="s">
        <v>91</v>
      </c>
      <c r="AF48" t="s">
        <v>91</v>
      </c>
      <c r="AG48" t="s">
        <v>91</v>
      </c>
      <c r="AH48" t="s">
        <v>91</v>
      </c>
      <c r="AI48" t="s">
        <v>91</v>
      </c>
    </row>
    <row r="49" spans="1:35" ht="21" x14ac:dyDescent="0.3">
      <c r="A49" t="s">
        <v>546</v>
      </c>
      <c r="B49" s="11">
        <v>36</v>
      </c>
      <c r="D49">
        <v>48</v>
      </c>
      <c r="E49" s="4">
        <v>44587</v>
      </c>
      <c r="F49" t="s">
        <v>85</v>
      </c>
      <c r="H49" t="s">
        <v>34</v>
      </c>
      <c r="I49" t="s">
        <v>475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  <c r="O49" t="s">
        <v>91</v>
      </c>
      <c r="P49" t="s">
        <v>91</v>
      </c>
      <c r="Q49" t="s">
        <v>91</v>
      </c>
      <c r="R49" t="s">
        <v>91</v>
      </c>
      <c r="S49" t="s">
        <v>91</v>
      </c>
      <c r="T49" t="s">
        <v>91</v>
      </c>
      <c r="U49" t="s">
        <v>91</v>
      </c>
      <c r="V49" t="s">
        <v>91</v>
      </c>
      <c r="W49" t="s">
        <v>91</v>
      </c>
      <c r="X49" t="s">
        <v>91</v>
      </c>
      <c r="Y49" t="s">
        <v>91</v>
      </c>
      <c r="Z49" t="s">
        <v>91</v>
      </c>
      <c r="AA49" t="s">
        <v>91</v>
      </c>
      <c r="AB49" t="s">
        <v>91</v>
      </c>
      <c r="AC49" t="s">
        <v>91</v>
      </c>
      <c r="AD49" t="s">
        <v>91</v>
      </c>
      <c r="AE49" t="s">
        <v>91</v>
      </c>
      <c r="AF49" t="s">
        <v>91</v>
      </c>
      <c r="AG49" t="s">
        <v>91</v>
      </c>
      <c r="AH49" t="s">
        <v>91</v>
      </c>
      <c r="AI49" t="s">
        <v>91</v>
      </c>
    </row>
    <row r="50" spans="1:35" ht="21" x14ac:dyDescent="0.3">
      <c r="A50" t="s">
        <v>546</v>
      </c>
      <c r="B50" s="11">
        <v>36</v>
      </c>
      <c r="D50">
        <v>49</v>
      </c>
      <c r="E50" s="4">
        <v>44590</v>
      </c>
      <c r="F50" t="s">
        <v>85</v>
      </c>
      <c r="G50" t="s">
        <v>37</v>
      </c>
      <c r="H50" t="s">
        <v>33</v>
      </c>
      <c r="I50" t="s">
        <v>476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  <c r="O50" t="s">
        <v>91</v>
      </c>
      <c r="P50" t="s">
        <v>91</v>
      </c>
      <c r="Q50" t="s">
        <v>91</v>
      </c>
      <c r="R50" t="s">
        <v>91</v>
      </c>
      <c r="S50" t="s">
        <v>91</v>
      </c>
      <c r="T50" t="s">
        <v>91</v>
      </c>
      <c r="U50" t="s">
        <v>91</v>
      </c>
      <c r="V50" t="s">
        <v>91</v>
      </c>
      <c r="W50" t="s">
        <v>91</v>
      </c>
      <c r="X50" t="s">
        <v>91</v>
      </c>
      <c r="Y50" t="s">
        <v>91</v>
      </c>
      <c r="Z50" t="s">
        <v>91</v>
      </c>
      <c r="AA50" t="s">
        <v>91</v>
      </c>
      <c r="AB50" t="s">
        <v>91</v>
      </c>
      <c r="AC50" t="s">
        <v>91</v>
      </c>
      <c r="AD50" t="s">
        <v>91</v>
      </c>
      <c r="AE50" t="s">
        <v>91</v>
      </c>
      <c r="AF50" t="s">
        <v>91</v>
      </c>
      <c r="AG50" t="s">
        <v>91</v>
      </c>
      <c r="AH50" t="s">
        <v>91</v>
      </c>
      <c r="AI50" t="s">
        <v>91</v>
      </c>
    </row>
    <row r="51" spans="1:35" ht="21" x14ac:dyDescent="0.3">
      <c r="A51" t="s">
        <v>546</v>
      </c>
      <c r="B51" s="11">
        <v>36</v>
      </c>
      <c r="D51">
        <v>50</v>
      </c>
      <c r="E51" s="4">
        <v>44593</v>
      </c>
      <c r="F51" t="s">
        <v>85</v>
      </c>
      <c r="G51" t="s">
        <v>37</v>
      </c>
      <c r="H51" t="s">
        <v>99</v>
      </c>
      <c r="I51" t="s">
        <v>477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  <c r="O51" t="s">
        <v>91</v>
      </c>
      <c r="P51" t="s">
        <v>91</v>
      </c>
      <c r="Q51" t="s">
        <v>91</v>
      </c>
      <c r="R51" t="s">
        <v>91</v>
      </c>
      <c r="S51" t="s">
        <v>91</v>
      </c>
      <c r="T51" t="s">
        <v>91</v>
      </c>
      <c r="U51" t="s">
        <v>91</v>
      </c>
      <c r="V51" t="s">
        <v>91</v>
      </c>
      <c r="W51" t="s">
        <v>91</v>
      </c>
      <c r="X51" t="s">
        <v>91</v>
      </c>
      <c r="Y51" t="s">
        <v>91</v>
      </c>
      <c r="Z51" t="s">
        <v>91</v>
      </c>
      <c r="AA51" t="s">
        <v>91</v>
      </c>
      <c r="AB51" t="s">
        <v>91</v>
      </c>
      <c r="AC51" t="s">
        <v>91</v>
      </c>
      <c r="AD51" t="s">
        <v>91</v>
      </c>
      <c r="AE51" t="s">
        <v>91</v>
      </c>
      <c r="AF51" t="s">
        <v>91</v>
      </c>
      <c r="AG51" t="s">
        <v>91</v>
      </c>
      <c r="AH51" t="s">
        <v>91</v>
      </c>
      <c r="AI51" t="s">
        <v>91</v>
      </c>
    </row>
    <row r="52" spans="1:35" ht="21" x14ac:dyDescent="0.3">
      <c r="A52" t="s">
        <v>546</v>
      </c>
      <c r="B52" s="11">
        <v>36</v>
      </c>
      <c r="D52">
        <v>51</v>
      </c>
      <c r="E52" s="4">
        <v>44594</v>
      </c>
      <c r="F52" t="s">
        <v>85</v>
      </c>
      <c r="G52" t="s">
        <v>37</v>
      </c>
      <c r="H52" t="s">
        <v>66</v>
      </c>
      <c r="I52" t="s">
        <v>478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  <c r="O52" t="s">
        <v>91</v>
      </c>
      <c r="P52" t="s">
        <v>91</v>
      </c>
      <c r="Q52" t="s">
        <v>91</v>
      </c>
      <c r="R52" t="s">
        <v>91</v>
      </c>
      <c r="S52" t="s">
        <v>91</v>
      </c>
      <c r="T52" t="s">
        <v>91</v>
      </c>
      <c r="U52" t="s">
        <v>91</v>
      </c>
      <c r="V52" t="s">
        <v>91</v>
      </c>
      <c r="W52" t="s">
        <v>91</v>
      </c>
      <c r="X52" t="s">
        <v>91</v>
      </c>
      <c r="Y52" t="s">
        <v>91</v>
      </c>
      <c r="Z52" t="s">
        <v>91</v>
      </c>
      <c r="AA52" t="s">
        <v>91</v>
      </c>
      <c r="AB52" t="s">
        <v>91</v>
      </c>
      <c r="AC52" t="s">
        <v>91</v>
      </c>
      <c r="AD52" t="s">
        <v>91</v>
      </c>
      <c r="AE52" t="s">
        <v>91</v>
      </c>
      <c r="AF52" t="s">
        <v>91</v>
      </c>
      <c r="AG52" t="s">
        <v>91</v>
      </c>
      <c r="AH52" t="s">
        <v>91</v>
      </c>
      <c r="AI52" t="s">
        <v>91</v>
      </c>
    </row>
    <row r="53" spans="1:35" ht="21" x14ac:dyDescent="0.3">
      <c r="A53" t="s">
        <v>546</v>
      </c>
      <c r="B53" s="11">
        <v>36</v>
      </c>
      <c r="D53">
        <v>52</v>
      </c>
      <c r="E53" s="4">
        <v>44596</v>
      </c>
      <c r="F53" t="s">
        <v>85</v>
      </c>
      <c r="G53" t="s">
        <v>37</v>
      </c>
      <c r="H53" t="s">
        <v>118</v>
      </c>
      <c r="I53" t="s">
        <v>479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  <c r="O53" t="s">
        <v>91</v>
      </c>
      <c r="P53" t="s">
        <v>91</v>
      </c>
      <c r="Q53" t="s">
        <v>91</v>
      </c>
      <c r="R53" t="s">
        <v>91</v>
      </c>
      <c r="S53" t="s">
        <v>91</v>
      </c>
      <c r="T53" t="s">
        <v>91</v>
      </c>
      <c r="U53" t="s">
        <v>91</v>
      </c>
      <c r="V53" t="s">
        <v>91</v>
      </c>
      <c r="W53" t="s">
        <v>91</v>
      </c>
      <c r="X53" t="s">
        <v>91</v>
      </c>
      <c r="Y53" t="s">
        <v>91</v>
      </c>
      <c r="Z53" t="s">
        <v>91</v>
      </c>
      <c r="AA53" t="s">
        <v>91</v>
      </c>
      <c r="AB53" t="s">
        <v>91</v>
      </c>
      <c r="AC53" t="s">
        <v>91</v>
      </c>
      <c r="AD53" t="s">
        <v>91</v>
      </c>
      <c r="AE53" t="s">
        <v>91</v>
      </c>
      <c r="AF53" t="s">
        <v>91</v>
      </c>
      <c r="AG53" t="s">
        <v>91</v>
      </c>
      <c r="AH53" t="s">
        <v>91</v>
      </c>
      <c r="AI53" t="s">
        <v>91</v>
      </c>
    </row>
    <row r="54" spans="1:35" ht="21" x14ac:dyDescent="0.3">
      <c r="A54" t="s">
        <v>546</v>
      </c>
      <c r="B54" s="11">
        <v>36</v>
      </c>
      <c r="D54">
        <v>53</v>
      </c>
      <c r="E54" s="4">
        <v>44598</v>
      </c>
      <c r="F54" t="s">
        <v>85</v>
      </c>
      <c r="G54" t="s">
        <v>37</v>
      </c>
      <c r="H54" t="s">
        <v>34</v>
      </c>
      <c r="I54" t="s">
        <v>256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  <c r="O54" t="s">
        <v>91</v>
      </c>
      <c r="P54" t="s">
        <v>91</v>
      </c>
      <c r="Q54" t="s">
        <v>91</v>
      </c>
      <c r="R54" t="s">
        <v>91</v>
      </c>
      <c r="S54" t="s">
        <v>91</v>
      </c>
      <c r="T54" t="s">
        <v>91</v>
      </c>
      <c r="U54" t="s">
        <v>91</v>
      </c>
      <c r="V54" t="s">
        <v>91</v>
      </c>
      <c r="W54" t="s">
        <v>91</v>
      </c>
      <c r="X54" t="s">
        <v>91</v>
      </c>
      <c r="Y54" t="s">
        <v>91</v>
      </c>
      <c r="Z54" t="s">
        <v>91</v>
      </c>
      <c r="AA54" t="s">
        <v>91</v>
      </c>
      <c r="AB54" t="s">
        <v>91</v>
      </c>
      <c r="AC54" t="s">
        <v>91</v>
      </c>
      <c r="AD54" t="s">
        <v>91</v>
      </c>
      <c r="AE54" t="s">
        <v>91</v>
      </c>
      <c r="AF54" t="s">
        <v>91</v>
      </c>
      <c r="AG54" t="s">
        <v>91</v>
      </c>
      <c r="AH54" t="s">
        <v>91</v>
      </c>
      <c r="AI54" t="s">
        <v>91</v>
      </c>
    </row>
    <row r="55" spans="1:35" ht="21" x14ac:dyDescent="0.3">
      <c r="A55" t="s">
        <v>546</v>
      </c>
      <c r="B55" s="11">
        <v>36</v>
      </c>
      <c r="D55">
        <v>54</v>
      </c>
      <c r="E55" s="4">
        <v>44600</v>
      </c>
      <c r="F55" t="s">
        <v>85</v>
      </c>
      <c r="H55" t="s">
        <v>55</v>
      </c>
      <c r="I55" t="s">
        <v>480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  <c r="O55" t="s">
        <v>91</v>
      </c>
      <c r="P55" t="s">
        <v>91</v>
      </c>
      <c r="Q55" t="s">
        <v>91</v>
      </c>
      <c r="R55" t="s">
        <v>91</v>
      </c>
      <c r="S55" t="s">
        <v>91</v>
      </c>
      <c r="T55" t="s">
        <v>91</v>
      </c>
      <c r="U55" t="s">
        <v>91</v>
      </c>
      <c r="V55" t="s">
        <v>91</v>
      </c>
      <c r="W55" t="s">
        <v>91</v>
      </c>
      <c r="X55" t="s">
        <v>91</v>
      </c>
      <c r="Y55" t="s">
        <v>91</v>
      </c>
      <c r="Z55" t="s">
        <v>91</v>
      </c>
      <c r="AA55" t="s">
        <v>91</v>
      </c>
      <c r="AB55" t="s">
        <v>91</v>
      </c>
      <c r="AC55" t="s">
        <v>91</v>
      </c>
      <c r="AD55" t="s">
        <v>91</v>
      </c>
      <c r="AE55" t="s">
        <v>91</v>
      </c>
      <c r="AF55" t="s">
        <v>91</v>
      </c>
      <c r="AG55" t="s">
        <v>91</v>
      </c>
      <c r="AH55" t="s">
        <v>91</v>
      </c>
      <c r="AI55" t="s">
        <v>91</v>
      </c>
    </row>
    <row r="56" spans="1:35" ht="21" x14ac:dyDescent="0.3">
      <c r="A56" t="s">
        <v>546</v>
      </c>
      <c r="B56" s="11">
        <v>36</v>
      </c>
      <c r="D56">
        <v>55</v>
      </c>
      <c r="E56" s="4">
        <v>44602</v>
      </c>
      <c r="F56" t="s">
        <v>85</v>
      </c>
      <c r="G56" t="s">
        <v>37</v>
      </c>
      <c r="H56" t="s">
        <v>155</v>
      </c>
      <c r="I56" t="s">
        <v>481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  <c r="O56" t="s">
        <v>91</v>
      </c>
      <c r="P56" t="s">
        <v>91</v>
      </c>
      <c r="Q56" t="s">
        <v>91</v>
      </c>
      <c r="R56" t="s">
        <v>91</v>
      </c>
      <c r="S56" t="s">
        <v>91</v>
      </c>
      <c r="T56" t="s">
        <v>91</v>
      </c>
      <c r="U56" t="s">
        <v>91</v>
      </c>
      <c r="V56" t="s">
        <v>91</v>
      </c>
      <c r="W56" t="s">
        <v>91</v>
      </c>
      <c r="X56" t="s">
        <v>91</v>
      </c>
      <c r="Y56" t="s">
        <v>91</v>
      </c>
      <c r="Z56" t="s">
        <v>91</v>
      </c>
      <c r="AA56" t="s">
        <v>91</v>
      </c>
      <c r="AB56" t="s">
        <v>91</v>
      </c>
      <c r="AC56" t="s">
        <v>91</v>
      </c>
      <c r="AD56" t="s">
        <v>91</v>
      </c>
      <c r="AE56" t="s">
        <v>91</v>
      </c>
      <c r="AF56" t="s">
        <v>91</v>
      </c>
      <c r="AG56" t="s">
        <v>91</v>
      </c>
      <c r="AH56" t="s">
        <v>91</v>
      </c>
      <c r="AI56" t="s">
        <v>91</v>
      </c>
    </row>
    <row r="57" spans="1:35" ht="21" x14ac:dyDescent="0.3">
      <c r="A57" t="s">
        <v>546</v>
      </c>
      <c r="B57" s="11">
        <v>36</v>
      </c>
      <c r="D57">
        <v>56</v>
      </c>
      <c r="E57" s="4">
        <v>44604</v>
      </c>
      <c r="F57" t="s">
        <v>85</v>
      </c>
      <c r="G57" t="s">
        <v>37</v>
      </c>
      <c r="H57" t="s">
        <v>120</v>
      </c>
      <c r="I57" t="s">
        <v>518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  <c r="O57" t="s">
        <v>91</v>
      </c>
      <c r="P57" t="s">
        <v>91</v>
      </c>
      <c r="Q57" t="s">
        <v>91</v>
      </c>
      <c r="R57" t="s">
        <v>91</v>
      </c>
      <c r="S57" t="s">
        <v>91</v>
      </c>
      <c r="T57" t="s">
        <v>91</v>
      </c>
      <c r="U57" t="s">
        <v>91</v>
      </c>
      <c r="V57" t="s">
        <v>91</v>
      </c>
      <c r="W57" t="s">
        <v>91</v>
      </c>
      <c r="X57" t="s">
        <v>91</v>
      </c>
      <c r="Y57" t="s">
        <v>91</v>
      </c>
      <c r="Z57" t="s">
        <v>91</v>
      </c>
      <c r="AA57" t="s">
        <v>91</v>
      </c>
      <c r="AB57" t="s">
        <v>91</v>
      </c>
      <c r="AC57" t="s">
        <v>91</v>
      </c>
      <c r="AD57" t="s">
        <v>91</v>
      </c>
      <c r="AE57" t="s">
        <v>91</v>
      </c>
      <c r="AF57" t="s">
        <v>91</v>
      </c>
      <c r="AG57" t="s">
        <v>91</v>
      </c>
      <c r="AH57" t="s">
        <v>91</v>
      </c>
      <c r="AI57" t="s">
        <v>91</v>
      </c>
    </row>
    <row r="58" spans="1:35" ht="21" x14ac:dyDescent="0.3">
      <c r="A58" t="s">
        <v>546</v>
      </c>
      <c r="B58" s="11">
        <v>36</v>
      </c>
      <c r="D58">
        <v>57</v>
      </c>
      <c r="E58" s="4">
        <v>44606</v>
      </c>
      <c r="F58" t="s">
        <v>85</v>
      </c>
      <c r="H58" t="s">
        <v>66</v>
      </c>
      <c r="I58" t="s">
        <v>519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  <c r="O58" t="s">
        <v>91</v>
      </c>
      <c r="P58" t="s">
        <v>91</v>
      </c>
      <c r="Q58" t="s">
        <v>91</v>
      </c>
      <c r="R58" t="s">
        <v>91</v>
      </c>
      <c r="S58" t="s">
        <v>91</v>
      </c>
      <c r="T58" t="s">
        <v>91</v>
      </c>
      <c r="U58" t="s">
        <v>91</v>
      </c>
      <c r="V58" t="s">
        <v>91</v>
      </c>
      <c r="W58" t="s">
        <v>91</v>
      </c>
      <c r="X58" t="s">
        <v>91</v>
      </c>
      <c r="Y58" t="s">
        <v>91</v>
      </c>
      <c r="Z58" t="s">
        <v>91</v>
      </c>
      <c r="AA58" t="s">
        <v>91</v>
      </c>
      <c r="AB58" t="s">
        <v>91</v>
      </c>
      <c r="AC58" t="s">
        <v>91</v>
      </c>
      <c r="AD58" t="s">
        <v>91</v>
      </c>
      <c r="AE58" t="s">
        <v>91</v>
      </c>
      <c r="AF58" t="s">
        <v>91</v>
      </c>
      <c r="AG58" t="s">
        <v>91</v>
      </c>
      <c r="AH58" t="s">
        <v>91</v>
      </c>
      <c r="AI58" t="s">
        <v>91</v>
      </c>
    </row>
    <row r="59" spans="1:35" ht="21" x14ac:dyDescent="0.3">
      <c r="A59" t="s">
        <v>546</v>
      </c>
      <c r="B59" s="11">
        <v>36</v>
      </c>
      <c r="D59">
        <v>58</v>
      </c>
      <c r="E59" s="4">
        <v>44608</v>
      </c>
      <c r="F59" t="s">
        <v>85</v>
      </c>
      <c r="G59" t="s">
        <v>37</v>
      </c>
      <c r="H59" t="s">
        <v>110</v>
      </c>
      <c r="I59" t="s">
        <v>520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  <c r="O59" t="s">
        <v>91</v>
      </c>
      <c r="P59" t="s">
        <v>91</v>
      </c>
      <c r="Q59" t="s">
        <v>91</v>
      </c>
      <c r="R59" t="s">
        <v>91</v>
      </c>
      <c r="S59" t="s">
        <v>91</v>
      </c>
      <c r="T59" t="s">
        <v>91</v>
      </c>
      <c r="U59" t="s">
        <v>91</v>
      </c>
      <c r="V59" t="s">
        <v>91</v>
      </c>
      <c r="W59" t="s">
        <v>91</v>
      </c>
      <c r="X59" t="s">
        <v>91</v>
      </c>
      <c r="Y59" t="s">
        <v>91</v>
      </c>
      <c r="Z59" t="s">
        <v>91</v>
      </c>
      <c r="AA59" t="s">
        <v>91</v>
      </c>
      <c r="AB59" t="s">
        <v>91</v>
      </c>
      <c r="AC59" t="s">
        <v>91</v>
      </c>
      <c r="AD59" t="s">
        <v>91</v>
      </c>
      <c r="AE59" t="s">
        <v>91</v>
      </c>
      <c r="AF59" t="s">
        <v>91</v>
      </c>
      <c r="AG59" t="s">
        <v>91</v>
      </c>
      <c r="AH59" t="s">
        <v>91</v>
      </c>
      <c r="AI59" t="s">
        <v>91</v>
      </c>
    </row>
    <row r="60" spans="1:35" ht="21" x14ac:dyDescent="0.3">
      <c r="A60" t="s">
        <v>546</v>
      </c>
      <c r="B60" s="11">
        <v>36</v>
      </c>
      <c r="D60">
        <v>59</v>
      </c>
      <c r="E60" s="4">
        <v>44609</v>
      </c>
      <c r="F60" t="s">
        <v>85</v>
      </c>
      <c r="H60" t="s">
        <v>155</v>
      </c>
      <c r="I60" t="s">
        <v>521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  <c r="O60" t="s">
        <v>91</v>
      </c>
      <c r="P60" t="s">
        <v>91</v>
      </c>
      <c r="Q60" t="s">
        <v>91</v>
      </c>
      <c r="R60" t="s">
        <v>91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91</v>
      </c>
      <c r="Y60" t="s">
        <v>91</v>
      </c>
      <c r="Z60" t="s">
        <v>91</v>
      </c>
      <c r="AA60" t="s">
        <v>91</v>
      </c>
      <c r="AB60" t="s">
        <v>91</v>
      </c>
      <c r="AC60" t="s">
        <v>91</v>
      </c>
      <c r="AD60" t="s">
        <v>91</v>
      </c>
      <c r="AE60" t="s">
        <v>91</v>
      </c>
      <c r="AF60" t="s">
        <v>91</v>
      </c>
      <c r="AG60" t="s">
        <v>91</v>
      </c>
      <c r="AH60" t="s">
        <v>91</v>
      </c>
      <c r="AI60" t="s">
        <v>91</v>
      </c>
    </row>
    <row r="61" spans="1:35" ht="21" x14ac:dyDescent="0.3">
      <c r="A61" t="s">
        <v>546</v>
      </c>
      <c r="B61" s="11">
        <v>36</v>
      </c>
      <c r="D61">
        <v>60</v>
      </c>
      <c r="E61" s="4">
        <v>44616</v>
      </c>
      <c r="F61" t="s">
        <v>85</v>
      </c>
      <c r="H61" t="s">
        <v>55</v>
      </c>
      <c r="I61" t="s">
        <v>522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  <c r="O61" t="s">
        <v>91</v>
      </c>
      <c r="P61" t="s">
        <v>91</v>
      </c>
      <c r="Q61" t="s">
        <v>91</v>
      </c>
      <c r="R61" t="s">
        <v>91</v>
      </c>
      <c r="S61" t="s">
        <v>91</v>
      </c>
      <c r="T61" t="s">
        <v>91</v>
      </c>
      <c r="U61" t="s">
        <v>91</v>
      </c>
      <c r="V61" t="s">
        <v>91</v>
      </c>
      <c r="W61" t="s">
        <v>91</v>
      </c>
      <c r="X61" t="s">
        <v>91</v>
      </c>
      <c r="Y61" t="s">
        <v>91</v>
      </c>
      <c r="Z61" t="s">
        <v>91</v>
      </c>
      <c r="AA61" t="s">
        <v>91</v>
      </c>
      <c r="AB61" t="s">
        <v>91</v>
      </c>
      <c r="AC61" t="s">
        <v>91</v>
      </c>
      <c r="AD61" t="s">
        <v>91</v>
      </c>
      <c r="AE61" t="s">
        <v>91</v>
      </c>
      <c r="AF61" t="s">
        <v>91</v>
      </c>
      <c r="AG61" t="s">
        <v>91</v>
      </c>
      <c r="AH61" t="s">
        <v>91</v>
      </c>
      <c r="AI61" t="s">
        <v>91</v>
      </c>
    </row>
    <row r="62" spans="1:35" ht="21" x14ac:dyDescent="0.3">
      <c r="A62" t="s">
        <v>546</v>
      </c>
      <c r="B62" s="11">
        <v>36</v>
      </c>
      <c r="D62">
        <v>61</v>
      </c>
      <c r="E62" s="4">
        <v>44618</v>
      </c>
      <c r="F62" t="s">
        <v>85</v>
      </c>
      <c r="G62" t="s">
        <v>37</v>
      </c>
      <c r="H62" t="s">
        <v>126</v>
      </c>
      <c r="I62" t="s">
        <v>523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  <c r="O62" t="s">
        <v>91</v>
      </c>
      <c r="P62" t="s">
        <v>91</v>
      </c>
      <c r="Q62" t="s">
        <v>91</v>
      </c>
      <c r="R62" t="s">
        <v>91</v>
      </c>
      <c r="S62" t="s">
        <v>91</v>
      </c>
      <c r="T62" t="s">
        <v>91</v>
      </c>
      <c r="U62" t="s">
        <v>91</v>
      </c>
      <c r="V62" t="s">
        <v>91</v>
      </c>
      <c r="W62" t="s">
        <v>91</v>
      </c>
      <c r="X62" t="s">
        <v>91</v>
      </c>
      <c r="Y62" t="s">
        <v>91</v>
      </c>
      <c r="Z62" t="s">
        <v>91</v>
      </c>
      <c r="AA62" t="s">
        <v>91</v>
      </c>
      <c r="AB62" t="s">
        <v>91</v>
      </c>
      <c r="AC62" t="s">
        <v>91</v>
      </c>
      <c r="AD62" t="s">
        <v>91</v>
      </c>
      <c r="AE62" t="s">
        <v>91</v>
      </c>
      <c r="AF62" t="s">
        <v>91</v>
      </c>
      <c r="AG62" t="s">
        <v>91</v>
      </c>
      <c r="AH62" t="s">
        <v>91</v>
      </c>
      <c r="AI62" t="s">
        <v>91</v>
      </c>
    </row>
    <row r="63" spans="1:35" ht="21" x14ac:dyDescent="0.3">
      <c r="A63" t="s">
        <v>546</v>
      </c>
      <c r="B63" s="11">
        <v>36</v>
      </c>
      <c r="D63">
        <v>62</v>
      </c>
      <c r="E63" s="4">
        <v>44620</v>
      </c>
      <c r="F63" t="s">
        <v>85</v>
      </c>
      <c r="H63" t="s">
        <v>92</v>
      </c>
      <c r="I63" t="s">
        <v>524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  <c r="O63" t="s">
        <v>91</v>
      </c>
      <c r="P63" t="s">
        <v>91</v>
      </c>
      <c r="Q63" t="s">
        <v>91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t="s">
        <v>91</v>
      </c>
      <c r="X63" t="s">
        <v>91</v>
      </c>
      <c r="Y63" t="s">
        <v>91</v>
      </c>
      <c r="Z63" t="s">
        <v>91</v>
      </c>
      <c r="AA63" t="s">
        <v>91</v>
      </c>
      <c r="AB63" t="s">
        <v>91</v>
      </c>
      <c r="AC63" t="s">
        <v>91</v>
      </c>
      <c r="AD63" t="s">
        <v>91</v>
      </c>
      <c r="AE63" t="s">
        <v>91</v>
      </c>
      <c r="AF63" t="s">
        <v>91</v>
      </c>
      <c r="AG63" t="s">
        <v>91</v>
      </c>
      <c r="AH63" t="s">
        <v>91</v>
      </c>
      <c r="AI63" t="s">
        <v>91</v>
      </c>
    </row>
    <row r="64" spans="1:35" ht="21" x14ac:dyDescent="0.3">
      <c r="A64" t="s">
        <v>546</v>
      </c>
      <c r="B64" s="11">
        <v>36</v>
      </c>
      <c r="D64">
        <v>63</v>
      </c>
      <c r="E64" s="4">
        <v>44621</v>
      </c>
      <c r="F64" t="s">
        <v>85</v>
      </c>
      <c r="G64" t="s">
        <v>37</v>
      </c>
      <c r="H64" t="s">
        <v>92</v>
      </c>
      <c r="I64" t="s">
        <v>525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  <c r="O64" t="s">
        <v>91</v>
      </c>
      <c r="P64" t="s">
        <v>91</v>
      </c>
      <c r="Q64" t="s">
        <v>91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t="s">
        <v>91</v>
      </c>
      <c r="X64" t="s">
        <v>91</v>
      </c>
      <c r="Y64" t="s">
        <v>91</v>
      </c>
      <c r="Z64" t="s">
        <v>91</v>
      </c>
      <c r="AA64" t="s">
        <v>91</v>
      </c>
      <c r="AB64" t="s">
        <v>91</v>
      </c>
      <c r="AC64" t="s">
        <v>91</v>
      </c>
      <c r="AD64" t="s">
        <v>91</v>
      </c>
      <c r="AE64" t="s">
        <v>91</v>
      </c>
      <c r="AF64" t="s">
        <v>91</v>
      </c>
      <c r="AG64" t="s">
        <v>91</v>
      </c>
      <c r="AH64" t="s">
        <v>91</v>
      </c>
      <c r="AI64" t="s">
        <v>91</v>
      </c>
    </row>
    <row r="65" spans="1:35" ht="21" x14ac:dyDescent="0.3">
      <c r="A65" t="s">
        <v>546</v>
      </c>
      <c r="B65" s="11">
        <v>37</v>
      </c>
      <c r="C65">
        <v>921</v>
      </c>
      <c r="D65">
        <v>64</v>
      </c>
      <c r="E65" s="4">
        <v>44623</v>
      </c>
      <c r="F65" t="s">
        <v>85</v>
      </c>
      <c r="H65" t="s">
        <v>120</v>
      </c>
      <c r="I65" t="s">
        <v>236</v>
      </c>
      <c r="J65" t="s">
        <v>41</v>
      </c>
      <c r="K65" s="9">
        <v>1.4694444444444446</v>
      </c>
      <c r="L65">
        <v>10</v>
      </c>
      <c r="M65">
        <v>21</v>
      </c>
      <c r="N65">
        <v>0.47599999999999998</v>
      </c>
      <c r="O65">
        <v>2</v>
      </c>
      <c r="P65">
        <v>7</v>
      </c>
      <c r="Q65">
        <v>0.28599999999999998</v>
      </c>
      <c r="R65">
        <v>8</v>
      </c>
      <c r="S65">
        <v>14</v>
      </c>
      <c r="T65">
        <v>0.57099999999999995</v>
      </c>
      <c r="U65">
        <v>0.52400000000000002</v>
      </c>
      <c r="V65">
        <v>9</v>
      </c>
      <c r="W65">
        <v>9</v>
      </c>
      <c r="X65">
        <v>1</v>
      </c>
      <c r="Y65">
        <v>0</v>
      </c>
      <c r="Z65">
        <v>4</v>
      </c>
      <c r="AA65">
        <v>4</v>
      </c>
      <c r="AB65">
        <v>4</v>
      </c>
      <c r="AC65">
        <v>0</v>
      </c>
      <c r="AD65">
        <v>1</v>
      </c>
      <c r="AE65">
        <v>3</v>
      </c>
      <c r="AF65">
        <v>4</v>
      </c>
      <c r="AG65">
        <v>31</v>
      </c>
      <c r="AH65">
        <v>20.399999999999999</v>
      </c>
      <c r="AI65">
        <v>-4</v>
      </c>
    </row>
    <row r="66" spans="1:35" ht="21" x14ac:dyDescent="0.3">
      <c r="A66" t="s">
        <v>546</v>
      </c>
      <c r="B66" s="11">
        <v>38</v>
      </c>
      <c r="C66">
        <v>922</v>
      </c>
      <c r="D66">
        <v>65</v>
      </c>
      <c r="E66" s="4">
        <v>44626</v>
      </c>
      <c r="F66" t="s">
        <v>85</v>
      </c>
      <c r="G66" t="s">
        <v>37</v>
      </c>
      <c r="H66" t="s">
        <v>55</v>
      </c>
      <c r="I66" t="s">
        <v>526</v>
      </c>
      <c r="J66" t="s">
        <v>41</v>
      </c>
      <c r="K66" s="9">
        <v>1.6208333333333333</v>
      </c>
      <c r="L66">
        <v>12</v>
      </c>
      <c r="M66">
        <v>21</v>
      </c>
      <c r="N66">
        <v>0.57099999999999995</v>
      </c>
      <c r="O66">
        <v>4</v>
      </c>
      <c r="P66">
        <v>9</v>
      </c>
      <c r="Q66">
        <v>0.44400000000000001</v>
      </c>
      <c r="R66">
        <v>8</v>
      </c>
      <c r="S66">
        <v>12</v>
      </c>
      <c r="T66">
        <v>0.66700000000000004</v>
      </c>
      <c r="U66">
        <v>0.66700000000000004</v>
      </c>
      <c r="V66">
        <v>9</v>
      </c>
      <c r="W66">
        <v>10</v>
      </c>
      <c r="X66">
        <v>0.9</v>
      </c>
      <c r="Y66">
        <v>1</v>
      </c>
      <c r="Z66">
        <v>5</v>
      </c>
      <c r="AA66">
        <v>6</v>
      </c>
      <c r="AB66">
        <v>8</v>
      </c>
      <c r="AC66">
        <v>1</v>
      </c>
      <c r="AD66">
        <v>2</v>
      </c>
      <c r="AE66">
        <v>7</v>
      </c>
      <c r="AF66">
        <v>2</v>
      </c>
      <c r="AG66">
        <v>37</v>
      </c>
      <c r="AH66">
        <v>29.1</v>
      </c>
      <c r="AI66">
        <v>-3</v>
      </c>
    </row>
    <row r="67" spans="1:35" ht="21" x14ac:dyDescent="0.3">
      <c r="A67" t="s">
        <v>546</v>
      </c>
      <c r="B67" s="11">
        <v>39</v>
      </c>
      <c r="C67">
        <v>923</v>
      </c>
      <c r="D67">
        <v>66</v>
      </c>
      <c r="E67" s="4">
        <v>44628</v>
      </c>
      <c r="F67" t="s">
        <v>85</v>
      </c>
      <c r="G67" t="s">
        <v>37</v>
      </c>
      <c r="H67" t="s">
        <v>72</v>
      </c>
      <c r="I67" t="s">
        <v>527</v>
      </c>
      <c r="J67" t="s">
        <v>41</v>
      </c>
      <c r="K67" s="9">
        <v>1.6493055555555556</v>
      </c>
      <c r="L67">
        <v>6</v>
      </c>
      <c r="M67">
        <v>13</v>
      </c>
      <c r="N67">
        <v>0.46200000000000002</v>
      </c>
      <c r="O67">
        <v>1</v>
      </c>
      <c r="P67">
        <v>3</v>
      </c>
      <c r="Q67">
        <v>0.33300000000000002</v>
      </c>
      <c r="R67">
        <v>5</v>
      </c>
      <c r="S67">
        <v>10</v>
      </c>
      <c r="T67">
        <v>0.5</v>
      </c>
      <c r="U67">
        <v>0.5</v>
      </c>
      <c r="V67">
        <v>1</v>
      </c>
      <c r="W67">
        <v>1</v>
      </c>
      <c r="X67">
        <v>1</v>
      </c>
      <c r="Y67">
        <v>0</v>
      </c>
      <c r="Z67">
        <v>3</v>
      </c>
      <c r="AA67">
        <v>3</v>
      </c>
      <c r="AB67">
        <v>7</v>
      </c>
      <c r="AC67">
        <v>0</v>
      </c>
      <c r="AD67">
        <v>0</v>
      </c>
      <c r="AE67">
        <v>5</v>
      </c>
      <c r="AF67">
        <v>4</v>
      </c>
      <c r="AG67">
        <v>14</v>
      </c>
      <c r="AH67">
        <v>6.5</v>
      </c>
      <c r="AI67">
        <v>8</v>
      </c>
    </row>
    <row r="68" spans="1:35" ht="21" x14ac:dyDescent="0.3">
      <c r="A68" t="s">
        <v>546</v>
      </c>
      <c r="B68" s="11">
        <v>40</v>
      </c>
      <c r="C68">
        <v>924</v>
      </c>
      <c r="D68">
        <v>67</v>
      </c>
      <c r="E68" s="4">
        <v>44630</v>
      </c>
      <c r="F68" t="s">
        <v>85</v>
      </c>
      <c r="G68" t="s">
        <v>37</v>
      </c>
      <c r="H68" t="s">
        <v>94</v>
      </c>
      <c r="I68" t="s">
        <v>528</v>
      </c>
      <c r="J68" t="s">
        <v>41</v>
      </c>
      <c r="K68" s="9">
        <v>1.3430555555555554</v>
      </c>
      <c r="L68">
        <v>10</v>
      </c>
      <c r="M68">
        <v>17</v>
      </c>
      <c r="N68">
        <v>0.58799999999999997</v>
      </c>
      <c r="O68">
        <v>3</v>
      </c>
      <c r="P68">
        <v>6</v>
      </c>
      <c r="Q68">
        <v>0.5</v>
      </c>
      <c r="R68">
        <v>7</v>
      </c>
      <c r="S68">
        <v>11</v>
      </c>
      <c r="T68">
        <v>0.63600000000000001</v>
      </c>
      <c r="U68">
        <v>0.67600000000000005</v>
      </c>
      <c r="V68">
        <v>2</v>
      </c>
      <c r="W68">
        <v>3</v>
      </c>
      <c r="X68">
        <v>0.66700000000000004</v>
      </c>
      <c r="Y68">
        <v>1</v>
      </c>
      <c r="Z68">
        <v>13</v>
      </c>
      <c r="AA68">
        <v>14</v>
      </c>
      <c r="AB68">
        <v>7</v>
      </c>
      <c r="AC68">
        <v>2</v>
      </c>
      <c r="AD68">
        <v>1</v>
      </c>
      <c r="AE68">
        <v>5</v>
      </c>
      <c r="AF68">
        <v>3</v>
      </c>
      <c r="AG68">
        <v>25</v>
      </c>
      <c r="AH68">
        <v>22.7</v>
      </c>
      <c r="AI68">
        <v>34</v>
      </c>
    </row>
    <row r="69" spans="1:35" ht="21" x14ac:dyDescent="0.3">
      <c r="A69" t="s">
        <v>546</v>
      </c>
      <c r="B69" s="11">
        <v>41</v>
      </c>
      <c r="C69">
        <v>925</v>
      </c>
      <c r="D69">
        <v>68</v>
      </c>
      <c r="E69" s="4">
        <v>44633</v>
      </c>
      <c r="F69" t="s">
        <v>85</v>
      </c>
      <c r="H69" t="s">
        <v>110</v>
      </c>
      <c r="I69" t="s">
        <v>529</v>
      </c>
      <c r="J69" t="s">
        <v>41</v>
      </c>
      <c r="K69" s="9">
        <v>1.7881944444444444</v>
      </c>
      <c r="L69">
        <v>19</v>
      </c>
      <c r="M69">
        <v>37</v>
      </c>
      <c r="N69">
        <v>0.51400000000000001</v>
      </c>
      <c r="O69">
        <v>4</v>
      </c>
      <c r="P69">
        <v>13</v>
      </c>
      <c r="Q69">
        <v>0.308</v>
      </c>
      <c r="R69">
        <v>15</v>
      </c>
      <c r="S69">
        <v>24</v>
      </c>
      <c r="T69">
        <v>0.625</v>
      </c>
      <c r="U69">
        <v>0.56799999999999995</v>
      </c>
      <c r="V69">
        <v>11</v>
      </c>
      <c r="W69">
        <v>12</v>
      </c>
      <c r="X69">
        <v>0.91700000000000004</v>
      </c>
      <c r="Y69">
        <v>1</v>
      </c>
      <c r="Z69">
        <v>5</v>
      </c>
      <c r="AA69">
        <v>6</v>
      </c>
      <c r="AB69">
        <v>9</v>
      </c>
      <c r="AC69">
        <v>2</v>
      </c>
      <c r="AD69">
        <v>0</v>
      </c>
      <c r="AE69">
        <v>5</v>
      </c>
      <c r="AF69">
        <v>3</v>
      </c>
      <c r="AG69">
        <v>53</v>
      </c>
      <c r="AH69">
        <v>38.6</v>
      </c>
      <c r="AI69">
        <v>11</v>
      </c>
    </row>
    <row r="70" spans="1:35" ht="21" x14ac:dyDescent="0.3">
      <c r="A70" t="s">
        <v>546</v>
      </c>
      <c r="B70" s="11">
        <v>42</v>
      </c>
      <c r="C70">
        <v>926</v>
      </c>
      <c r="D70">
        <v>69</v>
      </c>
      <c r="E70" s="4">
        <v>44635</v>
      </c>
      <c r="F70" t="s">
        <v>85</v>
      </c>
      <c r="G70" t="s">
        <v>37</v>
      </c>
      <c r="H70" t="s">
        <v>104</v>
      </c>
      <c r="I70" t="s">
        <v>530</v>
      </c>
      <c r="J70" t="s">
        <v>41</v>
      </c>
      <c r="K70" s="9">
        <v>1.2534722222222223</v>
      </c>
      <c r="L70">
        <v>6</v>
      </c>
      <c r="M70">
        <v>9</v>
      </c>
      <c r="N70">
        <v>0.66700000000000004</v>
      </c>
      <c r="O70">
        <v>0</v>
      </c>
      <c r="P70">
        <v>0</v>
      </c>
      <c r="R70">
        <v>6</v>
      </c>
      <c r="S70">
        <v>9</v>
      </c>
      <c r="T70">
        <v>0.66700000000000004</v>
      </c>
      <c r="U70">
        <v>0.66700000000000004</v>
      </c>
      <c r="V70">
        <v>7</v>
      </c>
      <c r="W70">
        <v>8</v>
      </c>
      <c r="X70">
        <v>0.875</v>
      </c>
      <c r="Y70">
        <v>0</v>
      </c>
      <c r="Z70">
        <v>5</v>
      </c>
      <c r="AA70">
        <v>5</v>
      </c>
      <c r="AB70">
        <v>7</v>
      </c>
      <c r="AC70">
        <v>1</v>
      </c>
      <c r="AD70">
        <v>0</v>
      </c>
      <c r="AE70">
        <v>1</v>
      </c>
      <c r="AF70">
        <v>2</v>
      </c>
      <c r="AG70">
        <v>19</v>
      </c>
      <c r="AH70">
        <v>20.3</v>
      </c>
      <c r="AI70">
        <v>21</v>
      </c>
    </row>
    <row r="71" spans="1:35" ht="21" x14ac:dyDescent="0.3">
      <c r="A71" t="s">
        <v>546</v>
      </c>
      <c r="B71" s="11">
        <v>43</v>
      </c>
      <c r="C71">
        <v>927</v>
      </c>
      <c r="D71">
        <v>70</v>
      </c>
      <c r="E71" s="4">
        <v>44636</v>
      </c>
      <c r="F71" t="s">
        <v>85</v>
      </c>
      <c r="H71" t="s">
        <v>49</v>
      </c>
      <c r="I71" t="s">
        <v>531</v>
      </c>
      <c r="J71" t="s">
        <v>41</v>
      </c>
      <c r="K71" s="9">
        <v>1.6479166666666667</v>
      </c>
      <c r="L71">
        <v>8</v>
      </c>
      <c r="M71">
        <v>20</v>
      </c>
      <c r="N71">
        <v>0.4</v>
      </c>
      <c r="O71">
        <v>2</v>
      </c>
      <c r="P71">
        <v>5</v>
      </c>
      <c r="Q71">
        <v>0.4</v>
      </c>
      <c r="R71">
        <v>6</v>
      </c>
      <c r="S71">
        <v>15</v>
      </c>
      <c r="T71">
        <v>0.4</v>
      </c>
      <c r="U71">
        <v>0.45</v>
      </c>
      <c r="V71">
        <v>5</v>
      </c>
      <c r="W71">
        <v>5</v>
      </c>
      <c r="X71">
        <v>1</v>
      </c>
      <c r="Y71">
        <v>2</v>
      </c>
      <c r="Z71">
        <v>4</v>
      </c>
      <c r="AA71">
        <v>6</v>
      </c>
      <c r="AB71">
        <v>10</v>
      </c>
      <c r="AC71">
        <v>0</v>
      </c>
      <c r="AD71">
        <v>0</v>
      </c>
      <c r="AE71">
        <v>4</v>
      </c>
      <c r="AF71">
        <v>3</v>
      </c>
      <c r="AG71">
        <v>23</v>
      </c>
      <c r="AH71">
        <v>16.600000000000001</v>
      </c>
      <c r="AI71">
        <v>2</v>
      </c>
    </row>
    <row r="72" spans="1:35" ht="21" x14ac:dyDescent="0.3">
      <c r="A72" t="s">
        <v>546</v>
      </c>
      <c r="B72" s="11">
        <v>44</v>
      </c>
      <c r="C72">
        <v>928</v>
      </c>
      <c r="D72">
        <v>71</v>
      </c>
      <c r="E72" s="4">
        <v>44638</v>
      </c>
      <c r="F72" t="s">
        <v>85</v>
      </c>
      <c r="H72" t="s">
        <v>96</v>
      </c>
      <c r="I72" t="s">
        <v>532</v>
      </c>
      <c r="J72" t="s">
        <v>41</v>
      </c>
      <c r="K72" s="9">
        <v>1.5638888888888889</v>
      </c>
      <c r="L72">
        <v>11</v>
      </c>
      <c r="M72">
        <v>15</v>
      </c>
      <c r="N72">
        <v>0.73299999999999998</v>
      </c>
      <c r="O72">
        <v>2</v>
      </c>
      <c r="P72">
        <v>3</v>
      </c>
      <c r="Q72">
        <v>0.66700000000000004</v>
      </c>
      <c r="R72">
        <v>9</v>
      </c>
      <c r="S72">
        <v>12</v>
      </c>
      <c r="T72">
        <v>0.75</v>
      </c>
      <c r="U72">
        <v>0.8</v>
      </c>
      <c r="V72">
        <v>14</v>
      </c>
      <c r="W72">
        <v>15</v>
      </c>
      <c r="X72">
        <v>0.93300000000000005</v>
      </c>
      <c r="Y72">
        <v>0</v>
      </c>
      <c r="Z72">
        <v>6</v>
      </c>
      <c r="AA72">
        <v>6</v>
      </c>
      <c r="AB72">
        <v>6</v>
      </c>
      <c r="AC72">
        <v>0</v>
      </c>
      <c r="AD72">
        <v>1</v>
      </c>
      <c r="AE72">
        <v>8</v>
      </c>
      <c r="AF72">
        <v>4</v>
      </c>
      <c r="AG72">
        <v>38</v>
      </c>
      <c r="AH72">
        <v>28.6</v>
      </c>
      <c r="AI72">
        <v>0</v>
      </c>
    </row>
    <row r="73" spans="1:35" ht="21" x14ac:dyDescent="0.3">
      <c r="A73" t="s">
        <v>546</v>
      </c>
      <c r="B73" s="11">
        <v>45</v>
      </c>
      <c r="C73">
        <v>929</v>
      </c>
      <c r="D73">
        <v>72</v>
      </c>
      <c r="E73" s="4">
        <v>44641</v>
      </c>
      <c r="F73" t="s">
        <v>85</v>
      </c>
      <c r="H73" t="s">
        <v>118</v>
      </c>
      <c r="I73" t="s">
        <v>203</v>
      </c>
      <c r="J73" t="s">
        <v>41</v>
      </c>
      <c r="K73" s="9">
        <v>1.5902777777777777</v>
      </c>
      <c r="L73">
        <v>15</v>
      </c>
      <c r="M73">
        <v>23</v>
      </c>
      <c r="N73">
        <v>0.65200000000000002</v>
      </c>
      <c r="O73">
        <v>4</v>
      </c>
      <c r="P73">
        <v>7</v>
      </c>
      <c r="Q73">
        <v>0.57099999999999995</v>
      </c>
      <c r="R73">
        <v>11</v>
      </c>
      <c r="S73">
        <v>16</v>
      </c>
      <c r="T73">
        <v>0.68799999999999994</v>
      </c>
      <c r="U73">
        <v>0.73899999999999999</v>
      </c>
      <c r="V73">
        <v>3</v>
      </c>
      <c r="W73">
        <v>3</v>
      </c>
      <c r="X73">
        <v>1</v>
      </c>
      <c r="Y73">
        <v>0</v>
      </c>
      <c r="Z73">
        <v>9</v>
      </c>
      <c r="AA73">
        <v>9</v>
      </c>
      <c r="AB73">
        <v>8</v>
      </c>
      <c r="AC73">
        <v>1</v>
      </c>
      <c r="AD73">
        <v>0</v>
      </c>
      <c r="AE73">
        <v>4</v>
      </c>
      <c r="AF73">
        <v>1</v>
      </c>
      <c r="AG73">
        <v>37</v>
      </c>
      <c r="AH73">
        <v>31.8</v>
      </c>
      <c r="AI73">
        <v>6</v>
      </c>
    </row>
    <row r="74" spans="1:35" ht="21" x14ac:dyDescent="0.3">
      <c r="A74" t="s">
        <v>546</v>
      </c>
      <c r="B74" s="11">
        <v>46</v>
      </c>
      <c r="C74">
        <v>930</v>
      </c>
      <c r="D74">
        <v>73</v>
      </c>
      <c r="E74" s="4">
        <v>44643</v>
      </c>
      <c r="F74" t="s">
        <v>85</v>
      </c>
      <c r="G74" t="s">
        <v>37</v>
      </c>
      <c r="H74" t="s">
        <v>42</v>
      </c>
      <c r="I74" t="s">
        <v>533</v>
      </c>
      <c r="J74" t="s">
        <v>41</v>
      </c>
      <c r="K74" s="9">
        <v>1.6472222222222221</v>
      </c>
      <c r="L74">
        <v>12</v>
      </c>
      <c r="M74">
        <v>28</v>
      </c>
      <c r="N74">
        <v>0.42899999999999999</v>
      </c>
      <c r="O74">
        <v>1</v>
      </c>
      <c r="P74">
        <v>7</v>
      </c>
      <c r="Q74">
        <v>0.14299999999999999</v>
      </c>
      <c r="R74">
        <v>11</v>
      </c>
      <c r="S74">
        <v>21</v>
      </c>
      <c r="T74">
        <v>0.52400000000000002</v>
      </c>
      <c r="U74">
        <v>0.44600000000000001</v>
      </c>
      <c r="V74">
        <v>10</v>
      </c>
      <c r="W74">
        <v>10</v>
      </c>
      <c r="X74">
        <v>1</v>
      </c>
      <c r="Y74">
        <v>1</v>
      </c>
      <c r="Z74">
        <v>10</v>
      </c>
      <c r="AA74">
        <v>11</v>
      </c>
      <c r="AB74">
        <v>8</v>
      </c>
      <c r="AC74">
        <v>2</v>
      </c>
      <c r="AD74">
        <v>2</v>
      </c>
      <c r="AE74">
        <v>5</v>
      </c>
      <c r="AF74">
        <v>1</v>
      </c>
      <c r="AG74">
        <v>35</v>
      </c>
      <c r="AH74">
        <v>27.5</v>
      </c>
      <c r="AI74">
        <v>-1</v>
      </c>
    </row>
    <row r="75" spans="1:35" ht="21" x14ac:dyDescent="0.3">
      <c r="A75" t="s">
        <v>546</v>
      </c>
      <c r="B75" s="11">
        <v>47</v>
      </c>
      <c r="C75">
        <v>931</v>
      </c>
      <c r="D75">
        <v>74</v>
      </c>
      <c r="E75" s="4">
        <v>44646</v>
      </c>
      <c r="F75" t="s">
        <v>85</v>
      </c>
      <c r="G75" t="s">
        <v>37</v>
      </c>
      <c r="H75" t="s">
        <v>120</v>
      </c>
      <c r="I75" t="s">
        <v>534</v>
      </c>
      <c r="J75" t="s">
        <v>41</v>
      </c>
      <c r="K75" s="9">
        <v>1.2756944444444445</v>
      </c>
      <c r="L75">
        <v>7</v>
      </c>
      <c r="M75">
        <v>14</v>
      </c>
      <c r="N75">
        <v>0.5</v>
      </c>
      <c r="O75">
        <v>0</v>
      </c>
      <c r="P75">
        <v>2</v>
      </c>
      <c r="Q75">
        <v>0</v>
      </c>
      <c r="R75">
        <v>7</v>
      </c>
      <c r="S75">
        <v>12</v>
      </c>
      <c r="T75">
        <v>0.58299999999999996</v>
      </c>
      <c r="U75">
        <v>0.5</v>
      </c>
      <c r="V75">
        <v>9</v>
      </c>
      <c r="W75">
        <v>10</v>
      </c>
      <c r="X75">
        <v>0.9</v>
      </c>
      <c r="Y75">
        <v>0</v>
      </c>
      <c r="Z75">
        <v>3</v>
      </c>
      <c r="AA75">
        <v>3</v>
      </c>
      <c r="AB75">
        <v>5</v>
      </c>
      <c r="AC75">
        <v>3</v>
      </c>
      <c r="AD75">
        <v>1</v>
      </c>
      <c r="AE75">
        <v>5</v>
      </c>
      <c r="AF75">
        <v>1</v>
      </c>
      <c r="AG75">
        <v>23</v>
      </c>
      <c r="AH75">
        <v>18.3</v>
      </c>
      <c r="AI75">
        <v>21</v>
      </c>
    </row>
    <row r="76" spans="1:35" ht="21" x14ac:dyDescent="0.3">
      <c r="A76" t="s">
        <v>546</v>
      </c>
      <c r="B76" s="11">
        <v>48</v>
      </c>
      <c r="C76">
        <v>932</v>
      </c>
      <c r="D76">
        <v>75</v>
      </c>
      <c r="E76" s="4">
        <v>44647</v>
      </c>
      <c r="F76" t="s">
        <v>85</v>
      </c>
      <c r="H76" t="s">
        <v>72</v>
      </c>
      <c r="I76" t="s">
        <v>535</v>
      </c>
      <c r="J76" t="s">
        <v>41</v>
      </c>
      <c r="K76" s="9">
        <v>1.7458333333333333</v>
      </c>
      <c r="L76">
        <v>9</v>
      </c>
      <c r="M76">
        <v>24</v>
      </c>
      <c r="N76">
        <v>0.375</v>
      </c>
      <c r="O76">
        <v>3</v>
      </c>
      <c r="P76">
        <v>11</v>
      </c>
      <c r="Q76">
        <v>0.27300000000000002</v>
      </c>
      <c r="R76">
        <v>6</v>
      </c>
      <c r="S76">
        <v>13</v>
      </c>
      <c r="T76">
        <v>0.46200000000000002</v>
      </c>
      <c r="U76">
        <v>0.438</v>
      </c>
      <c r="V76">
        <v>6</v>
      </c>
      <c r="W76">
        <v>6</v>
      </c>
      <c r="X76">
        <v>1</v>
      </c>
      <c r="Y76">
        <v>0</v>
      </c>
      <c r="Z76">
        <v>8</v>
      </c>
      <c r="AA76">
        <v>8</v>
      </c>
      <c r="AB76">
        <v>7</v>
      </c>
      <c r="AC76">
        <v>2</v>
      </c>
      <c r="AD76">
        <v>0</v>
      </c>
      <c r="AE76">
        <v>2</v>
      </c>
      <c r="AF76">
        <v>1</v>
      </c>
      <c r="AG76">
        <v>27</v>
      </c>
      <c r="AH76">
        <v>20.7</v>
      </c>
      <c r="AI76">
        <v>-13</v>
      </c>
    </row>
    <row r="77" spans="1:35" ht="21" x14ac:dyDescent="0.3">
      <c r="A77" t="s">
        <v>546</v>
      </c>
      <c r="B77" s="11">
        <v>49</v>
      </c>
      <c r="C77">
        <v>933</v>
      </c>
      <c r="D77">
        <v>76</v>
      </c>
      <c r="E77" s="4">
        <v>44649</v>
      </c>
      <c r="F77" t="s">
        <v>85</v>
      </c>
      <c r="H77" t="s">
        <v>89</v>
      </c>
      <c r="I77" t="s">
        <v>536</v>
      </c>
      <c r="J77" t="s">
        <v>41</v>
      </c>
      <c r="K77" s="9">
        <v>1.6409722222222223</v>
      </c>
      <c r="L77">
        <v>14</v>
      </c>
      <c r="M77">
        <v>23</v>
      </c>
      <c r="N77">
        <v>0.60899999999999999</v>
      </c>
      <c r="O77">
        <v>4</v>
      </c>
      <c r="P77">
        <v>6</v>
      </c>
      <c r="Q77">
        <v>0.66700000000000004</v>
      </c>
      <c r="R77">
        <v>10</v>
      </c>
      <c r="S77">
        <v>17</v>
      </c>
      <c r="T77">
        <v>0.58799999999999997</v>
      </c>
      <c r="U77">
        <v>0.69599999999999995</v>
      </c>
      <c r="V77">
        <v>9</v>
      </c>
      <c r="W77">
        <v>9</v>
      </c>
      <c r="X77">
        <v>1</v>
      </c>
      <c r="Y77">
        <v>0</v>
      </c>
      <c r="Z77">
        <v>11</v>
      </c>
      <c r="AA77">
        <v>11</v>
      </c>
      <c r="AB77">
        <v>5</v>
      </c>
      <c r="AC77">
        <v>1</v>
      </c>
      <c r="AD77">
        <v>3</v>
      </c>
      <c r="AE77">
        <v>2</v>
      </c>
      <c r="AF77">
        <v>2</v>
      </c>
      <c r="AG77">
        <v>41</v>
      </c>
      <c r="AH77">
        <v>37.6</v>
      </c>
      <c r="AI77">
        <v>18</v>
      </c>
    </row>
    <row r="78" spans="1:35" ht="21" x14ac:dyDescent="0.3">
      <c r="A78" t="s">
        <v>546</v>
      </c>
      <c r="B78" s="11">
        <v>50</v>
      </c>
      <c r="C78">
        <v>934</v>
      </c>
      <c r="D78">
        <v>77</v>
      </c>
      <c r="E78" s="4">
        <v>44651</v>
      </c>
      <c r="F78" t="s">
        <v>85</v>
      </c>
      <c r="H78" t="s">
        <v>126</v>
      </c>
      <c r="I78" t="s">
        <v>537</v>
      </c>
      <c r="J78" t="s">
        <v>41</v>
      </c>
      <c r="K78" s="9">
        <v>1.8840277777777779</v>
      </c>
      <c r="L78">
        <v>10</v>
      </c>
      <c r="M78">
        <v>21</v>
      </c>
      <c r="N78">
        <v>0.47599999999999998</v>
      </c>
      <c r="O78">
        <v>3</v>
      </c>
      <c r="P78">
        <v>6</v>
      </c>
      <c r="Q78">
        <v>0.5</v>
      </c>
      <c r="R78">
        <v>7</v>
      </c>
      <c r="S78">
        <v>15</v>
      </c>
      <c r="T78">
        <v>0.46700000000000003</v>
      </c>
      <c r="U78">
        <v>0.54800000000000004</v>
      </c>
      <c r="V78">
        <v>3</v>
      </c>
      <c r="W78">
        <v>3</v>
      </c>
      <c r="X78">
        <v>1</v>
      </c>
      <c r="Y78">
        <v>0</v>
      </c>
      <c r="Z78">
        <v>7</v>
      </c>
      <c r="AA78">
        <v>7</v>
      </c>
      <c r="AB78">
        <v>11</v>
      </c>
      <c r="AC78">
        <v>1</v>
      </c>
      <c r="AD78">
        <v>1</v>
      </c>
      <c r="AE78">
        <v>6</v>
      </c>
      <c r="AF78">
        <v>4</v>
      </c>
      <c r="AG78">
        <v>26</v>
      </c>
      <c r="AH78">
        <v>19.2</v>
      </c>
      <c r="AI78">
        <v>1</v>
      </c>
    </row>
    <row r="79" spans="1:35" ht="21" x14ac:dyDescent="0.3">
      <c r="A79" t="s">
        <v>546</v>
      </c>
      <c r="B79" s="11">
        <v>51</v>
      </c>
      <c r="C79">
        <v>935</v>
      </c>
      <c r="D79">
        <v>78</v>
      </c>
      <c r="E79" s="4">
        <v>44653</v>
      </c>
      <c r="F79" t="s">
        <v>85</v>
      </c>
      <c r="G79" t="s">
        <v>37</v>
      </c>
      <c r="H79" t="s">
        <v>78</v>
      </c>
      <c r="I79" t="s">
        <v>223</v>
      </c>
      <c r="J79" t="s">
        <v>41</v>
      </c>
      <c r="K79" s="9">
        <v>1.7631944444444445</v>
      </c>
      <c r="L79">
        <v>19</v>
      </c>
      <c r="M79">
        <v>28</v>
      </c>
      <c r="N79">
        <v>0.67900000000000005</v>
      </c>
      <c r="O79">
        <v>8</v>
      </c>
      <c r="P79">
        <v>10</v>
      </c>
      <c r="Q79">
        <v>0.8</v>
      </c>
      <c r="R79">
        <v>11</v>
      </c>
      <c r="S79">
        <v>18</v>
      </c>
      <c r="T79">
        <v>0.61099999999999999</v>
      </c>
      <c r="U79">
        <v>0.82099999999999995</v>
      </c>
      <c r="V79">
        <v>9</v>
      </c>
      <c r="W79">
        <v>11</v>
      </c>
      <c r="X79">
        <v>0.81799999999999995</v>
      </c>
      <c r="Y79">
        <v>0</v>
      </c>
      <c r="Z79">
        <v>7</v>
      </c>
      <c r="AA79">
        <v>7</v>
      </c>
      <c r="AB79">
        <v>3</v>
      </c>
      <c r="AC79">
        <v>1</v>
      </c>
      <c r="AD79">
        <v>0</v>
      </c>
      <c r="AE79">
        <v>4</v>
      </c>
      <c r="AF79">
        <v>1</v>
      </c>
      <c r="AG79">
        <v>55</v>
      </c>
      <c r="AH79">
        <v>43</v>
      </c>
      <c r="AI79">
        <v>1</v>
      </c>
    </row>
    <row r="80" spans="1:35" ht="21" x14ac:dyDescent="0.3">
      <c r="A80" t="s">
        <v>546</v>
      </c>
      <c r="B80" s="11">
        <v>52</v>
      </c>
      <c r="C80">
        <v>936</v>
      </c>
      <c r="D80">
        <v>79</v>
      </c>
      <c r="E80" s="4">
        <v>44656</v>
      </c>
      <c r="F80" t="s">
        <v>85</v>
      </c>
      <c r="H80" t="s">
        <v>76</v>
      </c>
      <c r="I80" t="s">
        <v>538</v>
      </c>
      <c r="J80" t="s">
        <v>41</v>
      </c>
      <c r="K80" s="9">
        <v>1.5375000000000001</v>
      </c>
      <c r="L80">
        <v>4</v>
      </c>
      <c r="M80">
        <v>13</v>
      </c>
      <c r="N80">
        <v>0.308</v>
      </c>
      <c r="O80">
        <v>1</v>
      </c>
      <c r="P80">
        <v>3</v>
      </c>
      <c r="Q80">
        <v>0.33300000000000002</v>
      </c>
      <c r="R80">
        <v>3</v>
      </c>
      <c r="S80">
        <v>10</v>
      </c>
      <c r="T80">
        <v>0.3</v>
      </c>
      <c r="U80">
        <v>0.34599999999999997</v>
      </c>
      <c r="V80">
        <v>9</v>
      </c>
      <c r="W80">
        <v>10</v>
      </c>
      <c r="X80">
        <v>0.9</v>
      </c>
      <c r="Y80">
        <v>0</v>
      </c>
      <c r="Z80">
        <v>9</v>
      </c>
      <c r="AA80">
        <v>9</v>
      </c>
      <c r="AB80">
        <v>7</v>
      </c>
      <c r="AC80">
        <v>0</v>
      </c>
      <c r="AD80">
        <v>2</v>
      </c>
      <c r="AE80">
        <v>3</v>
      </c>
      <c r="AF80">
        <v>2</v>
      </c>
      <c r="AG80">
        <v>18</v>
      </c>
      <c r="AH80">
        <v>15.3</v>
      </c>
      <c r="AI80">
        <v>13</v>
      </c>
    </row>
    <row r="81" spans="1:35" ht="21" x14ac:dyDescent="0.3">
      <c r="A81" t="s">
        <v>546</v>
      </c>
      <c r="B81" s="11">
        <v>53</v>
      </c>
      <c r="C81">
        <v>937</v>
      </c>
      <c r="D81">
        <v>80</v>
      </c>
      <c r="E81" s="4">
        <v>44657</v>
      </c>
      <c r="F81" t="s">
        <v>85</v>
      </c>
      <c r="G81" t="s">
        <v>37</v>
      </c>
      <c r="H81" t="s">
        <v>110</v>
      </c>
      <c r="I81" t="s">
        <v>140</v>
      </c>
      <c r="J81" t="s">
        <v>41</v>
      </c>
      <c r="K81" s="9">
        <v>1.7583333333333333</v>
      </c>
      <c r="L81">
        <v>11</v>
      </c>
      <c r="M81">
        <v>22</v>
      </c>
      <c r="N81">
        <v>0.5</v>
      </c>
      <c r="O81">
        <v>2</v>
      </c>
      <c r="P81">
        <v>10</v>
      </c>
      <c r="Q81">
        <v>0.2</v>
      </c>
      <c r="R81">
        <v>9</v>
      </c>
      <c r="S81">
        <v>12</v>
      </c>
      <c r="T81">
        <v>0.75</v>
      </c>
      <c r="U81">
        <v>0.54500000000000004</v>
      </c>
      <c r="V81">
        <v>8</v>
      </c>
      <c r="W81">
        <v>9</v>
      </c>
      <c r="X81">
        <v>0.88900000000000001</v>
      </c>
      <c r="Y81">
        <v>2</v>
      </c>
      <c r="Z81">
        <v>8</v>
      </c>
      <c r="AA81">
        <v>10</v>
      </c>
      <c r="AB81">
        <v>11</v>
      </c>
      <c r="AC81">
        <v>1</v>
      </c>
      <c r="AD81">
        <v>2</v>
      </c>
      <c r="AE81">
        <v>4</v>
      </c>
      <c r="AF81">
        <v>5</v>
      </c>
      <c r="AG81">
        <v>32</v>
      </c>
      <c r="AH81">
        <v>28.5</v>
      </c>
      <c r="AI81">
        <v>19</v>
      </c>
    </row>
    <row r="82" spans="1:35" ht="21" x14ac:dyDescent="0.3">
      <c r="A82" t="s">
        <v>546</v>
      </c>
      <c r="B82" s="11">
        <v>54</v>
      </c>
      <c r="C82">
        <v>938</v>
      </c>
      <c r="D82">
        <v>81</v>
      </c>
      <c r="E82" s="4">
        <v>44659</v>
      </c>
      <c r="F82" t="s">
        <v>85</v>
      </c>
      <c r="H82" t="s">
        <v>87</v>
      </c>
      <c r="I82" t="s">
        <v>539</v>
      </c>
      <c r="J82" t="s">
        <v>41</v>
      </c>
      <c r="K82" s="9">
        <v>1.7166666666666666</v>
      </c>
      <c r="L82">
        <v>11</v>
      </c>
      <c r="M82">
        <v>20</v>
      </c>
      <c r="N82">
        <v>0.55000000000000004</v>
      </c>
      <c r="O82">
        <v>4</v>
      </c>
      <c r="P82">
        <v>6</v>
      </c>
      <c r="Q82">
        <v>0.66700000000000004</v>
      </c>
      <c r="R82">
        <v>7</v>
      </c>
      <c r="S82">
        <v>14</v>
      </c>
      <c r="T82">
        <v>0.5</v>
      </c>
      <c r="U82">
        <v>0.65</v>
      </c>
      <c r="V82">
        <v>10</v>
      </c>
      <c r="W82">
        <v>10</v>
      </c>
      <c r="X82">
        <v>1</v>
      </c>
      <c r="Y82">
        <v>1</v>
      </c>
      <c r="Z82">
        <v>4</v>
      </c>
      <c r="AA82">
        <v>5</v>
      </c>
      <c r="AB82">
        <v>5</v>
      </c>
      <c r="AC82">
        <v>1</v>
      </c>
      <c r="AD82">
        <v>2</v>
      </c>
      <c r="AE82">
        <v>5</v>
      </c>
      <c r="AF82">
        <v>2</v>
      </c>
      <c r="AG82">
        <v>36</v>
      </c>
      <c r="AH82">
        <v>28.4</v>
      </c>
      <c r="AI82">
        <v>16</v>
      </c>
    </row>
    <row r="83" spans="1:35" ht="21" x14ac:dyDescent="0.3">
      <c r="A83" t="s">
        <v>546</v>
      </c>
      <c r="B83" s="11">
        <v>55</v>
      </c>
      <c r="C83">
        <v>939</v>
      </c>
      <c r="D83">
        <v>82</v>
      </c>
      <c r="E83" s="4">
        <v>44661</v>
      </c>
      <c r="F83" t="s">
        <v>85</v>
      </c>
      <c r="H83" t="s">
        <v>108</v>
      </c>
      <c r="I83" t="s">
        <v>540</v>
      </c>
      <c r="J83" t="s">
        <v>41</v>
      </c>
      <c r="K83" s="9">
        <v>1.695138888888889</v>
      </c>
      <c r="L83">
        <v>5</v>
      </c>
      <c r="M83">
        <v>17</v>
      </c>
      <c r="N83">
        <v>0.29399999999999998</v>
      </c>
      <c r="O83">
        <v>0</v>
      </c>
      <c r="P83">
        <v>6</v>
      </c>
      <c r="Q83">
        <v>0</v>
      </c>
      <c r="R83">
        <v>5</v>
      </c>
      <c r="S83">
        <v>11</v>
      </c>
      <c r="T83">
        <v>0.45500000000000002</v>
      </c>
      <c r="U83">
        <v>0.29399999999999998</v>
      </c>
      <c r="V83">
        <v>10</v>
      </c>
      <c r="W83">
        <v>10</v>
      </c>
      <c r="X83">
        <v>1</v>
      </c>
      <c r="Y83">
        <v>0</v>
      </c>
      <c r="Z83">
        <v>10</v>
      </c>
      <c r="AA83">
        <v>10</v>
      </c>
      <c r="AB83">
        <v>16</v>
      </c>
      <c r="AC83">
        <v>1</v>
      </c>
      <c r="AD83">
        <v>0</v>
      </c>
      <c r="AE83">
        <v>6</v>
      </c>
      <c r="AF83">
        <v>0</v>
      </c>
      <c r="AG83">
        <v>20</v>
      </c>
      <c r="AH83">
        <v>19.3</v>
      </c>
      <c r="AI83">
        <v>10</v>
      </c>
    </row>
    <row r="84" spans="1:35" ht="21" x14ac:dyDescent="0.3">
      <c r="A84" t="s">
        <v>546</v>
      </c>
      <c r="B84" s="11">
        <v>1</v>
      </c>
      <c r="C84">
        <v>152</v>
      </c>
      <c r="D84">
        <v>1</v>
      </c>
      <c r="E84" s="4">
        <v>44668</v>
      </c>
      <c r="F84" t="s">
        <v>85</v>
      </c>
      <c r="G84" t="s">
        <v>37</v>
      </c>
      <c r="H84" t="s">
        <v>55</v>
      </c>
      <c r="I84" t="s">
        <v>541</v>
      </c>
      <c r="J84" t="s">
        <v>41</v>
      </c>
      <c r="K84" s="9">
        <v>1.7090277777777778</v>
      </c>
      <c r="L84">
        <v>9</v>
      </c>
      <c r="M84">
        <v>24</v>
      </c>
      <c r="N84">
        <v>0.375</v>
      </c>
      <c r="O84">
        <v>1</v>
      </c>
      <c r="P84">
        <v>5</v>
      </c>
      <c r="Q84">
        <v>0.2</v>
      </c>
      <c r="R84">
        <v>8</v>
      </c>
      <c r="S84">
        <v>19</v>
      </c>
      <c r="T84">
        <v>0.42099999999999999</v>
      </c>
      <c r="U84">
        <v>0.39600000000000002</v>
      </c>
      <c r="V84">
        <v>4</v>
      </c>
      <c r="W84">
        <v>5</v>
      </c>
      <c r="X84">
        <v>0.8</v>
      </c>
      <c r="Y84">
        <v>0</v>
      </c>
      <c r="Z84">
        <v>4</v>
      </c>
      <c r="AA84">
        <v>4</v>
      </c>
      <c r="AB84">
        <v>3</v>
      </c>
      <c r="AC84">
        <v>1</v>
      </c>
      <c r="AD84">
        <v>1</v>
      </c>
      <c r="AE84">
        <v>6</v>
      </c>
      <c r="AF84">
        <v>3</v>
      </c>
      <c r="AG84">
        <v>23</v>
      </c>
      <c r="AH84">
        <v>7.2</v>
      </c>
      <c r="AI84">
        <v>-13</v>
      </c>
    </row>
    <row r="85" spans="1:35" ht="21" x14ac:dyDescent="0.3">
      <c r="A85" t="s">
        <v>546</v>
      </c>
      <c r="B85" s="11">
        <v>2</v>
      </c>
      <c r="C85">
        <v>153</v>
      </c>
      <c r="D85">
        <v>2</v>
      </c>
      <c r="E85" s="4">
        <v>44671</v>
      </c>
      <c r="F85" t="s">
        <v>85</v>
      </c>
      <c r="G85" t="s">
        <v>37</v>
      </c>
      <c r="H85" t="s">
        <v>55</v>
      </c>
      <c r="I85" t="s">
        <v>471</v>
      </c>
      <c r="J85" t="s">
        <v>41</v>
      </c>
      <c r="K85" s="9">
        <v>1.76875</v>
      </c>
      <c r="L85">
        <v>4</v>
      </c>
      <c r="M85">
        <v>17</v>
      </c>
      <c r="N85">
        <v>0.23499999999999999</v>
      </c>
      <c r="O85">
        <v>1</v>
      </c>
      <c r="P85">
        <v>2</v>
      </c>
      <c r="Q85">
        <v>0.5</v>
      </c>
      <c r="R85">
        <v>3</v>
      </c>
      <c r="S85">
        <v>15</v>
      </c>
      <c r="T85">
        <v>0.2</v>
      </c>
      <c r="U85">
        <v>0.26500000000000001</v>
      </c>
      <c r="V85">
        <v>18</v>
      </c>
      <c r="W85">
        <v>20</v>
      </c>
      <c r="X85">
        <v>0.9</v>
      </c>
      <c r="Y85">
        <v>0</v>
      </c>
      <c r="Z85">
        <v>4</v>
      </c>
      <c r="AA85">
        <v>4</v>
      </c>
      <c r="AB85">
        <v>5</v>
      </c>
      <c r="AC85">
        <v>1</v>
      </c>
      <c r="AD85">
        <v>0</v>
      </c>
      <c r="AE85">
        <v>6</v>
      </c>
      <c r="AF85">
        <v>5</v>
      </c>
      <c r="AG85">
        <v>27</v>
      </c>
      <c r="AH85">
        <v>13.6</v>
      </c>
      <c r="AI85">
        <v>-10</v>
      </c>
    </row>
    <row r="86" spans="1:35" ht="21" x14ac:dyDescent="0.3">
      <c r="A86" t="s">
        <v>546</v>
      </c>
      <c r="B86" s="11">
        <v>3</v>
      </c>
      <c r="C86">
        <v>154</v>
      </c>
      <c r="D86">
        <v>3</v>
      </c>
      <c r="E86" s="4">
        <v>44674</v>
      </c>
      <c r="F86" t="s">
        <v>85</v>
      </c>
      <c r="H86" t="s">
        <v>55</v>
      </c>
      <c r="I86" t="s">
        <v>542</v>
      </c>
      <c r="J86" t="s">
        <v>41</v>
      </c>
      <c r="K86" s="9">
        <v>1.9125000000000001</v>
      </c>
      <c r="L86">
        <v>6</v>
      </c>
      <c r="M86">
        <v>11</v>
      </c>
      <c r="N86">
        <v>0.54500000000000004</v>
      </c>
      <c r="O86">
        <v>2</v>
      </c>
      <c r="P86">
        <v>3</v>
      </c>
      <c r="Q86">
        <v>0.66700000000000004</v>
      </c>
      <c r="R86">
        <v>4</v>
      </c>
      <c r="S86">
        <v>8</v>
      </c>
      <c r="T86">
        <v>0.5</v>
      </c>
      <c r="U86">
        <v>0.63600000000000001</v>
      </c>
      <c r="V86">
        <v>2</v>
      </c>
      <c r="W86">
        <v>2</v>
      </c>
      <c r="X86">
        <v>1</v>
      </c>
      <c r="Y86">
        <v>1</v>
      </c>
      <c r="Z86">
        <v>7</v>
      </c>
      <c r="AA86">
        <v>8</v>
      </c>
      <c r="AB86">
        <v>8</v>
      </c>
      <c r="AC86">
        <v>1</v>
      </c>
      <c r="AD86">
        <v>0</v>
      </c>
      <c r="AE86">
        <v>5</v>
      </c>
      <c r="AF86">
        <v>3</v>
      </c>
      <c r="AG86">
        <v>16</v>
      </c>
      <c r="AH86">
        <v>13.9</v>
      </c>
      <c r="AI86">
        <v>-2</v>
      </c>
    </row>
    <row r="87" spans="1:35" ht="21" x14ac:dyDescent="0.3">
      <c r="A87" t="s">
        <v>546</v>
      </c>
      <c r="B87" s="11">
        <v>4</v>
      </c>
      <c r="C87">
        <v>155</v>
      </c>
      <c r="D87">
        <v>4</v>
      </c>
      <c r="E87" s="4">
        <v>44676</v>
      </c>
      <c r="F87" t="s">
        <v>85</v>
      </c>
      <c r="H87" t="s">
        <v>55</v>
      </c>
      <c r="I87" t="s">
        <v>543</v>
      </c>
      <c r="J87" t="s">
        <v>41</v>
      </c>
      <c r="K87" s="9">
        <v>1.9437500000000001</v>
      </c>
      <c r="L87">
        <v>13</v>
      </c>
      <c r="M87">
        <v>31</v>
      </c>
      <c r="N87">
        <v>0.41899999999999998</v>
      </c>
      <c r="O87">
        <v>3</v>
      </c>
      <c r="P87">
        <v>11</v>
      </c>
      <c r="Q87">
        <v>0.27300000000000002</v>
      </c>
      <c r="R87">
        <v>10</v>
      </c>
      <c r="S87">
        <v>20</v>
      </c>
      <c r="T87">
        <v>0.5</v>
      </c>
      <c r="U87">
        <v>0.46800000000000003</v>
      </c>
      <c r="V87">
        <v>10</v>
      </c>
      <c r="W87">
        <v>11</v>
      </c>
      <c r="X87">
        <v>0.90900000000000003</v>
      </c>
      <c r="Y87">
        <v>1</v>
      </c>
      <c r="Z87">
        <v>6</v>
      </c>
      <c r="AA87">
        <v>7</v>
      </c>
      <c r="AB87">
        <v>9</v>
      </c>
      <c r="AC87">
        <v>1</v>
      </c>
      <c r="AD87">
        <v>0</v>
      </c>
      <c r="AE87">
        <v>4</v>
      </c>
      <c r="AF87">
        <v>4</v>
      </c>
      <c r="AG87">
        <v>39</v>
      </c>
      <c r="AH87">
        <v>26.3</v>
      </c>
      <c r="AI87">
        <v>-6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C8FE-49B2-5340-B99C-CC689F226B04}">
  <dimension ref="A1:AI105"/>
  <sheetViews>
    <sheetView workbookViewId="0">
      <selection activeCell="H2" sqref="H2:H105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545</v>
      </c>
      <c r="B2" s="11"/>
      <c r="D2">
        <v>1</v>
      </c>
      <c r="E2" s="4">
        <v>44488</v>
      </c>
      <c r="F2" t="s">
        <v>33</v>
      </c>
      <c r="G2" t="s">
        <v>37</v>
      </c>
      <c r="H2" t="s">
        <v>62</v>
      </c>
      <c r="I2" t="s">
        <v>63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</row>
    <row r="3" spans="1:35" ht="21" x14ac:dyDescent="0.3">
      <c r="A3" t="s">
        <v>545</v>
      </c>
      <c r="B3" s="11"/>
      <c r="D3">
        <v>2</v>
      </c>
      <c r="E3" s="4">
        <v>44490</v>
      </c>
      <c r="F3" t="s">
        <v>33</v>
      </c>
      <c r="H3" t="s">
        <v>64</v>
      </c>
      <c r="I3" t="s">
        <v>65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R3" t="s">
        <v>91</v>
      </c>
      <c r="S3" t="s">
        <v>91</v>
      </c>
      <c r="T3" t="s">
        <v>91</v>
      </c>
      <c r="U3" t="s">
        <v>91</v>
      </c>
      <c r="V3" t="s">
        <v>91</v>
      </c>
      <c r="W3" t="s">
        <v>91</v>
      </c>
      <c r="X3" t="s">
        <v>91</v>
      </c>
      <c r="Y3" t="s">
        <v>91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</row>
    <row r="4" spans="1:35" ht="21" x14ac:dyDescent="0.3">
      <c r="A4" t="s">
        <v>545</v>
      </c>
      <c r="B4" s="11"/>
      <c r="D4">
        <v>3</v>
      </c>
      <c r="E4" s="4">
        <v>44493</v>
      </c>
      <c r="F4" t="s">
        <v>33</v>
      </c>
      <c r="G4" t="s">
        <v>37</v>
      </c>
      <c r="H4" t="s">
        <v>66</v>
      </c>
      <c r="I4" t="s">
        <v>67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R4" t="s">
        <v>91</v>
      </c>
      <c r="S4" t="s">
        <v>91</v>
      </c>
      <c r="T4" t="s">
        <v>91</v>
      </c>
      <c r="U4" t="s">
        <v>91</v>
      </c>
      <c r="V4" t="s">
        <v>91</v>
      </c>
      <c r="W4" t="s">
        <v>91</v>
      </c>
      <c r="X4" t="s">
        <v>91</v>
      </c>
      <c r="Y4" t="s">
        <v>91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</row>
    <row r="5" spans="1:35" ht="21" x14ac:dyDescent="0.3">
      <c r="A5" t="s">
        <v>545</v>
      </c>
      <c r="B5" s="11"/>
      <c r="D5">
        <v>4</v>
      </c>
      <c r="E5" s="4">
        <v>44495</v>
      </c>
      <c r="F5" t="s">
        <v>33</v>
      </c>
      <c r="G5" t="s">
        <v>37</v>
      </c>
      <c r="H5" t="s">
        <v>68</v>
      </c>
      <c r="I5" t="s">
        <v>69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t="s">
        <v>91</v>
      </c>
      <c r="V5" t="s">
        <v>91</v>
      </c>
      <c r="W5" t="s">
        <v>91</v>
      </c>
      <c r="X5" t="s">
        <v>91</v>
      </c>
      <c r="Y5" t="s">
        <v>91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</row>
    <row r="6" spans="1:35" ht="21" x14ac:dyDescent="0.3">
      <c r="A6" t="s">
        <v>545</v>
      </c>
      <c r="B6" s="11"/>
      <c r="D6">
        <v>5</v>
      </c>
      <c r="E6" s="4">
        <v>44497</v>
      </c>
      <c r="F6" t="s">
        <v>33</v>
      </c>
      <c r="H6" t="s">
        <v>42</v>
      </c>
      <c r="I6" t="s">
        <v>70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</row>
    <row r="7" spans="1:35" ht="21" x14ac:dyDescent="0.3">
      <c r="A7" t="s">
        <v>545</v>
      </c>
      <c r="B7" s="11"/>
      <c r="D7">
        <v>6</v>
      </c>
      <c r="E7" s="4">
        <v>44499</v>
      </c>
      <c r="F7" t="s">
        <v>33</v>
      </c>
      <c r="H7" t="s">
        <v>68</v>
      </c>
      <c r="I7" t="s">
        <v>71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</row>
    <row r="8" spans="1:35" ht="21" x14ac:dyDescent="0.3">
      <c r="A8" t="s">
        <v>545</v>
      </c>
      <c r="B8" s="11"/>
      <c r="D8">
        <v>7</v>
      </c>
      <c r="E8" s="4">
        <v>44503</v>
      </c>
      <c r="F8" t="s">
        <v>33</v>
      </c>
      <c r="H8" t="s">
        <v>72</v>
      </c>
      <c r="I8" t="s">
        <v>73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</row>
    <row r="9" spans="1:35" ht="21" x14ac:dyDescent="0.3">
      <c r="A9" t="s">
        <v>545</v>
      </c>
      <c r="B9" s="11"/>
      <c r="D9">
        <v>8</v>
      </c>
      <c r="E9" s="4">
        <v>44505</v>
      </c>
      <c r="F9" t="s">
        <v>33</v>
      </c>
      <c r="H9" t="s">
        <v>74</v>
      </c>
      <c r="I9" t="s">
        <v>75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91</v>
      </c>
      <c r="S9" t="s">
        <v>91</v>
      </c>
      <c r="T9" t="s">
        <v>91</v>
      </c>
      <c r="U9" t="s">
        <v>91</v>
      </c>
      <c r="V9" t="s">
        <v>91</v>
      </c>
      <c r="W9" t="s">
        <v>91</v>
      </c>
      <c r="X9" t="s">
        <v>91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</row>
    <row r="10" spans="1:35" ht="21" x14ac:dyDescent="0.3">
      <c r="A10" t="s">
        <v>545</v>
      </c>
      <c r="B10" s="11"/>
      <c r="D10">
        <v>9</v>
      </c>
      <c r="E10" s="4">
        <v>44507</v>
      </c>
      <c r="F10" t="s">
        <v>33</v>
      </c>
      <c r="H10" t="s">
        <v>76</v>
      </c>
      <c r="I10" t="s">
        <v>77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</row>
    <row r="11" spans="1:35" ht="21" x14ac:dyDescent="0.3">
      <c r="A11" t="s">
        <v>545</v>
      </c>
      <c r="B11" s="11"/>
      <c r="D11">
        <v>10</v>
      </c>
      <c r="E11" s="4">
        <v>44508</v>
      </c>
      <c r="F11" t="s">
        <v>33</v>
      </c>
      <c r="H11" t="s">
        <v>78</v>
      </c>
      <c r="I11" t="s">
        <v>79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</row>
    <row r="12" spans="1:35" ht="21" x14ac:dyDescent="0.3">
      <c r="A12" t="s">
        <v>545</v>
      </c>
      <c r="B12" s="11"/>
      <c r="D12">
        <v>11</v>
      </c>
      <c r="E12" s="4">
        <v>44510</v>
      </c>
      <c r="F12" t="s">
        <v>33</v>
      </c>
      <c r="H12" t="s">
        <v>80</v>
      </c>
      <c r="I12" t="s">
        <v>81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</row>
    <row r="13" spans="1:35" ht="21" x14ac:dyDescent="0.3">
      <c r="A13" t="s">
        <v>545</v>
      </c>
      <c r="B13" s="11"/>
      <c r="D13">
        <v>12</v>
      </c>
      <c r="E13" s="4">
        <v>44512</v>
      </c>
      <c r="F13" t="s">
        <v>33</v>
      </c>
      <c r="H13" t="s">
        <v>82</v>
      </c>
      <c r="I13" t="s">
        <v>83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91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</row>
    <row r="14" spans="1:35" ht="21" x14ac:dyDescent="0.3">
      <c r="A14" t="s">
        <v>545</v>
      </c>
      <c r="B14" s="11"/>
      <c r="D14">
        <v>13</v>
      </c>
      <c r="E14" s="4">
        <v>44514</v>
      </c>
      <c r="F14" t="s">
        <v>33</v>
      </c>
      <c r="G14" t="s">
        <v>37</v>
      </c>
      <c r="H14" t="s">
        <v>72</v>
      </c>
      <c r="I14" t="s">
        <v>84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</row>
    <row r="15" spans="1:35" ht="21" x14ac:dyDescent="0.3">
      <c r="A15" t="s">
        <v>545</v>
      </c>
      <c r="B15" s="11"/>
      <c r="D15">
        <v>14</v>
      </c>
      <c r="E15" s="4">
        <v>44516</v>
      </c>
      <c r="F15" t="s">
        <v>33</v>
      </c>
      <c r="G15" t="s">
        <v>37</v>
      </c>
      <c r="H15" t="s">
        <v>85</v>
      </c>
      <c r="I15" t="s">
        <v>86</v>
      </c>
      <c r="J15" t="s">
        <v>91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</row>
    <row r="16" spans="1:35" ht="21" x14ac:dyDescent="0.3">
      <c r="A16" t="s">
        <v>545</v>
      </c>
      <c r="B16" s="11"/>
      <c r="D16">
        <v>15</v>
      </c>
      <c r="E16" s="4">
        <v>44518</v>
      </c>
      <c r="F16" t="s">
        <v>33</v>
      </c>
      <c r="G16" t="s">
        <v>37</v>
      </c>
      <c r="H16" t="s">
        <v>87</v>
      </c>
      <c r="I16" t="s">
        <v>88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</row>
    <row r="17" spans="1:35" ht="21" x14ac:dyDescent="0.3">
      <c r="A17" t="s">
        <v>545</v>
      </c>
      <c r="B17" s="11"/>
      <c r="D17">
        <v>16</v>
      </c>
      <c r="E17" s="4">
        <v>44519</v>
      </c>
      <c r="F17" t="s">
        <v>33</v>
      </c>
      <c r="G17" t="s">
        <v>37</v>
      </c>
      <c r="H17" t="s">
        <v>89</v>
      </c>
      <c r="I17" t="s">
        <v>90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</row>
    <row r="18" spans="1:35" ht="21" x14ac:dyDescent="0.3">
      <c r="A18" t="s">
        <v>545</v>
      </c>
      <c r="B18" s="11"/>
      <c r="D18">
        <v>17</v>
      </c>
      <c r="E18" s="4">
        <v>44521</v>
      </c>
      <c r="F18" t="s">
        <v>33</v>
      </c>
      <c r="H18" t="s">
        <v>92</v>
      </c>
      <c r="I18" t="s">
        <v>93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</row>
    <row r="19" spans="1:35" ht="21" x14ac:dyDescent="0.3">
      <c r="A19" t="s">
        <v>545</v>
      </c>
      <c r="B19" s="11"/>
      <c r="D19">
        <v>18</v>
      </c>
      <c r="E19" s="4">
        <v>44524</v>
      </c>
      <c r="F19" t="s">
        <v>33</v>
      </c>
      <c r="H19" t="s">
        <v>94</v>
      </c>
      <c r="I19" t="s">
        <v>95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t="s">
        <v>91</v>
      </c>
      <c r="X19" t="s">
        <v>91</v>
      </c>
      <c r="Y19" t="s">
        <v>91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</row>
    <row r="20" spans="1:35" ht="21" x14ac:dyDescent="0.3">
      <c r="A20" t="s">
        <v>545</v>
      </c>
      <c r="B20" s="11"/>
      <c r="D20">
        <v>19</v>
      </c>
      <c r="E20" s="4">
        <v>44526</v>
      </c>
      <c r="F20" t="s">
        <v>33</v>
      </c>
      <c r="H20" t="s">
        <v>96</v>
      </c>
      <c r="I20" t="s">
        <v>97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91</v>
      </c>
      <c r="Q20" t="s">
        <v>91</v>
      </c>
      <c r="R20" t="s">
        <v>91</v>
      </c>
      <c r="S20" t="s">
        <v>91</v>
      </c>
      <c r="T20" t="s">
        <v>91</v>
      </c>
      <c r="U20" t="s">
        <v>91</v>
      </c>
      <c r="V20" t="s">
        <v>91</v>
      </c>
      <c r="W20" t="s">
        <v>91</v>
      </c>
      <c r="X20" t="s">
        <v>91</v>
      </c>
      <c r="Y20" t="s">
        <v>91</v>
      </c>
      <c r="Z20" t="s">
        <v>91</v>
      </c>
      <c r="AA20" t="s">
        <v>91</v>
      </c>
      <c r="AB20" t="s">
        <v>91</v>
      </c>
      <c r="AC20" t="s">
        <v>91</v>
      </c>
      <c r="AD20" t="s">
        <v>91</v>
      </c>
      <c r="AE20" t="s">
        <v>91</v>
      </c>
      <c r="AF20" t="s">
        <v>91</v>
      </c>
      <c r="AG20" t="s">
        <v>91</v>
      </c>
      <c r="AH20" t="s">
        <v>91</v>
      </c>
      <c r="AI20" t="s">
        <v>91</v>
      </c>
    </row>
    <row r="21" spans="1:35" ht="21" x14ac:dyDescent="0.3">
      <c r="A21" t="s">
        <v>545</v>
      </c>
      <c r="B21" s="11"/>
      <c r="D21">
        <v>20</v>
      </c>
      <c r="E21" s="4">
        <v>44528</v>
      </c>
      <c r="F21" t="s">
        <v>33</v>
      </c>
      <c r="G21" t="s">
        <v>37</v>
      </c>
      <c r="H21" t="s">
        <v>64</v>
      </c>
      <c r="I21" t="s">
        <v>98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R21" t="s">
        <v>91</v>
      </c>
      <c r="S21" t="s">
        <v>91</v>
      </c>
      <c r="T21" t="s">
        <v>91</v>
      </c>
      <c r="U21" t="s">
        <v>91</v>
      </c>
      <c r="V21" t="s">
        <v>91</v>
      </c>
      <c r="W21" t="s">
        <v>91</v>
      </c>
      <c r="X21" t="s">
        <v>91</v>
      </c>
      <c r="Y21" t="s">
        <v>91</v>
      </c>
      <c r="Z21" t="s">
        <v>91</v>
      </c>
      <c r="AA21" t="s">
        <v>91</v>
      </c>
      <c r="AB21" t="s">
        <v>91</v>
      </c>
      <c r="AC21" t="s">
        <v>91</v>
      </c>
      <c r="AD21" t="s">
        <v>91</v>
      </c>
      <c r="AE21" t="s">
        <v>91</v>
      </c>
      <c r="AF21" t="s">
        <v>91</v>
      </c>
      <c r="AG21" t="s">
        <v>91</v>
      </c>
      <c r="AH21" t="s">
        <v>91</v>
      </c>
      <c r="AI21" t="s">
        <v>91</v>
      </c>
    </row>
    <row r="22" spans="1:35" ht="21" x14ac:dyDescent="0.3">
      <c r="A22" t="s">
        <v>545</v>
      </c>
      <c r="B22" s="11"/>
      <c r="D22">
        <v>21</v>
      </c>
      <c r="E22" s="4">
        <v>44530</v>
      </c>
      <c r="F22" t="s">
        <v>33</v>
      </c>
      <c r="G22" t="s">
        <v>37</v>
      </c>
      <c r="H22" t="s">
        <v>99</v>
      </c>
      <c r="I22" t="s">
        <v>100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91</v>
      </c>
      <c r="Q22" t="s">
        <v>91</v>
      </c>
      <c r="R22" t="s">
        <v>91</v>
      </c>
      <c r="S22" t="s">
        <v>91</v>
      </c>
      <c r="T22" t="s">
        <v>91</v>
      </c>
      <c r="U22" t="s">
        <v>91</v>
      </c>
      <c r="V22" t="s">
        <v>91</v>
      </c>
      <c r="W22" t="s">
        <v>91</v>
      </c>
      <c r="X22" t="s">
        <v>91</v>
      </c>
      <c r="Y22" t="s">
        <v>91</v>
      </c>
      <c r="Z22" t="s">
        <v>91</v>
      </c>
      <c r="AA22" t="s">
        <v>91</v>
      </c>
      <c r="AB22" t="s">
        <v>91</v>
      </c>
      <c r="AC22" t="s">
        <v>91</v>
      </c>
      <c r="AD22" t="s">
        <v>91</v>
      </c>
      <c r="AE22" t="s">
        <v>91</v>
      </c>
      <c r="AF22" t="s">
        <v>91</v>
      </c>
      <c r="AG22" t="s">
        <v>91</v>
      </c>
      <c r="AH22" t="s">
        <v>91</v>
      </c>
      <c r="AI22" t="s">
        <v>91</v>
      </c>
    </row>
    <row r="23" spans="1:35" ht="21" x14ac:dyDescent="0.3">
      <c r="A23" t="s">
        <v>545</v>
      </c>
      <c r="B23" s="11"/>
      <c r="D23">
        <v>22</v>
      </c>
      <c r="E23" s="4">
        <v>44533</v>
      </c>
      <c r="F23" t="s">
        <v>33</v>
      </c>
      <c r="H23" t="s">
        <v>99</v>
      </c>
      <c r="I23" t="s">
        <v>101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91</v>
      </c>
      <c r="Q23" t="s">
        <v>91</v>
      </c>
      <c r="R23" t="s">
        <v>91</v>
      </c>
      <c r="S23" t="s">
        <v>91</v>
      </c>
      <c r="T23" t="s">
        <v>91</v>
      </c>
      <c r="U23" t="s">
        <v>91</v>
      </c>
      <c r="V23" t="s">
        <v>91</v>
      </c>
      <c r="W23" t="s">
        <v>91</v>
      </c>
      <c r="X23" t="s">
        <v>91</v>
      </c>
      <c r="Y23" t="s">
        <v>91</v>
      </c>
      <c r="Z23" t="s">
        <v>91</v>
      </c>
      <c r="AA23" t="s">
        <v>91</v>
      </c>
      <c r="AB23" t="s">
        <v>91</v>
      </c>
      <c r="AC23" t="s">
        <v>91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91</v>
      </c>
    </row>
    <row r="24" spans="1:35" ht="21" x14ac:dyDescent="0.3">
      <c r="A24" t="s">
        <v>545</v>
      </c>
      <c r="B24" s="11"/>
      <c r="D24">
        <v>23</v>
      </c>
      <c r="E24" s="4">
        <v>44534</v>
      </c>
      <c r="F24" t="s">
        <v>33</v>
      </c>
      <c r="H24" t="s">
        <v>102</v>
      </c>
      <c r="I24" t="s">
        <v>103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  <c r="O24" t="s">
        <v>91</v>
      </c>
      <c r="P24" t="s">
        <v>91</v>
      </c>
      <c r="Q24" t="s">
        <v>91</v>
      </c>
      <c r="R24" t="s">
        <v>91</v>
      </c>
      <c r="S24" t="s">
        <v>91</v>
      </c>
      <c r="T24" t="s">
        <v>91</v>
      </c>
      <c r="U24" t="s">
        <v>91</v>
      </c>
      <c r="V24" t="s">
        <v>91</v>
      </c>
      <c r="W24" t="s">
        <v>91</v>
      </c>
      <c r="X24" t="s">
        <v>91</v>
      </c>
      <c r="Y24" t="s">
        <v>91</v>
      </c>
      <c r="Z24" t="s">
        <v>91</v>
      </c>
      <c r="AA24" t="s">
        <v>91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</row>
    <row r="25" spans="1:35" ht="21" x14ac:dyDescent="0.3">
      <c r="A25" t="s">
        <v>545</v>
      </c>
      <c r="B25" s="11"/>
      <c r="D25">
        <v>24</v>
      </c>
      <c r="E25" s="4">
        <v>44536</v>
      </c>
      <c r="F25" t="s">
        <v>33</v>
      </c>
      <c r="H25" t="s">
        <v>104</v>
      </c>
      <c r="I25" t="s">
        <v>105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91</v>
      </c>
      <c r="Q25" t="s">
        <v>91</v>
      </c>
      <c r="R25" t="s">
        <v>91</v>
      </c>
      <c r="S25" t="s">
        <v>91</v>
      </c>
      <c r="T25" t="s">
        <v>91</v>
      </c>
      <c r="U25" t="s">
        <v>91</v>
      </c>
      <c r="V25" t="s">
        <v>91</v>
      </c>
      <c r="W25" t="s">
        <v>91</v>
      </c>
      <c r="X25" t="s">
        <v>91</v>
      </c>
      <c r="Y25" t="s">
        <v>91</v>
      </c>
      <c r="Z25" t="s">
        <v>91</v>
      </c>
      <c r="AA25" t="s">
        <v>91</v>
      </c>
      <c r="AB25" t="s">
        <v>91</v>
      </c>
      <c r="AC25" t="s">
        <v>91</v>
      </c>
      <c r="AD25" t="s">
        <v>91</v>
      </c>
      <c r="AE25" t="s">
        <v>91</v>
      </c>
      <c r="AF25" t="s">
        <v>91</v>
      </c>
      <c r="AG25" t="s">
        <v>91</v>
      </c>
      <c r="AH25" t="s">
        <v>91</v>
      </c>
      <c r="AI25" t="s">
        <v>91</v>
      </c>
    </row>
    <row r="26" spans="1:35" ht="21" x14ac:dyDescent="0.3">
      <c r="A26" t="s">
        <v>545</v>
      </c>
      <c r="B26" s="11"/>
      <c r="D26">
        <v>25</v>
      </c>
      <c r="E26" s="4">
        <v>44538</v>
      </c>
      <c r="F26" t="s">
        <v>33</v>
      </c>
      <c r="H26" t="s">
        <v>96</v>
      </c>
      <c r="I26" t="s">
        <v>106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91</v>
      </c>
      <c r="Q26" t="s">
        <v>91</v>
      </c>
      <c r="R26" t="s">
        <v>91</v>
      </c>
      <c r="S26" t="s">
        <v>91</v>
      </c>
      <c r="T26" t="s">
        <v>91</v>
      </c>
      <c r="U26" t="s">
        <v>91</v>
      </c>
      <c r="V26" t="s">
        <v>91</v>
      </c>
      <c r="W26" t="s">
        <v>91</v>
      </c>
      <c r="X26" t="s">
        <v>91</v>
      </c>
      <c r="Y26" t="s">
        <v>91</v>
      </c>
      <c r="Z26" t="s">
        <v>91</v>
      </c>
      <c r="AA26" t="s">
        <v>91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</row>
    <row r="27" spans="1:35" ht="21" x14ac:dyDescent="0.3">
      <c r="A27" t="s">
        <v>545</v>
      </c>
      <c r="B27" s="11"/>
      <c r="D27">
        <v>26</v>
      </c>
      <c r="E27" s="4">
        <v>44541</v>
      </c>
      <c r="F27" t="s">
        <v>33</v>
      </c>
      <c r="G27" t="s">
        <v>37</v>
      </c>
      <c r="H27" t="s">
        <v>94</v>
      </c>
      <c r="I27" t="s">
        <v>107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91</v>
      </c>
      <c r="Q27" t="s">
        <v>91</v>
      </c>
      <c r="R27" t="s">
        <v>91</v>
      </c>
      <c r="S27" t="s">
        <v>91</v>
      </c>
      <c r="T27" t="s">
        <v>91</v>
      </c>
      <c r="U27" t="s">
        <v>91</v>
      </c>
      <c r="V27" t="s">
        <v>91</v>
      </c>
      <c r="W27" t="s">
        <v>91</v>
      </c>
      <c r="X27" t="s">
        <v>91</v>
      </c>
      <c r="Y27" t="s">
        <v>91</v>
      </c>
      <c r="Z27" t="s">
        <v>91</v>
      </c>
      <c r="AA27" t="s">
        <v>91</v>
      </c>
      <c r="AB27" t="s">
        <v>91</v>
      </c>
      <c r="AC27" t="s">
        <v>91</v>
      </c>
      <c r="AD27" t="s">
        <v>91</v>
      </c>
      <c r="AE27" t="s">
        <v>91</v>
      </c>
      <c r="AF27" t="s">
        <v>91</v>
      </c>
      <c r="AG27" t="s">
        <v>91</v>
      </c>
      <c r="AH27" t="s">
        <v>91</v>
      </c>
      <c r="AI27" t="s">
        <v>91</v>
      </c>
    </row>
    <row r="28" spans="1:35" ht="21" x14ac:dyDescent="0.3">
      <c r="A28" t="s">
        <v>545</v>
      </c>
      <c r="B28" s="11"/>
      <c r="D28">
        <v>27</v>
      </c>
      <c r="E28" s="4">
        <v>44543</v>
      </c>
      <c r="F28" t="s">
        <v>33</v>
      </c>
      <c r="G28" t="s">
        <v>37</v>
      </c>
      <c r="H28" t="s">
        <v>108</v>
      </c>
      <c r="I28" t="s">
        <v>109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91</v>
      </c>
      <c r="Q28" t="s">
        <v>91</v>
      </c>
      <c r="R28" t="s">
        <v>91</v>
      </c>
      <c r="S28" t="s">
        <v>91</v>
      </c>
      <c r="T28" t="s">
        <v>91</v>
      </c>
      <c r="U28" t="s">
        <v>91</v>
      </c>
      <c r="V28" t="s">
        <v>91</v>
      </c>
      <c r="W28" t="s">
        <v>91</v>
      </c>
      <c r="X28" t="s">
        <v>91</v>
      </c>
      <c r="Y28" t="s">
        <v>91</v>
      </c>
      <c r="Z28" t="s">
        <v>91</v>
      </c>
      <c r="AA28" t="s">
        <v>91</v>
      </c>
      <c r="AB28" t="s">
        <v>91</v>
      </c>
      <c r="AC28" t="s">
        <v>91</v>
      </c>
      <c r="AD28" t="s">
        <v>91</v>
      </c>
      <c r="AE28" t="s">
        <v>91</v>
      </c>
      <c r="AF28" t="s">
        <v>91</v>
      </c>
      <c r="AG28" t="s">
        <v>91</v>
      </c>
      <c r="AH28" t="s">
        <v>91</v>
      </c>
      <c r="AI28" t="s">
        <v>91</v>
      </c>
    </row>
    <row r="29" spans="1:35" ht="21" x14ac:dyDescent="0.3">
      <c r="A29" t="s">
        <v>545</v>
      </c>
      <c r="B29" s="11"/>
      <c r="D29">
        <v>28</v>
      </c>
      <c r="E29" s="4">
        <v>44544</v>
      </c>
      <c r="F29" t="s">
        <v>33</v>
      </c>
      <c r="G29" t="s">
        <v>37</v>
      </c>
      <c r="H29" t="s">
        <v>110</v>
      </c>
      <c r="I29" t="s">
        <v>111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91</v>
      </c>
      <c r="Q29" t="s">
        <v>91</v>
      </c>
      <c r="R29" t="s">
        <v>91</v>
      </c>
      <c r="S29" t="s">
        <v>91</v>
      </c>
      <c r="T29" t="s">
        <v>91</v>
      </c>
      <c r="U29" t="s">
        <v>91</v>
      </c>
      <c r="V29" t="s">
        <v>91</v>
      </c>
      <c r="W29" t="s">
        <v>91</v>
      </c>
      <c r="X29" t="s">
        <v>91</v>
      </c>
      <c r="Y29" t="s">
        <v>91</v>
      </c>
      <c r="Z29" t="s">
        <v>91</v>
      </c>
      <c r="AA29" t="s">
        <v>91</v>
      </c>
      <c r="AB29" t="s">
        <v>91</v>
      </c>
      <c r="AC29" t="s">
        <v>91</v>
      </c>
      <c r="AD29" t="s">
        <v>91</v>
      </c>
      <c r="AE29" t="s">
        <v>91</v>
      </c>
      <c r="AF29" t="s">
        <v>91</v>
      </c>
      <c r="AG29" t="s">
        <v>91</v>
      </c>
      <c r="AH29" t="s">
        <v>91</v>
      </c>
      <c r="AI29" t="s">
        <v>91</v>
      </c>
    </row>
    <row r="30" spans="1:35" ht="21" x14ac:dyDescent="0.3">
      <c r="A30" t="s">
        <v>545</v>
      </c>
      <c r="B30" s="11"/>
      <c r="D30">
        <v>29</v>
      </c>
      <c r="E30" s="4">
        <v>44547</v>
      </c>
      <c r="F30" t="s">
        <v>33</v>
      </c>
      <c r="G30" t="s">
        <v>37</v>
      </c>
      <c r="H30" t="s">
        <v>55</v>
      </c>
      <c r="I30" t="s">
        <v>112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  <c r="O30" t="s">
        <v>91</v>
      </c>
      <c r="P30" t="s">
        <v>91</v>
      </c>
      <c r="Q30" t="s">
        <v>91</v>
      </c>
      <c r="R30" t="s">
        <v>91</v>
      </c>
      <c r="S30" t="s">
        <v>91</v>
      </c>
      <c r="T30" t="s">
        <v>91</v>
      </c>
      <c r="U30" t="s">
        <v>91</v>
      </c>
      <c r="V30" t="s">
        <v>91</v>
      </c>
      <c r="W30" t="s">
        <v>91</v>
      </c>
      <c r="X30" t="s">
        <v>91</v>
      </c>
      <c r="Y30" t="s">
        <v>91</v>
      </c>
      <c r="Z30" t="s">
        <v>91</v>
      </c>
      <c r="AA30" t="s">
        <v>91</v>
      </c>
      <c r="AB30" t="s">
        <v>91</v>
      </c>
      <c r="AC30" t="s">
        <v>91</v>
      </c>
      <c r="AD30" t="s">
        <v>91</v>
      </c>
      <c r="AE30" t="s">
        <v>91</v>
      </c>
      <c r="AF30" t="s">
        <v>91</v>
      </c>
      <c r="AG30" t="s">
        <v>91</v>
      </c>
      <c r="AH30" t="s">
        <v>91</v>
      </c>
      <c r="AI30" t="s">
        <v>91</v>
      </c>
    </row>
    <row r="31" spans="1:35" ht="21" x14ac:dyDescent="0.3">
      <c r="A31" t="s">
        <v>545</v>
      </c>
      <c r="B31" s="11"/>
      <c r="D31">
        <v>30</v>
      </c>
      <c r="E31" s="4">
        <v>44548</v>
      </c>
      <c r="F31" t="s">
        <v>33</v>
      </c>
      <c r="G31" t="s">
        <v>37</v>
      </c>
      <c r="H31" t="s">
        <v>92</v>
      </c>
      <c r="I31" t="s">
        <v>113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  <c r="O31" t="s">
        <v>91</v>
      </c>
      <c r="P31" t="s">
        <v>91</v>
      </c>
      <c r="Q31" t="s">
        <v>91</v>
      </c>
      <c r="R31" t="s">
        <v>91</v>
      </c>
      <c r="S31" t="s">
        <v>91</v>
      </c>
      <c r="T31" t="s">
        <v>91</v>
      </c>
      <c r="U31" t="s">
        <v>91</v>
      </c>
      <c r="V31" t="s">
        <v>91</v>
      </c>
      <c r="W31" t="s">
        <v>91</v>
      </c>
      <c r="X31" t="s">
        <v>91</v>
      </c>
      <c r="Y31" t="s">
        <v>91</v>
      </c>
      <c r="Z31" t="s">
        <v>91</v>
      </c>
      <c r="AA31" t="s">
        <v>91</v>
      </c>
      <c r="AB31" t="s">
        <v>91</v>
      </c>
      <c r="AC31" t="s">
        <v>91</v>
      </c>
      <c r="AD31" t="s">
        <v>91</v>
      </c>
      <c r="AE31" t="s">
        <v>91</v>
      </c>
      <c r="AF31" t="s">
        <v>91</v>
      </c>
      <c r="AG31" t="s">
        <v>91</v>
      </c>
      <c r="AH31" t="s">
        <v>91</v>
      </c>
      <c r="AI31" t="s">
        <v>91</v>
      </c>
    </row>
    <row r="32" spans="1:35" ht="21" x14ac:dyDescent="0.3">
      <c r="A32" t="s">
        <v>545</v>
      </c>
      <c r="B32" s="11"/>
      <c r="D32">
        <v>31</v>
      </c>
      <c r="E32" s="4">
        <v>44550</v>
      </c>
      <c r="F32" t="s">
        <v>33</v>
      </c>
      <c r="H32" t="s">
        <v>66</v>
      </c>
      <c r="I32" t="s">
        <v>114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  <c r="O32" t="s">
        <v>91</v>
      </c>
      <c r="P32" t="s">
        <v>91</v>
      </c>
      <c r="Q32" t="s">
        <v>91</v>
      </c>
      <c r="R32" t="s">
        <v>91</v>
      </c>
      <c r="S32" t="s">
        <v>91</v>
      </c>
      <c r="T32" t="s">
        <v>91</v>
      </c>
      <c r="U32" t="s">
        <v>91</v>
      </c>
      <c r="V32" t="s">
        <v>91</v>
      </c>
      <c r="W32" t="s">
        <v>91</v>
      </c>
      <c r="X32" t="s">
        <v>91</v>
      </c>
      <c r="Y32" t="s">
        <v>91</v>
      </c>
      <c r="Z32" t="s">
        <v>91</v>
      </c>
      <c r="AA32" t="s">
        <v>91</v>
      </c>
      <c r="AB32" t="s">
        <v>91</v>
      </c>
      <c r="AC32" t="s">
        <v>91</v>
      </c>
      <c r="AD32" t="s">
        <v>91</v>
      </c>
      <c r="AE32" t="s">
        <v>91</v>
      </c>
      <c r="AF32" t="s">
        <v>91</v>
      </c>
      <c r="AG32" t="s">
        <v>91</v>
      </c>
      <c r="AH32" t="s">
        <v>91</v>
      </c>
      <c r="AI32" t="s">
        <v>91</v>
      </c>
    </row>
    <row r="33" spans="1:35" ht="21" x14ac:dyDescent="0.3">
      <c r="A33" t="s">
        <v>545</v>
      </c>
      <c r="B33" s="11"/>
      <c r="D33">
        <v>32</v>
      </c>
      <c r="E33" s="4">
        <v>44553</v>
      </c>
      <c r="F33" t="s">
        <v>33</v>
      </c>
      <c r="H33" t="s">
        <v>42</v>
      </c>
      <c r="I33" t="s">
        <v>115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91</v>
      </c>
      <c r="Q33" t="s">
        <v>91</v>
      </c>
      <c r="R33" t="s">
        <v>91</v>
      </c>
      <c r="S33" t="s">
        <v>91</v>
      </c>
      <c r="T33" t="s">
        <v>91</v>
      </c>
      <c r="U33" t="s">
        <v>91</v>
      </c>
      <c r="V33" t="s">
        <v>91</v>
      </c>
      <c r="W33" t="s">
        <v>91</v>
      </c>
      <c r="X33" t="s">
        <v>91</v>
      </c>
      <c r="Y33" t="s">
        <v>91</v>
      </c>
      <c r="Z33" t="s">
        <v>91</v>
      </c>
      <c r="AA33" t="s">
        <v>91</v>
      </c>
      <c r="AB33" t="s">
        <v>91</v>
      </c>
      <c r="AC33" t="s">
        <v>91</v>
      </c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 t="s">
        <v>91</v>
      </c>
    </row>
    <row r="34" spans="1:35" ht="21" x14ac:dyDescent="0.3">
      <c r="A34" t="s">
        <v>545</v>
      </c>
      <c r="B34" s="11"/>
      <c r="D34">
        <v>33</v>
      </c>
      <c r="E34" s="4">
        <v>44555</v>
      </c>
      <c r="F34" t="s">
        <v>33</v>
      </c>
      <c r="G34" t="s">
        <v>37</v>
      </c>
      <c r="H34" t="s">
        <v>99</v>
      </c>
      <c r="I34" t="s">
        <v>116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  <c r="O34" t="s">
        <v>91</v>
      </c>
      <c r="P34" t="s">
        <v>91</v>
      </c>
      <c r="Q34" t="s">
        <v>91</v>
      </c>
      <c r="R34" t="s">
        <v>91</v>
      </c>
      <c r="S34" t="s">
        <v>91</v>
      </c>
      <c r="T34" t="s">
        <v>91</v>
      </c>
      <c r="U34" t="s">
        <v>91</v>
      </c>
      <c r="V34" t="s">
        <v>91</v>
      </c>
      <c r="W34" t="s">
        <v>91</v>
      </c>
      <c r="X34" t="s">
        <v>91</v>
      </c>
      <c r="Y34" t="s">
        <v>91</v>
      </c>
      <c r="Z34" t="s">
        <v>91</v>
      </c>
      <c r="AA34" t="s">
        <v>91</v>
      </c>
      <c r="AB34" t="s">
        <v>91</v>
      </c>
      <c r="AC34" t="s">
        <v>91</v>
      </c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 t="s">
        <v>91</v>
      </c>
    </row>
    <row r="35" spans="1:35" ht="21" x14ac:dyDescent="0.3">
      <c r="A35" t="s">
        <v>545</v>
      </c>
      <c r="B35" s="11"/>
      <c r="D35">
        <v>34</v>
      </c>
      <c r="E35" s="4">
        <v>44558</v>
      </c>
      <c r="F35" t="s">
        <v>33</v>
      </c>
      <c r="H35" t="s">
        <v>34</v>
      </c>
      <c r="I35" t="s">
        <v>117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  <c r="O35" t="s">
        <v>91</v>
      </c>
      <c r="P35" t="s">
        <v>91</v>
      </c>
      <c r="Q35" t="s">
        <v>91</v>
      </c>
      <c r="R35" t="s">
        <v>91</v>
      </c>
      <c r="S35" t="s">
        <v>91</v>
      </c>
      <c r="T35" t="s">
        <v>91</v>
      </c>
      <c r="U35" t="s">
        <v>91</v>
      </c>
      <c r="V35" t="s">
        <v>91</v>
      </c>
      <c r="W35" t="s">
        <v>91</v>
      </c>
      <c r="X35" t="s">
        <v>91</v>
      </c>
      <c r="Y35" t="s">
        <v>91</v>
      </c>
      <c r="Z35" t="s">
        <v>91</v>
      </c>
      <c r="AA35" t="s">
        <v>91</v>
      </c>
      <c r="AB35" t="s">
        <v>91</v>
      </c>
      <c r="AC35" t="s">
        <v>91</v>
      </c>
      <c r="AD35" t="s">
        <v>91</v>
      </c>
      <c r="AE35" t="s">
        <v>91</v>
      </c>
      <c r="AF35" t="s">
        <v>91</v>
      </c>
      <c r="AG35" t="s">
        <v>91</v>
      </c>
      <c r="AH35" t="s">
        <v>91</v>
      </c>
      <c r="AI35" t="s">
        <v>91</v>
      </c>
    </row>
    <row r="36" spans="1:35" ht="21" x14ac:dyDescent="0.3">
      <c r="A36" t="s">
        <v>545</v>
      </c>
      <c r="B36" s="11"/>
      <c r="D36">
        <v>35</v>
      </c>
      <c r="E36" s="4">
        <v>44562</v>
      </c>
      <c r="F36" t="s">
        <v>33</v>
      </c>
      <c r="G36" t="s">
        <v>37</v>
      </c>
      <c r="H36" t="s">
        <v>118</v>
      </c>
      <c r="I36" t="s">
        <v>119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  <c r="O36" t="s">
        <v>91</v>
      </c>
      <c r="P36" t="s">
        <v>91</v>
      </c>
      <c r="Q36" t="s">
        <v>91</v>
      </c>
      <c r="R36" t="s">
        <v>91</v>
      </c>
      <c r="S36" t="s">
        <v>91</v>
      </c>
      <c r="T36" t="s">
        <v>91</v>
      </c>
      <c r="U36" t="s">
        <v>91</v>
      </c>
      <c r="V36" t="s">
        <v>91</v>
      </c>
      <c r="W36" t="s">
        <v>91</v>
      </c>
      <c r="X36" t="s">
        <v>91</v>
      </c>
      <c r="Y36" t="s">
        <v>91</v>
      </c>
      <c r="Z36" t="s">
        <v>91</v>
      </c>
      <c r="AA36" t="s">
        <v>91</v>
      </c>
      <c r="AB36" t="s">
        <v>91</v>
      </c>
      <c r="AC36" t="s">
        <v>91</v>
      </c>
      <c r="AD36" t="s">
        <v>91</v>
      </c>
      <c r="AE36" t="s">
        <v>91</v>
      </c>
      <c r="AF36" t="s">
        <v>91</v>
      </c>
      <c r="AG36" t="s">
        <v>91</v>
      </c>
      <c r="AH36" t="s">
        <v>91</v>
      </c>
      <c r="AI36" t="s">
        <v>91</v>
      </c>
    </row>
    <row r="37" spans="1:35" ht="21" x14ac:dyDescent="0.3">
      <c r="A37" t="s">
        <v>545</v>
      </c>
      <c r="B37" s="11"/>
      <c r="D37">
        <v>36</v>
      </c>
      <c r="E37" s="4">
        <v>44564</v>
      </c>
      <c r="F37" t="s">
        <v>33</v>
      </c>
      <c r="H37" t="s">
        <v>120</v>
      </c>
      <c r="I37" t="s">
        <v>121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  <c r="O37" t="s">
        <v>91</v>
      </c>
      <c r="P37" t="s">
        <v>91</v>
      </c>
      <c r="Q37" t="s">
        <v>91</v>
      </c>
      <c r="R37" t="s">
        <v>91</v>
      </c>
      <c r="S37" t="s">
        <v>91</v>
      </c>
      <c r="T37" t="s">
        <v>91</v>
      </c>
      <c r="U37" t="s">
        <v>91</v>
      </c>
      <c r="V37" t="s">
        <v>91</v>
      </c>
      <c r="W37" t="s">
        <v>91</v>
      </c>
      <c r="X37" t="s">
        <v>91</v>
      </c>
      <c r="Y37" t="s">
        <v>91</v>
      </c>
      <c r="Z37" t="s">
        <v>91</v>
      </c>
      <c r="AA37" t="s">
        <v>91</v>
      </c>
      <c r="AB37" t="s">
        <v>91</v>
      </c>
      <c r="AC37" t="s">
        <v>91</v>
      </c>
      <c r="AD37" t="s">
        <v>91</v>
      </c>
      <c r="AE37" t="s">
        <v>91</v>
      </c>
      <c r="AF37" t="s">
        <v>91</v>
      </c>
      <c r="AG37" t="s">
        <v>91</v>
      </c>
      <c r="AH37" t="s">
        <v>91</v>
      </c>
      <c r="AI37" t="s">
        <v>91</v>
      </c>
    </row>
    <row r="38" spans="1:35" ht="21" x14ac:dyDescent="0.3">
      <c r="A38" t="s">
        <v>545</v>
      </c>
      <c r="B38" s="11"/>
      <c r="D38">
        <v>37</v>
      </c>
      <c r="E38" s="4">
        <v>44566</v>
      </c>
      <c r="F38" t="s">
        <v>33</v>
      </c>
      <c r="G38" t="s">
        <v>37</v>
      </c>
      <c r="H38" t="s">
        <v>49</v>
      </c>
      <c r="I38" t="s">
        <v>122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  <c r="O38" t="s">
        <v>91</v>
      </c>
      <c r="P38" t="s">
        <v>91</v>
      </c>
      <c r="Q38" t="s">
        <v>91</v>
      </c>
      <c r="R38" t="s">
        <v>91</v>
      </c>
      <c r="S38" t="s">
        <v>91</v>
      </c>
      <c r="T38" t="s">
        <v>91</v>
      </c>
      <c r="U38" t="s">
        <v>91</v>
      </c>
      <c r="V38" t="s">
        <v>91</v>
      </c>
      <c r="W38" t="s">
        <v>91</v>
      </c>
      <c r="X38" t="s">
        <v>91</v>
      </c>
      <c r="Y38" t="s">
        <v>91</v>
      </c>
      <c r="Z38" t="s">
        <v>91</v>
      </c>
      <c r="AA38" t="s">
        <v>91</v>
      </c>
      <c r="AB38" t="s">
        <v>91</v>
      </c>
      <c r="AC38" t="s">
        <v>91</v>
      </c>
      <c r="AD38" t="s">
        <v>91</v>
      </c>
      <c r="AE38" t="s">
        <v>91</v>
      </c>
      <c r="AF38" t="s">
        <v>91</v>
      </c>
      <c r="AG38" t="s">
        <v>91</v>
      </c>
      <c r="AH38" t="s">
        <v>91</v>
      </c>
      <c r="AI38" t="s">
        <v>91</v>
      </c>
    </row>
    <row r="39" spans="1:35" ht="21" x14ac:dyDescent="0.3">
      <c r="A39" t="s">
        <v>545</v>
      </c>
      <c r="B39" s="11"/>
      <c r="D39">
        <v>38</v>
      </c>
      <c r="E39" s="4">
        <v>44567</v>
      </c>
      <c r="F39" t="s">
        <v>33</v>
      </c>
      <c r="G39" t="s">
        <v>37</v>
      </c>
      <c r="H39" t="s">
        <v>74</v>
      </c>
      <c r="I39" t="s">
        <v>123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  <c r="O39" t="s">
        <v>91</v>
      </c>
      <c r="P39" t="s">
        <v>91</v>
      </c>
      <c r="Q39" t="s">
        <v>91</v>
      </c>
      <c r="R39" t="s">
        <v>91</v>
      </c>
      <c r="S39" t="s">
        <v>91</v>
      </c>
      <c r="T39" t="s">
        <v>91</v>
      </c>
      <c r="U39" t="s">
        <v>91</v>
      </c>
      <c r="V39" t="s">
        <v>91</v>
      </c>
      <c r="W39" t="s">
        <v>91</v>
      </c>
      <c r="X39" t="s">
        <v>91</v>
      </c>
      <c r="Y39" t="s">
        <v>91</v>
      </c>
      <c r="Z39" t="s">
        <v>91</v>
      </c>
      <c r="AA39" t="s">
        <v>91</v>
      </c>
      <c r="AB39" t="s">
        <v>91</v>
      </c>
      <c r="AC39" t="s">
        <v>91</v>
      </c>
      <c r="AD39" t="s">
        <v>91</v>
      </c>
      <c r="AE39" t="s">
        <v>91</v>
      </c>
      <c r="AF39" t="s">
        <v>91</v>
      </c>
      <c r="AG39" t="s">
        <v>91</v>
      </c>
      <c r="AH39" t="s">
        <v>91</v>
      </c>
      <c r="AI39" t="s">
        <v>91</v>
      </c>
    </row>
    <row r="40" spans="1:35" ht="21" x14ac:dyDescent="0.3">
      <c r="A40" t="s">
        <v>545</v>
      </c>
      <c r="B40" s="11">
        <v>1</v>
      </c>
      <c r="C40">
        <v>616</v>
      </c>
      <c r="D40">
        <v>39</v>
      </c>
      <c r="E40" s="4">
        <v>44570</v>
      </c>
      <c r="F40" t="s">
        <v>33</v>
      </c>
      <c r="H40" t="s">
        <v>87</v>
      </c>
      <c r="I40" t="s">
        <v>124</v>
      </c>
      <c r="J40" t="s">
        <v>41</v>
      </c>
      <c r="K40" s="7">
        <v>0.82986111111111116</v>
      </c>
      <c r="L40">
        <v>7</v>
      </c>
      <c r="M40">
        <v>18</v>
      </c>
      <c r="N40">
        <v>0.38900000000000001</v>
      </c>
      <c r="O40">
        <v>3</v>
      </c>
      <c r="P40">
        <v>8</v>
      </c>
      <c r="Q40">
        <v>0.375</v>
      </c>
      <c r="R40">
        <v>4</v>
      </c>
      <c r="S40">
        <v>10</v>
      </c>
      <c r="T40">
        <v>0.4</v>
      </c>
      <c r="U40">
        <v>0.47199999999999998</v>
      </c>
      <c r="V40">
        <v>0</v>
      </c>
      <c r="W40">
        <v>0</v>
      </c>
      <c r="Y40">
        <v>1</v>
      </c>
      <c r="Z40">
        <v>2</v>
      </c>
      <c r="AA40">
        <v>3</v>
      </c>
      <c r="AB40">
        <v>1</v>
      </c>
      <c r="AC40">
        <v>0</v>
      </c>
      <c r="AD40">
        <v>1</v>
      </c>
      <c r="AE40">
        <v>2</v>
      </c>
      <c r="AF40">
        <v>3</v>
      </c>
      <c r="AG40">
        <v>17</v>
      </c>
      <c r="AH40">
        <v>6.7</v>
      </c>
      <c r="AI40">
        <v>-2</v>
      </c>
    </row>
    <row r="41" spans="1:35" ht="21" x14ac:dyDescent="0.3">
      <c r="A41" t="s">
        <v>545</v>
      </c>
      <c r="B41" s="11">
        <v>2</v>
      </c>
      <c r="C41">
        <v>617</v>
      </c>
      <c r="D41">
        <v>40</v>
      </c>
      <c r="E41" s="4">
        <v>44572</v>
      </c>
      <c r="F41" t="s">
        <v>33</v>
      </c>
      <c r="G41" t="s">
        <v>37</v>
      </c>
      <c r="H41" t="s">
        <v>42</v>
      </c>
      <c r="I41" t="s">
        <v>125</v>
      </c>
      <c r="J41" t="s">
        <v>41</v>
      </c>
      <c r="K41" s="7">
        <v>0.81736111111111109</v>
      </c>
      <c r="L41">
        <v>5</v>
      </c>
      <c r="M41">
        <v>13</v>
      </c>
      <c r="N41">
        <v>0.38500000000000001</v>
      </c>
      <c r="O41">
        <v>2</v>
      </c>
      <c r="P41">
        <v>5</v>
      </c>
      <c r="Q41">
        <v>0.4</v>
      </c>
      <c r="R41">
        <v>3</v>
      </c>
      <c r="S41">
        <v>8</v>
      </c>
      <c r="T41">
        <v>0.375</v>
      </c>
      <c r="U41">
        <v>0.46200000000000002</v>
      </c>
      <c r="V41">
        <v>2</v>
      </c>
      <c r="W41">
        <v>2</v>
      </c>
      <c r="X41">
        <v>1</v>
      </c>
      <c r="Y41">
        <v>0</v>
      </c>
      <c r="Z41">
        <v>3</v>
      </c>
      <c r="AA41">
        <v>3</v>
      </c>
      <c r="AB41">
        <v>3</v>
      </c>
      <c r="AC41">
        <v>0</v>
      </c>
      <c r="AD41">
        <v>1</v>
      </c>
      <c r="AE41">
        <v>3</v>
      </c>
      <c r="AF41">
        <v>1</v>
      </c>
      <c r="AG41">
        <v>14</v>
      </c>
      <c r="AH41">
        <v>7.2</v>
      </c>
      <c r="AI41">
        <v>17</v>
      </c>
    </row>
    <row r="42" spans="1:35" ht="21" x14ac:dyDescent="0.3">
      <c r="A42" t="s">
        <v>545</v>
      </c>
      <c r="B42" s="11">
        <v>3</v>
      </c>
      <c r="C42">
        <v>618</v>
      </c>
      <c r="D42">
        <v>41</v>
      </c>
      <c r="E42" s="4">
        <v>44574</v>
      </c>
      <c r="F42" t="s">
        <v>33</v>
      </c>
      <c r="G42" t="s">
        <v>37</v>
      </c>
      <c r="H42" t="s">
        <v>126</v>
      </c>
      <c r="I42" t="s">
        <v>127</v>
      </c>
      <c r="J42" t="s">
        <v>41</v>
      </c>
      <c r="K42" s="7">
        <v>0.8569444444444444</v>
      </c>
      <c r="L42">
        <v>3</v>
      </c>
      <c r="M42">
        <v>11</v>
      </c>
      <c r="N42">
        <v>0.27300000000000002</v>
      </c>
      <c r="O42">
        <v>2</v>
      </c>
      <c r="P42">
        <v>7</v>
      </c>
      <c r="Q42">
        <v>0.28599999999999998</v>
      </c>
      <c r="R42">
        <v>1</v>
      </c>
      <c r="S42">
        <v>4</v>
      </c>
      <c r="T42">
        <v>0.25</v>
      </c>
      <c r="U42">
        <v>0.36399999999999999</v>
      </c>
      <c r="V42">
        <v>3</v>
      </c>
      <c r="W42">
        <v>3</v>
      </c>
      <c r="X42">
        <v>1</v>
      </c>
      <c r="Y42">
        <v>1</v>
      </c>
      <c r="Z42">
        <v>1</v>
      </c>
      <c r="AA42">
        <v>2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11</v>
      </c>
      <c r="AH42">
        <v>5.8</v>
      </c>
      <c r="AI42">
        <v>-8</v>
      </c>
    </row>
    <row r="43" spans="1:35" ht="21" x14ac:dyDescent="0.3">
      <c r="A43" t="s">
        <v>545</v>
      </c>
      <c r="B43" s="11">
        <v>3</v>
      </c>
      <c r="D43">
        <v>42</v>
      </c>
      <c r="E43" s="4">
        <v>44575</v>
      </c>
      <c r="F43" t="s">
        <v>33</v>
      </c>
      <c r="G43" t="s">
        <v>37</v>
      </c>
      <c r="H43" t="s">
        <v>82</v>
      </c>
      <c r="I43" t="s">
        <v>128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  <c r="O43" t="s">
        <v>91</v>
      </c>
      <c r="P43" t="s">
        <v>91</v>
      </c>
      <c r="Q43" t="s">
        <v>91</v>
      </c>
      <c r="R43" t="s">
        <v>91</v>
      </c>
      <c r="S43" t="s">
        <v>91</v>
      </c>
      <c r="T43" t="s">
        <v>91</v>
      </c>
      <c r="U43" t="s">
        <v>91</v>
      </c>
      <c r="V43" t="s">
        <v>91</v>
      </c>
      <c r="W43" t="s">
        <v>91</v>
      </c>
      <c r="X43" t="s">
        <v>91</v>
      </c>
      <c r="Y43" t="s">
        <v>91</v>
      </c>
      <c r="Z43" t="s">
        <v>91</v>
      </c>
      <c r="AA43" t="s">
        <v>91</v>
      </c>
      <c r="AB43" t="s">
        <v>91</v>
      </c>
      <c r="AC43" t="s">
        <v>91</v>
      </c>
      <c r="AD43" t="s">
        <v>91</v>
      </c>
      <c r="AE43" t="s">
        <v>91</v>
      </c>
      <c r="AF43" t="s">
        <v>91</v>
      </c>
      <c r="AG43" t="s">
        <v>91</v>
      </c>
      <c r="AH43" t="s">
        <v>91</v>
      </c>
      <c r="AI43" t="s">
        <v>91</v>
      </c>
    </row>
    <row r="44" spans="1:35" ht="21" x14ac:dyDescent="0.3">
      <c r="A44" t="s">
        <v>545</v>
      </c>
      <c r="B44" s="11">
        <v>4</v>
      </c>
      <c r="C44">
        <v>619</v>
      </c>
      <c r="D44">
        <v>43</v>
      </c>
      <c r="E44" s="4">
        <v>44577</v>
      </c>
      <c r="F44" t="s">
        <v>33</v>
      </c>
      <c r="G44" t="s">
        <v>37</v>
      </c>
      <c r="H44" t="s">
        <v>80</v>
      </c>
      <c r="I44" t="s">
        <v>129</v>
      </c>
      <c r="J44" t="s">
        <v>41</v>
      </c>
      <c r="K44" s="7">
        <v>0.94652777777777775</v>
      </c>
      <c r="L44">
        <v>5</v>
      </c>
      <c r="M44">
        <v>14</v>
      </c>
      <c r="N44">
        <v>0.35699999999999998</v>
      </c>
      <c r="O44">
        <v>3</v>
      </c>
      <c r="P44">
        <v>8</v>
      </c>
      <c r="Q44">
        <v>0.375</v>
      </c>
      <c r="R44">
        <v>2</v>
      </c>
      <c r="S44">
        <v>6</v>
      </c>
      <c r="T44">
        <v>0.33300000000000002</v>
      </c>
      <c r="U44">
        <v>0.46400000000000002</v>
      </c>
      <c r="V44">
        <v>0</v>
      </c>
      <c r="W44">
        <v>0</v>
      </c>
      <c r="Y44">
        <v>0</v>
      </c>
      <c r="Z44">
        <v>4</v>
      </c>
      <c r="AA44">
        <v>4</v>
      </c>
      <c r="AB44">
        <v>2</v>
      </c>
      <c r="AC44">
        <v>1</v>
      </c>
      <c r="AD44">
        <v>0</v>
      </c>
      <c r="AE44">
        <v>2</v>
      </c>
      <c r="AF44">
        <v>1</v>
      </c>
      <c r="AG44">
        <v>13</v>
      </c>
      <c r="AH44">
        <v>6.4</v>
      </c>
      <c r="AI44">
        <v>1</v>
      </c>
    </row>
    <row r="45" spans="1:35" ht="21" x14ac:dyDescent="0.3">
      <c r="A45" t="s">
        <v>545</v>
      </c>
      <c r="B45" s="11">
        <v>5</v>
      </c>
      <c r="C45">
        <v>620</v>
      </c>
      <c r="D45">
        <v>44</v>
      </c>
      <c r="E45" s="4">
        <v>44579</v>
      </c>
      <c r="F45" t="s">
        <v>33</v>
      </c>
      <c r="H45" t="s">
        <v>89</v>
      </c>
      <c r="I45" t="s">
        <v>130</v>
      </c>
      <c r="J45" t="s">
        <v>41</v>
      </c>
      <c r="K45" s="7">
        <v>0.9291666666666667</v>
      </c>
      <c r="L45">
        <v>6</v>
      </c>
      <c r="M45">
        <v>13</v>
      </c>
      <c r="N45">
        <v>0.46200000000000002</v>
      </c>
      <c r="O45">
        <v>3</v>
      </c>
      <c r="P45">
        <v>8</v>
      </c>
      <c r="Q45">
        <v>0.375</v>
      </c>
      <c r="R45">
        <v>3</v>
      </c>
      <c r="S45">
        <v>5</v>
      </c>
      <c r="T45">
        <v>0.6</v>
      </c>
      <c r="U45">
        <v>0.57699999999999996</v>
      </c>
      <c r="V45">
        <v>6</v>
      </c>
      <c r="W45">
        <v>6</v>
      </c>
      <c r="X45">
        <v>1</v>
      </c>
      <c r="Y45">
        <v>0</v>
      </c>
      <c r="Z45">
        <v>3</v>
      </c>
      <c r="AA45">
        <v>3</v>
      </c>
      <c r="AB45">
        <v>4</v>
      </c>
      <c r="AC45">
        <v>2</v>
      </c>
      <c r="AD45">
        <v>0</v>
      </c>
      <c r="AE45">
        <v>1</v>
      </c>
      <c r="AF45">
        <v>1</v>
      </c>
      <c r="AG45">
        <v>21</v>
      </c>
      <c r="AH45">
        <v>18.600000000000001</v>
      </c>
      <c r="AI45">
        <v>16</v>
      </c>
    </row>
    <row r="46" spans="1:35" ht="21" x14ac:dyDescent="0.3">
      <c r="A46" t="s">
        <v>545</v>
      </c>
      <c r="B46" s="11">
        <v>6</v>
      </c>
      <c r="C46">
        <v>621</v>
      </c>
      <c r="D46">
        <v>45</v>
      </c>
      <c r="E46" s="4">
        <v>44581</v>
      </c>
      <c r="F46" t="s">
        <v>33</v>
      </c>
      <c r="H46" t="s">
        <v>108</v>
      </c>
      <c r="I46" t="s">
        <v>131</v>
      </c>
      <c r="J46" t="s">
        <v>41</v>
      </c>
      <c r="K46" s="7">
        <v>0.96250000000000002</v>
      </c>
      <c r="L46">
        <v>6</v>
      </c>
      <c r="M46">
        <v>17</v>
      </c>
      <c r="N46">
        <v>0.35299999999999998</v>
      </c>
      <c r="O46">
        <v>0</v>
      </c>
      <c r="P46">
        <v>7</v>
      </c>
      <c r="Q46">
        <v>0</v>
      </c>
      <c r="R46">
        <v>6</v>
      </c>
      <c r="S46">
        <v>10</v>
      </c>
      <c r="T46">
        <v>0.6</v>
      </c>
      <c r="U46">
        <v>0.35299999999999998</v>
      </c>
      <c r="V46">
        <v>0</v>
      </c>
      <c r="W46">
        <v>0</v>
      </c>
      <c r="Y46">
        <v>1</v>
      </c>
      <c r="Z46">
        <v>1</v>
      </c>
      <c r="AA46">
        <v>2</v>
      </c>
      <c r="AB46">
        <v>1</v>
      </c>
      <c r="AC46">
        <v>0</v>
      </c>
      <c r="AD46">
        <v>0</v>
      </c>
      <c r="AE46">
        <v>2</v>
      </c>
      <c r="AF46">
        <v>1</v>
      </c>
      <c r="AG46">
        <v>12</v>
      </c>
      <c r="AH46">
        <v>1.8</v>
      </c>
      <c r="AI46">
        <v>-4</v>
      </c>
    </row>
    <row r="47" spans="1:35" ht="21" x14ac:dyDescent="0.3">
      <c r="A47" t="s">
        <v>545</v>
      </c>
      <c r="B47" s="11">
        <v>6</v>
      </c>
      <c r="D47">
        <v>46</v>
      </c>
      <c r="E47" s="4">
        <v>44582</v>
      </c>
      <c r="F47" t="s">
        <v>33</v>
      </c>
      <c r="H47" t="s">
        <v>76</v>
      </c>
      <c r="I47" t="s">
        <v>132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  <c r="O47" t="s">
        <v>91</v>
      </c>
      <c r="P47" t="s">
        <v>91</v>
      </c>
      <c r="Q47" t="s">
        <v>91</v>
      </c>
      <c r="R47" t="s">
        <v>91</v>
      </c>
      <c r="S47" t="s">
        <v>91</v>
      </c>
      <c r="T47" t="s">
        <v>91</v>
      </c>
      <c r="U47" t="s">
        <v>91</v>
      </c>
      <c r="V47" t="s">
        <v>91</v>
      </c>
      <c r="W47" t="s">
        <v>91</v>
      </c>
      <c r="X47" t="s">
        <v>91</v>
      </c>
      <c r="Y47" t="s">
        <v>91</v>
      </c>
      <c r="Z47" t="s">
        <v>91</v>
      </c>
      <c r="AA47" t="s">
        <v>91</v>
      </c>
      <c r="AB47" t="s">
        <v>91</v>
      </c>
      <c r="AC47" t="s">
        <v>91</v>
      </c>
      <c r="AD47" t="s">
        <v>91</v>
      </c>
      <c r="AE47" t="s">
        <v>91</v>
      </c>
      <c r="AF47" t="s">
        <v>91</v>
      </c>
      <c r="AG47" t="s">
        <v>91</v>
      </c>
      <c r="AH47" t="s">
        <v>91</v>
      </c>
      <c r="AI47" t="s">
        <v>91</v>
      </c>
    </row>
    <row r="48" spans="1:35" ht="21" x14ac:dyDescent="0.3">
      <c r="A48" t="s">
        <v>545</v>
      </c>
      <c r="B48" s="11">
        <v>6</v>
      </c>
      <c r="D48">
        <v>47</v>
      </c>
      <c r="E48" s="4">
        <v>44584</v>
      </c>
      <c r="F48" t="s">
        <v>33</v>
      </c>
      <c r="H48" t="s">
        <v>118</v>
      </c>
      <c r="I48" t="s">
        <v>133</v>
      </c>
      <c r="J48" t="s">
        <v>358</v>
      </c>
      <c r="K48" t="s">
        <v>358</v>
      </c>
      <c r="L48" t="s">
        <v>358</v>
      </c>
      <c r="M48" t="s">
        <v>358</v>
      </c>
      <c r="N48" t="s">
        <v>358</v>
      </c>
      <c r="O48" t="s">
        <v>358</v>
      </c>
      <c r="P48" t="s">
        <v>358</v>
      </c>
      <c r="Q48" t="s">
        <v>358</v>
      </c>
      <c r="R48" t="s">
        <v>358</v>
      </c>
      <c r="S48" t="s">
        <v>358</v>
      </c>
      <c r="T48" t="s">
        <v>358</v>
      </c>
      <c r="U48" t="s">
        <v>358</v>
      </c>
      <c r="V48" t="s">
        <v>358</v>
      </c>
      <c r="W48" t="s">
        <v>358</v>
      </c>
      <c r="X48" t="s">
        <v>358</v>
      </c>
      <c r="Y48" t="s">
        <v>358</v>
      </c>
      <c r="Z48" t="s">
        <v>358</v>
      </c>
      <c r="AA48" t="s">
        <v>358</v>
      </c>
      <c r="AB48" t="s">
        <v>358</v>
      </c>
      <c r="AC48" t="s">
        <v>358</v>
      </c>
      <c r="AD48" t="s">
        <v>358</v>
      </c>
      <c r="AE48" t="s">
        <v>358</v>
      </c>
      <c r="AF48" t="s">
        <v>358</v>
      </c>
      <c r="AG48" t="s">
        <v>358</v>
      </c>
      <c r="AH48" t="s">
        <v>358</v>
      </c>
      <c r="AI48" t="s">
        <v>358</v>
      </c>
    </row>
    <row r="49" spans="1:35" ht="21" x14ac:dyDescent="0.3">
      <c r="A49" t="s">
        <v>545</v>
      </c>
      <c r="B49" s="11">
        <v>7</v>
      </c>
      <c r="C49">
        <v>622</v>
      </c>
      <c r="D49">
        <v>48</v>
      </c>
      <c r="E49" s="4">
        <v>44586</v>
      </c>
      <c r="F49" t="s">
        <v>33</v>
      </c>
      <c r="H49" t="s">
        <v>49</v>
      </c>
      <c r="I49" t="s">
        <v>134</v>
      </c>
      <c r="J49" t="s">
        <v>41</v>
      </c>
      <c r="K49" s="9">
        <v>1.0680555555555555</v>
      </c>
      <c r="L49">
        <v>6</v>
      </c>
      <c r="M49">
        <v>12</v>
      </c>
      <c r="N49">
        <v>0.5</v>
      </c>
      <c r="O49">
        <v>3</v>
      </c>
      <c r="P49">
        <v>5</v>
      </c>
      <c r="Q49">
        <v>0.6</v>
      </c>
      <c r="R49">
        <v>3</v>
      </c>
      <c r="S49">
        <v>7</v>
      </c>
      <c r="T49">
        <v>0.42899999999999999</v>
      </c>
      <c r="U49">
        <v>0.625</v>
      </c>
      <c r="V49">
        <v>0</v>
      </c>
      <c r="W49">
        <v>0</v>
      </c>
      <c r="Y49">
        <v>0</v>
      </c>
      <c r="Z49">
        <v>2</v>
      </c>
      <c r="AA49">
        <v>2</v>
      </c>
      <c r="AB49">
        <v>6</v>
      </c>
      <c r="AC49">
        <v>0</v>
      </c>
      <c r="AD49">
        <v>0</v>
      </c>
      <c r="AE49">
        <v>1</v>
      </c>
      <c r="AF49">
        <v>0</v>
      </c>
      <c r="AG49">
        <v>15</v>
      </c>
      <c r="AH49">
        <v>12.8</v>
      </c>
      <c r="AI49">
        <v>26</v>
      </c>
    </row>
    <row r="50" spans="1:35" ht="21" x14ac:dyDescent="0.3">
      <c r="A50" t="s">
        <v>545</v>
      </c>
      <c r="B50" s="11">
        <v>8</v>
      </c>
      <c r="C50">
        <v>623</v>
      </c>
      <c r="D50">
        <v>49</v>
      </c>
      <c r="E50" s="4">
        <v>44588</v>
      </c>
      <c r="F50" t="s">
        <v>33</v>
      </c>
      <c r="H50" t="s">
        <v>80</v>
      </c>
      <c r="I50" t="s">
        <v>135</v>
      </c>
      <c r="J50" t="s">
        <v>41</v>
      </c>
      <c r="K50" s="9">
        <v>1.1243055555555554</v>
      </c>
      <c r="L50">
        <v>9</v>
      </c>
      <c r="M50">
        <v>16</v>
      </c>
      <c r="N50">
        <v>0.56299999999999994</v>
      </c>
      <c r="O50">
        <v>5</v>
      </c>
      <c r="P50">
        <v>9</v>
      </c>
      <c r="Q50">
        <v>0.55600000000000005</v>
      </c>
      <c r="R50">
        <v>4</v>
      </c>
      <c r="S50">
        <v>7</v>
      </c>
      <c r="T50">
        <v>0.57099999999999995</v>
      </c>
      <c r="U50">
        <v>0.71899999999999997</v>
      </c>
      <c r="V50">
        <v>0</v>
      </c>
      <c r="W50">
        <v>0</v>
      </c>
      <c r="Y50">
        <v>1</v>
      </c>
      <c r="Z50">
        <v>4</v>
      </c>
      <c r="AA50">
        <v>5</v>
      </c>
      <c r="AB50">
        <v>4</v>
      </c>
      <c r="AC50">
        <v>0</v>
      </c>
      <c r="AD50">
        <v>1</v>
      </c>
      <c r="AE50">
        <v>4</v>
      </c>
      <c r="AF50">
        <v>1</v>
      </c>
      <c r="AG50">
        <v>23</v>
      </c>
      <c r="AH50">
        <v>16.399999999999999</v>
      </c>
      <c r="AI50">
        <v>4</v>
      </c>
    </row>
    <row r="51" spans="1:35" ht="21" x14ac:dyDescent="0.3">
      <c r="A51" t="s">
        <v>545</v>
      </c>
      <c r="B51" s="11">
        <v>9</v>
      </c>
      <c r="C51">
        <v>624</v>
      </c>
      <c r="D51">
        <v>50</v>
      </c>
      <c r="E51" s="4">
        <v>44590</v>
      </c>
      <c r="F51" t="s">
        <v>33</v>
      </c>
      <c r="H51" t="s">
        <v>85</v>
      </c>
      <c r="I51" t="s">
        <v>136</v>
      </c>
      <c r="J51" t="s">
        <v>41</v>
      </c>
      <c r="K51" s="9">
        <v>1.1159722222222221</v>
      </c>
      <c r="L51">
        <v>5</v>
      </c>
      <c r="M51">
        <v>14</v>
      </c>
      <c r="N51">
        <v>0.35699999999999998</v>
      </c>
      <c r="O51">
        <v>2</v>
      </c>
      <c r="P51">
        <v>8</v>
      </c>
      <c r="Q51">
        <v>0.25</v>
      </c>
      <c r="R51">
        <v>3</v>
      </c>
      <c r="S51">
        <v>6</v>
      </c>
      <c r="T51">
        <v>0.5</v>
      </c>
      <c r="U51">
        <v>0.42899999999999999</v>
      </c>
      <c r="V51">
        <v>4</v>
      </c>
      <c r="W51">
        <v>4</v>
      </c>
      <c r="X51">
        <v>1</v>
      </c>
      <c r="Y51">
        <v>2</v>
      </c>
      <c r="Z51">
        <v>4</v>
      </c>
      <c r="AA51">
        <v>6</v>
      </c>
      <c r="AB51">
        <v>2</v>
      </c>
      <c r="AC51">
        <v>1</v>
      </c>
      <c r="AD51">
        <v>1</v>
      </c>
      <c r="AE51">
        <v>0</v>
      </c>
      <c r="AF51">
        <v>1</v>
      </c>
      <c r="AG51">
        <v>16</v>
      </c>
      <c r="AH51">
        <v>13.5</v>
      </c>
      <c r="AI51">
        <v>-3</v>
      </c>
    </row>
    <row r="52" spans="1:35" ht="21" x14ac:dyDescent="0.3">
      <c r="A52" t="s">
        <v>545</v>
      </c>
      <c r="B52" s="11">
        <v>10</v>
      </c>
      <c r="C52">
        <v>625</v>
      </c>
      <c r="D52">
        <v>51</v>
      </c>
      <c r="E52" s="4">
        <v>44592</v>
      </c>
      <c r="F52" t="s">
        <v>33</v>
      </c>
      <c r="G52" t="s">
        <v>37</v>
      </c>
      <c r="H52" t="s">
        <v>76</v>
      </c>
      <c r="I52" t="s">
        <v>137</v>
      </c>
      <c r="J52" t="s">
        <v>41</v>
      </c>
      <c r="K52" s="9">
        <v>1.0951388888888889</v>
      </c>
      <c r="L52">
        <v>6</v>
      </c>
      <c r="M52">
        <v>15</v>
      </c>
      <c r="N52">
        <v>0.4</v>
      </c>
      <c r="O52">
        <v>1</v>
      </c>
      <c r="P52">
        <v>8</v>
      </c>
      <c r="Q52">
        <v>0.125</v>
      </c>
      <c r="R52">
        <v>5</v>
      </c>
      <c r="S52">
        <v>7</v>
      </c>
      <c r="T52">
        <v>0.71399999999999997</v>
      </c>
      <c r="U52">
        <v>0.433</v>
      </c>
      <c r="V52">
        <v>1</v>
      </c>
      <c r="W52">
        <v>1</v>
      </c>
      <c r="X52">
        <v>1</v>
      </c>
      <c r="Y52">
        <v>0</v>
      </c>
      <c r="Z52">
        <v>3</v>
      </c>
      <c r="AA52">
        <v>3</v>
      </c>
      <c r="AB52">
        <v>3</v>
      </c>
      <c r="AC52">
        <v>1</v>
      </c>
      <c r="AD52">
        <v>1</v>
      </c>
      <c r="AE52">
        <v>1</v>
      </c>
      <c r="AF52">
        <v>2</v>
      </c>
      <c r="AG52">
        <v>14</v>
      </c>
      <c r="AH52">
        <v>8.8000000000000007</v>
      </c>
      <c r="AI52">
        <v>7</v>
      </c>
    </row>
    <row r="53" spans="1:35" ht="21" x14ac:dyDescent="0.3">
      <c r="A53" t="s">
        <v>545</v>
      </c>
      <c r="B53" s="11">
        <v>10</v>
      </c>
      <c r="D53">
        <v>52</v>
      </c>
      <c r="E53" s="4">
        <v>44593</v>
      </c>
      <c r="F53" t="s">
        <v>33</v>
      </c>
      <c r="G53" t="s">
        <v>37</v>
      </c>
      <c r="H53" t="s">
        <v>102</v>
      </c>
      <c r="I53" t="s">
        <v>138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  <c r="O53" t="s">
        <v>91</v>
      </c>
      <c r="P53" t="s">
        <v>91</v>
      </c>
      <c r="Q53" t="s">
        <v>91</v>
      </c>
      <c r="R53" t="s">
        <v>91</v>
      </c>
      <c r="S53" t="s">
        <v>91</v>
      </c>
      <c r="T53" t="s">
        <v>91</v>
      </c>
      <c r="U53" t="s">
        <v>91</v>
      </c>
      <c r="V53" t="s">
        <v>91</v>
      </c>
      <c r="W53" t="s">
        <v>91</v>
      </c>
      <c r="X53" t="s">
        <v>91</v>
      </c>
      <c r="Y53" t="s">
        <v>91</v>
      </c>
      <c r="Z53" t="s">
        <v>91</v>
      </c>
      <c r="AA53" t="s">
        <v>91</v>
      </c>
      <c r="AB53" t="s">
        <v>91</v>
      </c>
      <c r="AC53" t="s">
        <v>91</v>
      </c>
      <c r="AD53" t="s">
        <v>91</v>
      </c>
      <c r="AE53" t="s">
        <v>91</v>
      </c>
      <c r="AF53" t="s">
        <v>91</v>
      </c>
      <c r="AG53" t="s">
        <v>91</v>
      </c>
      <c r="AH53" t="s">
        <v>91</v>
      </c>
      <c r="AI53" t="s">
        <v>91</v>
      </c>
    </row>
    <row r="54" spans="1:35" ht="21" x14ac:dyDescent="0.3">
      <c r="A54" t="s">
        <v>545</v>
      </c>
      <c r="B54" s="11">
        <v>11</v>
      </c>
      <c r="C54">
        <v>626</v>
      </c>
      <c r="D54">
        <v>53</v>
      </c>
      <c r="E54" s="4">
        <v>44595</v>
      </c>
      <c r="F54" t="s">
        <v>33</v>
      </c>
      <c r="H54" t="s">
        <v>66</v>
      </c>
      <c r="I54" t="s">
        <v>139</v>
      </c>
      <c r="J54" t="s">
        <v>41</v>
      </c>
      <c r="K54" s="7">
        <v>0.98958333333333337</v>
      </c>
      <c r="L54">
        <v>8</v>
      </c>
      <c r="M54">
        <v>11</v>
      </c>
      <c r="N54">
        <v>0.72699999999999998</v>
      </c>
      <c r="O54">
        <v>7</v>
      </c>
      <c r="P54">
        <v>9</v>
      </c>
      <c r="Q54">
        <v>0.77800000000000002</v>
      </c>
      <c r="R54">
        <v>1</v>
      </c>
      <c r="S54">
        <v>2</v>
      </c>
      <c r="T54">
        <v>0.5</v>
      </c>
      <c r="U54">
        <v>1.0449999999999999</v>
      </c>
      <c r="V54">
        <v>0</v>
      </c>
      <c r="W54">
        <v>0</v>
      </c>
      <c r="Y54">
        <v>0</v>
      </c>
      <c r="Z54">
        <v>5</v>
      </c>
      <c r="AA54">
        <v>5</v>
      </c>
      <c r="AB54">
        <v>7</v>
      </c>
      <c r="AC54">
        <v>0</v>
      </c>
      <c r="AD54">
        <v>0</v>
      </c>
      <c r="AE54">
        <v>2</v>
      </c>
      <c r="AF54">
        <v>3</v>
      </c>
      <c r="AG54">
        <v>23</v>
      </c>
      <c r="AH54">
        <v>21.7</v>
      </c>
      <c r="AI54">
        <v>20</v>
      </c>
    </row>
    <row r="55" spans="1:35" ht="21" x14ac:dyDescent="0.3">
      <c r="A55" t="s">
        <v>545</v>
      </c>
      <c r="B55" s="11">
        <v>12</v>
      </c>
      <c r="C55">
        <v>627</v>
      </c>
      <c r="D55">
        <v>54</v>
      </c>
      <c r="E55" s="4">
        <v>44599</v>
      </c>
      <c r="F55" t="s">
        <v>33</v>
      </c>
      <c r="G55" t="s">
        <v>37</v>
      </c>
      <c r="H55" t="s">
        <v>68</v>
      </c>
      <c r="I55" t="s">
        <v>140</v>
      </c>
      <c r="J55" t="s">
        <v>41</v>
      </c>
      <c r="K55" s="9">
        <v>1.2069444444444444</v>
      </c>
      <c r="L55">
        <v>6</v>
      </c>
      <c r="M55">
        <v>15</v>
      </c>
      <c r="N55">
        <v>0.4</v>
      </c>
      <c r="O55">
        <v>3</v>
      </c>
      <c r="P55">
        <v>8</v>
      </c>
      <c r="Q55">
        <v>0.375</v>
      </c>
      <c r="R55">
        <v>3</v>
      </c>
      <c r="S55">
        <v>7</v>
      </c>
      <c r="T55">
        <v>0.42899999999999999</v>
      </c>
      <c r="U55">
        <v>0.5</v>
      </c>
      <c r="V55">
        <v>6</v>
      </c>
      <c r="W55">
        <v>6</v>
      </c>
      <c r="X55">
        <v>1</v>
      </c>
      <c r="Y55">
        <v>0</v>
      </c>
      <c r="Z55">
        <v>2</v>
      </c>
      <c r="AA55">
        <v>2</v>
      </c>
      <c r="AB55">
        <v>2</v>
      </c>
      <c r="AC55">
        <v>2</v>
      </c>
      <c r="AD55">
        <v>1</v>
      </c>
      <c r="AE55">
        <v>0</v>
      </c>
      <c r="AF55">
        <v>2</v>
      </c>
      <c r="AG55">
        <v>21</v>
      </c>
      <c r="AH55">
        <v>16.8</v>
      </c>
      <c r="AI55">
        <v>0</v>
      </c>
    </row>
    <row r="56" spans="1:35" ht="21" x14ac:dyDescent="0.3">
      <c r="A56" t="s">
        <v>545</v>
      </c>
      <c r="B56" s="11">
        <v>12</v>
      </c>
      <c r="D56">
        <v>55</v>
      </c>
      <c r="E56" s="4">
        <v>44601</v>
      </c>
      <c r="F56" t="s">
        <v>33</v>
      </c>
      <c r="G56" t="s">
        <v>37</v>
      </c>
      <c r="H56" t="s">
        <v>118</v>
      </c>
      <c r="I56" t="s">
        <v>141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  <c r="O56" t="s">
        <v>91</v>
      </c>
      <c r="P56" t="s">
        <v>91</v>
      </c>
      <c r="Q56" t="s">
        <v>91</v>
      </c>
      <c r="R56" t="s">
        <v>91</v>
      </c>
      <c r="S56" t="s">
        <v>91</v>
      </c>
      <c r="T56" t="s">
        <v>91</v>
      </c>
      <c r="U56" t="s">
        <v>91</v>
      </c>
      <c r="V56" t="s">
        <v>91</v>
      </c>
      <c r="W56" t="s">
        <v>91</v>
      </c>
      <c r="X56" t="s">
        <v>91</v>
      </c>
      <c r="Y56" t="s">
        <v>91</v>
      </c>
      <c r="Z56" t="s">
        <v>91</v>
      </c>
      <c r="AA56" t="s">
        <v>91</v>
      </c>
      <c r="AB56" t="s">
        <v>91</v>
      </c>
      <c r="AC56" t="s">
        <v>91</v>
      </c>
      <c r="AD56" t="s">
        <v>91</v>
      </c>
      <c r="AE56" t="s">
        <v>91</v>
      </c>
      <c r="AF56" t="s">
        <v>91</v>
      </c>
      <c r="AG56" t="s">
        <v>91</v>
      </c>
      <c r="AH56" t="s">
        <v>91</v>
      </c>
      <c r="AI56" t="s">
        <v>91</v>
      </c>
    </row>
    <row r="57" spans="1:35" ht="21" x14ac:dyDescent="0.3">
      <c r="A57" t="s">
        <v>545</v>
      </c>
      <c r="B57" s="11">
        <v>13</v>
      </c>
      <c r="C57">
        <v>628</v>
      </c>
      <c r="D57">
        <v>56</v>
      </c>
      <c r="E57" s="4">
        <v>44602</v>
      </c>
      <c r="F57" t="s">
        <v>33</v>
      </c>
      <c r="H57" t="s">
        <v>110</v>
      </c>
      <c r="I57" t="s">
        <v>142</v>
      </c>
      <c r="J57" t="s">
        <v>41</v>
      </c>
      <c r="K57" s="9">
        <v>1.2319444444444445</v>
      </c>
      <c r="L57">
        <v>7</v>
      </c>
      <c r="M57">
        <v>17</v>
      </c>
      <c r="N57">
        <v>0.41199999999999998</v>
      </c>
      <c r="O57">
        <v>3</v>
      </c>
      <c r="P57">
        <v>9</v>
      </c>
      <c r="Q57">
        <v>0.33300000000000002</v>
      </c>
      <c r="R57">
        <v>4</v>
      </c>
      <c r="S57">
        <v>8</v>
      </c>
      <c r="T57">
        <v>0.5</v>
      </c>
      <c r="U57">
        <v>0.5</v>
      </c>
      <c r="V57">
        <v>0</v>
      </c>
      <c r="W57">
        <v>0</v>
      </c>
      <c r="Y57">
        <v>0</v>
      </c>
      <c r="Z57">
        <v>7</v>
      </c>
      <c r="AA57">
        <v>7</v>
      </c>
      <c r="AB57">
        <v>5</v>
      </c>
      <c r="AC57">
        <v>0</v>
      </c>
      <c r="AD57">
        <v>1</v>
      </c>
      <c r="AE57">
        <v>1</v>
      </c>
      <c r="AF57">
        <v>1</v>
      </c>
      <c r="AG57">
        <v>17</v>
      </c>
      <c r="AH57">
        <v>12.8</v>
      </c>
      <c r="AI57">
        <v>1</v>
      </c>
    </row>
    <row r="58" spans="1:35" ht="21" x14ac:dyDescent="0.3">
      <c r="A58" t="s">
        <v>545</v>
      </c>
      <c r="B58" s="11">
        <v>14</v>
      </c>
      <c r="C58">
        <v>629</v>
      </c>
      <c r="D58">
        <v>57</v>
      </c>
      <c r="E58" s="4">
        <v>44604</v>
      </c>
      <c r="F58" t="s">
        <v>33</v>
      </c>
      <c r="H58" t="s">
        <v>62</v>
      </c>
      <c r="I58" t="s">
        <v>143</v>
      </c>
      <c r="J58" t="s">
        <v>41</v>
      </c>
      <c r="K58" s="9">
        <v>1.2506944444444446</v>
      </c>
      <c r="L58">
        <v>12</v>
      </c>
      <c r="M58">
        <v>22</v>
      </c>
      <c r="N58">
        <v>0.54500000000000004</v>
      </c>
      <c r="O58">
        <v>5</v>
      </c>
      <c r="P58">
        <v>9</v>
      </c>
      <c r="Q58">
        <v>0.55600000000000005</v>
      </c>
      <c r="R58">
        <v>7</v>
      </c>
      <c r="S58">
        <v>13</v>
      </c>
      <c r="T58">
        <v>0.53800000000000003</v>
      </c>
      <c r="U58">
        <v>0.65900000000000003</v>
      </c>
      <c r="V58">
        <v>4</v>
      </c>
      <c r="W58">
        <v>5</v>
      </c>
      <c r="X58">
        <v>0.8</v>
      </c>
      <c r="Y58">
        <v>0</v>
      </c>
      <c r="Z58">
        <v>5</v>
      </c>
      <c r="AA58">
        <v>5</v>
      </c>
      <c r="AB58">
        <v>0</v>
      </c>
      <c r="AC58">
        <v>0</v>
      </c>
      <c r="AD58">
        <v>0</v>
      </c>
      <c r="AE58">
        <v>1</v>
      </c>
      <c r="AF58">
        <v>3</v>
      </c>
      <c r="AG58">
        <v>33</v>
      </c>
      <c r="AH58">
        <v>21.3</v>
      </c>
      <c r="AI58">
        <v>10</v>
      </c>
    </row>
    <row r="59" spans="1:35" ht="21" x14ac:dyDescent="0.3">
      <c r="A59" t="s">
        <v>545</v>
      </c>
      <c r="B59" s="11">
        <v>15</v>
      </c>
      <c r="C59">
        <v>630</v>
      </c>
      <c r="D59">
        <v>58</v>
      </c>
      <c r="E59" s="4">
        <v>44606</v>
      </c>
      <c r="F59" t="s">
        <v>33</v>
      </c>
      <c r="G59" t="s">
        <v>37</v>
      </c>
      <c r="H59" t="s">
        <v>64</v>
      </c>
      <c r="I59" t="s">
        <v>144</v>
      </c>
      <c r="J59" t="s">
        <v>41</v>
      </c>
      <c r="K59" s="9">
        <v>1.1118055555555555</v>
      </c>
      <c r="L59">
        <v>3</v>
      </c>
      <c r="M59">
        <v>14</v>
      </c>
      <c r="N59">
        <v>0.214</v>
      </c>
      <c r="O59">
        <v>1</v>
      </c>
      <c r="P59">
        <v>5</v>
      </c>
      <c r="Q59">
        <v>0.2</v>
      </c>
      <c r="R59">
        <v>2</v>
      </c>
      <c r="S59">
        <v>9</v>
      </c>
      <c r="T59">
        <v>0.222</v>
      </c>
      <c r="U59">
        <v>0.25</v>
      </c>
      <c r="V59">
        <v>0</v>
      </c>
      <c r="W59">
        <v>0</v>
      </c>
      <c r="Y59">
        <v>0</v>
      </c>
      <c r="Z59">
        <v>4</v>
      </c>
      <c r="AA59">
        <v>4</v>
      </c>
      <c r="AB59">
        <v>4</v>
      </c>
      <c r="AC59">
        <v>1</v>
      </c>
      <c r="AD59">
        <v>0</v>
      </c>
      <c r="AE59">
        <v>1</v>
      </c>
      <c r="AF59">
        <v>1</v>
      </c>
      <c r="AG59">
        <v>7</v>
      </c>
      <c r="AH59">
        <v>2</v>
      </c>
      <c r="AI59">
        <v>-23</v>
      </c>
    </row>
    <row r="60" spans="1:35" ht="21" x14ac:dyDescent="0.3">
      <c r="A60" t="s">
        <v>545</v>
      </c>
      <c r="B60" s="11">
        <v>16</v>
      </c>
      <c r="C60">
        <v>631</v>
      </c>
      <c r="D60">
        <v>59</v>
      </c>
      <c r="E60" s="4">
        <v>44608</v>
      </c>
      <c r="F60" t="s">
        <v>33</v>
      </c>
      <c r="H60" t="s">
        <v>34</v>
      </c>
      <c r="I60" t="s">
        <v>145</v>
      </c>
      <c r="J60" t="s">
        <v>41</v>
      </c>
      <c r="K60" s="9">
        <v>1.2972222222222223</v>
      </c>
      <c r="L60">
        <v>5</v>
      </c>
      <c r="M60">
        <v>15</v>
      </c>
      <c r="N60">
        <v>0.33300000000000002</v>
      </c>
      <c r="O60">
        <v>3</v>
      </c>
      <c r="P60">
        <v>10</v>
      </c>
      <c r="Q60">
        <v>0.3</v>
      </c>
      <c r="R60">
        <v>2</v>
      </c>
      <c r="S60">
        <v>5</v>
      </c>
      <c r="T60">
        <v>0.4</v>
      </c>
      <c r="U60">
        <v>0.433</v>
      </c>
      <c r="V60">
        <v>3</v>
      </c>
      <c r="W60">
        <v>4</v>
      </c>
      <c r="X60">
        <v>0.75</v>
      </c>
      <c r="Y60">
        <v>0</v>
      </c>
      <c r="Z60">
        <v>4</v>
      </c>
      <c r="AA60">
        <v>4</v>
      </c>
      <c r="AB60">
        <v>4</v>
      </c>
      <c r="AC60">
        <v>1</v>
      </c>
      <c r="AD60">
        <v>0</v>
      </c>
      <c r="AE60">
        <v>0</v>
      </c>
      <c r="AF60">
        <v>2</v>
      </c>
      <c r="AG60">
        <v>16</v>
      </c>
      <c r="AH60">
        <v>11.3</v>
      </c>
      <c r="AI60">
        <v>0</v>
      </c>
    </row>
    <row r="61" spans="1:35" ht="21" x14ac:dyDescent="0.3">
      <c r="A61" t="s">
        <v>545</v>
      </c>
      <c r="B61" s="11">
        <v>17</v>
      </c>
      <c r="C61">
        <v>632</v>
      </c>
      <c r="D61">
        <v>60</v>
      </c>
      <c r="E61" s="4">
        <v>44616</v>
      </c>
      <c r="F61" t="s">
        <v>33</v>
      </c>
      <c r="G61" t="s">
        <v>37</v>
      </c>
      <c r="H61" t="s">
        <v>96</v>
      </c>
      <c r="I61" t="s">
        <v>146</v>
      </c>
      <c r="J61" t="s">
        <v>41</v>
      </c>
      <c r="K61" s="9">
        <v>1.038888888888889</v>
      </c>
      <c r="L61">
        <v>6</v>
      </c>
      <c r="M61">
        <v>11</v>
      </c>
      <c r="N61">
        <v>0.54500000000000004</v>
      </c>
      <c r="O61">
        <v>4</v>
      </c>
      <c r="P61">
        <v>7</v>
      </c>
      <c r="Q61">
        <v>0.57099999999999995</v>
      </c>
      <c r="R61">
        <v>2</v>
      </c>
      <c r="S61">
        <v>4</v>
      </c>
      <c r="T61">
        <v>0.5</v>
      </c>
      <c r="U61">
        <v>0.72699999999999998</v>
      </c>
      <c r="V61">
        <v>2</v>
      </c>
      <c r="W61">
        <v>2</v>
      </c>
      <c r="X61">
        <v>1</v>
      </c>
      <c r="Y61">
        <v>1</v>
      </c>
      <c r="Z61">
        <v>4</v>
      </c>
      <c r="AA61">
        <v>5</v>
      </c>
      <c r="AB61">
        <v>2</v>
      </c>
      <c r="AC61">
        <v>0</v>
      </c>
      <c r="AD61">
        <v>0</v>
      </c>
      <c r="AE61">
        <v>0</v>
      </c>
      <c r="AF61">
        <v>0</v>
      </c>
      <c r="AG61">
        <v>18</v>
      </c>
      <c r="AH61">
        <v>16</v>
      </c>
      <c r="AI61">
        <v>11</v>
      </c>
    </row>
    <row r="62" spans="1:35" ht="21" x14ac:dyDescent="0.3">
      <c r="A62" t="s">
        <v>545</v>
      </c>
      <c r="B62" s="11">
        <v>17</v>
      </c>
      <c r="D62">
        <v>61</v>
      </c>
      <c r="E62" s="4">
        <v>44619</v>
      </c>
      <c r="F62" t="s">
        <v>33</v>
      </c>
      <c r="H62" t="s">
        <v>49</v>
      </c>
      <c r="I62" t="s">
        <v>147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  <c r="O62" t="s">
        <v>91</v>
      </c>
      <c r="P62" t="s">
        <v>91</v>
      </c>
      <c r="Q62" t="s">
        <v>91</v>
      </c>
      <c r="R62" t="s">
        <v>91</v>
      </c>
      <c r="S62" t="s">
        <v>91</v>
      </c>
      <c r="T62" t="s">
        <v>91</v>
      </c>
      <c r="U62" t="s">
        <v>91</v>
      </c>
      <c r="V62" t="s">
        <v>91</v>
      </c>
      <c r="W62" t="s">
        <v>91</v>
      </c>
      <c r="X62" t="s">
        <v>91</v>
      </c>
      <c r="Y62" t="s">
        <v>91</v>
      </c>
      <c r="Z62" t="s">
        <v>91</v>
      </c>
      <c r="AA62" t="s">
        <v>91</v>
      </c>
      <c r="AB62" t="s">
        <v>91</v>
      </c>
      <c r="AC62" t="s">
        <v>91</v>
      </c>
      <c r="AD62" t="s">
        <v>91</v>
      </c>
      <c r="AE62" t="s">
        <v>91</v>
      </c>
      <c r="AF62" t="s">
        <v>91</v>
      </c>
      <c r="AG62" t="s">
        <v>91</v>
      </c>
      <c r="AH62" t="s">
        <v>91</v>
      </c>
      <c r="AI62" t="s">
        <v>91</v>
      </c>
    </row>
    <row r="63" spans="1:35" ht="21" x14ac:dyDescent="0.3">
      <c r="A63" t="s">
        <v>545</v>
      </c>
      <c r="B63" s="11">
        <v>17</v>
      </c>
      <c r="D63">
        <v>62</v>
      </c>
      <c r="E63" s="4">
        <v>44621</v>
      </c>
      <c r="F63" t="s">
        <v>33</v>
      </c>
      <c r="G63" t="s">
        <v>37</v>
      </c>
      <c r="H63" t="s">
        <v>80</v>
      </c>
      <c r="I63" t="s">
        <v>148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  <c r="O63" t="s">
        <v>91</v>
      </c>
      <c r="P63" t="s">
        <v>91</v>
      </c>
      <c r="Q63" t="s">
        <v>91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t="s">
        <v>91</v>
      </c>
      <c r="X63" t="s">
        <v>91</v>
      </c>
      <c r="Y63" t="s">
        <v>91</v>
      </c>
      <c r="Z63" t="s">
        <v>91</v>
      </c>
      <c r="AA63" t="s">
        <v>91</v>
      </c>
      <c r="AB63" t="s">
        <v>91</v>
      </c>
      <c r="AC63" t="s">
        <v>91</v>
      </c>
      <c r="AD63" t="s">
        <v>91</v>
      </c>
      <c r="AE63" t="s">
        <v>91</v>
      </c>
      <c r="AF63" t="s">
        <v>91</v>
      </c>
      <c r="AG63" t="s">
        <v>91</v>
      </c>
      <c r="AH63" t="s">
        <v>91</v>
      </c>
      <c r="AI63" t="s">
        <v>91</v>
      </c>
    </row>
    <row r="64" spans="1:35" ht="21" x14ac:dyDescent="0.3">
      <c r="A64" t="s">
        <v>545</v>
      </c>
      <c r="B64" s="11">
        <v>18</v>
      </c>
      <c r="C64">
        <v>633</v>
      </c>
      <c r="D64">
        <v>63</v>
      </c>
      <c r="E64" s="4">
        <v>44623</v>
      </c>
      <c r="F64" t="s">
        <v>33</v>
      </c>
      <c r="G64" t="s">
        <v>37</v>
      </c>
      <c r="H64" t="s">
        <v>49</v>
      </c>
      <c r="I64" t="s">
        <v>149</v>
      </c>
      <c r="J64" t="s">
        <v>41</v>
      </c>
      <c r="K64" s="9">
        <v>1.1763888888888889</v>
      </c>
      <c r="L64">
        <v>6</v>
      </c>
      <c r="M64">
        <v>17</v>
      </c>
      <c r="N64">
        <v>0.35299999999999998</v>
      </c>
      <c r="O64">
        <v>2</v>
      </c>
      <c r="P64">
        <v>8</v>
      </c>
      <c r="Q64">
        <v>0.25</v>
      </c>
      <c r="R64">
        <v>4</v>
      </c>
      <c r="S64">
        <v>9</v>
      </c>
      <c r="T64">
        <v>0.44400000000000001</v>
      </c>
      <c r="U64">
        <v>0.41199999999999998</v>
      </c>
      <c r="V64">
        <v>2</v>
      </c>
      <c r="W64">
        <v>2</v>
      </c>
      <c r="X64">
        <v>1</v>
      </c>
      <c r="Y64">
        <v>0</v>
      </c>
      <c r="Z64">
        <v>3</v>
      </c>
      <c r="AA64">
        <v>3</v>
      </c>
      <c r="AB64">
        <v>2</v>
      </c>
      <c r="AC64">
        <v>0</v>
      </c>
      <c r="AD64">
        <v>1</v>
      </c>
      <c r="AE64">
        <v>2</v>
      </c>
      <c r="AF64">
        <v>2</v>
      </c>
      <c r="AG64">
        <v>16</v>
      </c>
      <c r="AH64">
        <v>6.7</v>
      </c>
      <c r="AI64">
        <v>-10</v>
      </c>
    </row>
    <row r="65" spans="1:35" ht="21" x14ac:dyDescent="0.3">
      <c r="A65" t="s">
        <v>545</v>
      </c>
      <c r="B65" s="11">
        <v>19</v>
      </c>
      <c r="C65">
        <v>634</v>
      </c>
      <c r="D65">
        <v>64</v>
      </c>
      <c r="E65" s="4">
        <v>44625</v>
      </c>
      <c r="F65" t="s">
        <v>33</v>
      </c>
      <c r="G65" t="s">
        <v>37</v>
      </c>
      <c r="H65" t="s">
        <v>62</v>
      </c>
      <c r="I65" t="s">
        <v>150</v>
      </c>
      <c r="J65" t="s">
        <v>41</v>
      </c>
      <c r="K65" s="9">
        <v>1.3083333333333333</v>
      </c>
      <c r="L65">
        <v>3</v>
      </c>
      <c r="M65">
        <v>13</v>
      </c>
      <c r="N65">
        <v>0.23100000000000001</v>
      </c>
      <c r="O65">
        <v>1</v>
      </c>
      <c r="P65">
        <v>5</v>
      </c>
      <c r="Q65">
        <v>0.2</v>
      </c>
      <c r="R65">
        <v>2</v>
      </c>
      <c r="S65">
        <v>8</v>
      </c>
      <c r="T65">
        <v>0.25</v>
      </c>
      <c r="U65">
        <v>0.26900000000000002</v>
      </c>
      <c r="V65">
        <v>0</v>
      </c>
      <c r="W65">
        <v>0</v>
      </c>
      <c r="Y65">
        <v>1</v>
      </c>
      <c r="Z65">
        <v>5</v>
      </c>
      <c r="AA65">
        <v>6</v>
      </c>
      <c r="AB65">
        <v>4</v>
      </c>
      <c r="AC65">
        <v>1</v>
      </c>
      <c r="AD65">
        <v>3</v>
      </c>
      <c r="AE65">
        <v>4</v>
      </c>
      <c r="AF65">
        <v>3</v>
      </c>
      <c r="AG65">
        <v>7</v>
      </c>
      <c r="AH65">
        <v>2</v>
      </c>
      <c r="AI65">
        <v>-5</v>
      </c>
    </row>
    <row r="66" spans="1:35" ht="21" x14ac:dyDescent="0.3">
      <c r="A66" t="s">
        <v>545</v>
      </c>
      <c r="B66" s="11">
        <v>19</v>
      </c>
      <c r="D66">
        <v>65</v>
      </c>
      <c r="E66" s="4">
        <v>44627</v>
      </c>
      <c r="F66" t="s">
        <v>33</v>
      </c>
      <c r="G66" t="s">
        <v>37</v>
      </c>
      <c r="H66" t="s">
        <v>34</v>
      </c>
      <c r="I66" t="s">
        <v>151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  <c r="O66" t="s">
        <v>91</v>
      </c>
      <c r="P66" t="s">
        <v>91</v>
      </c>
      <c r="Q66" t="s">
        <v>91</v>
      </c>
      <c r="R66" t="s">
        <v>91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91</v>
      </c>
      <c r="Y66" t="s">
        <v>91</v>
      </c>
      <c r="Z66" t="s">
        <v>91</v>
      </c>
      <c r="AA66" t="s">
        <v>91</v>
      </c>
      <c r="AB66" t="s">
        <v>91</v>
      </c>
      <c r="AC66" t="s">
        <v>91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 t="s">
        <v>91</v>
      </c>
    </row>
    <row r="67" spans="1:35" ht="21" x14ac:dyDescent="0.3">
      <c r="A67" t="s">
        <v>545</v>
      </c>
      <c r="B67" s="11">
        <v>20</v>
      </c>
      <c r="C67">
        <v>635</v>
      </c>
      <c r="D67">
        <v>66</v>
      </c>
      <c r="E67" s="4">
        <v>44628</v>
      </c>
      <c r="F67" t="s">
        <v>33</v>
      </c>
      <c r="H67" t="s">
        <v>64</v>
      </c>
      <c r="I67" t="s">
        <v>152</v>
      </c>
      <c r="J67" t="s">
        <v>41</v>
      </c>
      <c r="K67" s="9">
        <v>1.4041666666666666</v>
      </c>
      <c r="L67">
        <v>9</v>
      </c>
      <c r="M67">
        <v>23</v>
      </c>
      <c r="N67">
        <v>0.39100000000000001</v>
      </c>
      <c r="O67">
        <v>2</v>
      </c>
      <c r="P67">
        <v>9</v>
      </c>
      <c r="Q67">
        <v>0.222</v>
      </c>
      <c r="R67">
        <v>7</v>
      </c>
      <c r="S67">
        <v>14</v>
      </c>
      <c r="T67">
        <v>0.5</v>
      </c>
      <c r="U67">
        <v>0.435</v>
      </c>
      <c r="V67">
        <v>0</v>
      </c>
      <c r="W67">
        <v>0</v>
      </c>
      <c r="Y67">
        <v>1</v>
      </c>
      <c r="Z67">
        <v>4</v>
      </c>
      <c r="AA67">
        <v>5</v>
      </c>
      <c r="AB67">
        <v>1</v>
      </c>
      <c r="AC67">
        <v>0</v>
      </c>
      <c r="AD67">
        <v>2</v>
      </c>
      <c r="AE67">
        <v>0</v>
      </c>
      <c r="AF67">
        <v>1</v>
      </c>
      <c r="AG67">
        <v>20</v>
      </c>
      <c r="AH67">
        <v>11.1</v>
      </c>
      <c r="AI67">
        <v>6</v>
      </c>
    </row>
    <row r="68" spans="1:35" ht="21" x14ac:dyDescent="0.3">
      <c r="A68" t="s">
        <v>545</v>
      </c>
      <c r="B68" s="11">
        <v>21</v>
      </c>
      <c r="C68">
        <v>636</v>
      </c>
      <c r="D68">
        <v>67</v>
      </c>
      <c r="E68" s="4">
        <v>44630</v>
      </c>
      <c r="F68" t="s">
        <v>33</v>
      </c>
      <c r="G68" t="s">
        <v>37</v>
      </c>
      <c r="H68" t="s">
        <v>34</v>
      </c>
      <c r="I68" t="s">
        <v>153</v>
      </c>
      <c r="J68" t="s">
        <v>41</v>
      </c>
      <c r="K68" s="9">
        <v>1.3930555555555555</v>
      </c>
      <c r="L68">
        <v>7</v>
      </c>
      <c r="M68">
        <v>20</v>
      </c>
      <c r="N68">
        <v>0.35</v>
      </c>
      <c r="O68">
        <v>2</v>
      </c>
      <c r="P68">
        <v>8</v>
      </c>
      <c r="Q68">
        <v>0.25</v>
      </c>
      <c r="R68">
        <v>5</v>
      </c>
      <c r="S68">
        <v>12</v>
      </c>
      <c r="T68">
        <v>0.41699999999999998</v>
      </c>
      <c r="U68">
        <v>0.4</v>
      </c>
      <c r="V68">
        <v>2</v>
      </c>
      <c r="W68">
        <v>3</v>
      </c>
      <c r="X68">
        <v>0.66700000000000004</v>
      </c>
      <c r="Y68">
        <v>1</v>
      </c>
      <c r="Z68">
        <v>2</v>
      </c>
      <c r="AA68">
        <v>3</v>
      </c>
      <c r="AB68">
        <v>2</v>
      </c>
      <c r="AC68">
        <v>1</v>
      </c>
      <c r="AD68">
        <v>2</v>
      </c>
      <c r="AE68">
        <v>0</v>
      </c>
      <c r="AF68">
        <v>1</v>
      </c>
      <c r="AG68">
        <v>18</v>
      </c>
      <c r="AH68">
        <v>11.1</v>
      </c>
      <c r="AI68">
        <v>9</v>
      </c>
    </row>
    <row r="69" spans="1:35" ht="21" x14ac:dyDescent="0.3">
      <c r="A69" t="s">
        <v>545</v>
      </c>
      <c r="B69" s="11">
        <v>22</v>
      </c>
      <c r="C69">
        <v>637</v>
      </c>
      <c r="D69">
        <v>68</v>
      </c>
      <c r="E69" s="4">
        <v>44632</v>
      </c>
      <c r="F69" t="s">
        <v>33</v>
      </c>
      <c r="H69" t="s">
        <v>126</v>
      </c>
      <c r="I69" t="s">
        <v>154</v>
      </c>
      <c r="J69" t="s">
        <v>41</v>
      </c>
      <c r="K69" s="9">
        <v>1.4104166666666667</v>
      </c>
      <c r="L69">
        <v>15</v>
      </c>
      <c r="M69">
        <v>24</v>
      </c>
      <c r="N69">
        <v>0.625</v>
      </c>
      <c r="O69">
        <v>8</v>
      </c>
      <c r="P69">
        <v>14</v>
      </c>
      <c r="Q69">
        <v>0.57099999999999995</v>
      </c>
      <c r="R69">
        <v>7</v>
      </c>
      <c r="S69">
        <v>10</v>
      </c>
      <c r="T69">
        <v>0.7</v>
      </c>
      <c r="U69">
        <v>0.79200000000000004</v>
      </c>
      <c r="V69">
        <v>0</v>
      </c>
      <c r="W69">
        <v>0</v>
      </c>
      <c r="Y69">
        <v>0</v>
      </c>
      <c r="Z69">
        <v>6</v>
      </c>
      <c r="AA69">
        <v>6</v>
      </c>
      <c r="AB69">
        <v>5</v>
      </c>
      <c r="AC69">
        <v>1</v>
      </c>
      <c r="AD69">
        <v>1</v>
      </c>
      <c r="AE69">
        <v>2</v>
      </c>
      <c r="AF69">
        <v>2</v>
      </c>
      <c r="AG69">
        <v>38</v>
      </c>
      <c r="AH69">
        <v>31.4</v>
      </c>
      <c r="AI69">
        <v>27</v>
      </c>
    </row>
    <row r="70" spans="1:35" ht="21" x14ac:dyDescent="0.3">
      <c r="A70" t="s">
        <v>545</v>
      </c>
      <c r="B70" s="11">
        <v>23</v>
      </c>
      <c r="C70">
        <v>638</v>
      </c>
      <c r="D70">
        <v>69</v>
      </c>
      <c r="E70" s="4">
        <v>44634</v>
      </c>
      <c r="F70" t="s">
        <v>33</v>
      </c>
      <c r="H70" t="s">
        <v>155</v>
      </c>
      <c r="I70" t="s">
        <v>156</v>
      </c>
      <c r="J70" t="s">
        <v>41</v>
      </c>
      <c r="K70" s="9">
        <v>1.3840277777777779</v>
      </c>
      <c r="L70">
        <v>7</v>
      </c>
      <c r="M70">
        <v>19</v>
      </c>
      <c r="N70">
        <v>0.36799999999999999</v>
      </c>
      <c r="O70">
        <v>4</v>
      </c>
      <c r="P70">
        <v>12</v>
      </c>
      <c r="Q70">
        <v>0.33300000000000002</v>
      </c>
      <c r="R70">
        <v>3</v>
      </c>
      <c r="S70">
        <v>7</v>
      </c>
      <c r="T70">
        <v>0.42899999999999999</v>
      </c>
      <c r="U70">
        <v>0.47399999999999998</v>
      </c>
      <c r="V70">
        <v>2</v>
      </c>
      <c r="W70">
        <v>2</v>
      </c>
      <c r="X70">
        <v>1</v>
      </c>
      <c r="Y70">
        <v>0</v>
      </c>
      <c r="Z70">
        <v>4</v>
      </c>
      <c r="AA70">
        <v>4</v>
      </c>
      <c r="AB70">
        <v>1</v>
      </c>
      <c r="AC70">
        <v>0</v>
      </c>
      <c r="AD70">
        <v>0</v>
      </c>
      <c r="AE70">
        <v>1</v>
      </c>
      <c r="AF70">
        <v>1</v>
      </c>
      <c r="AG70">
        <v>20</v>
      </c>
      <c r="AH70">
        <v>10</v>
      </c>
      <c r="AI70">
        <v>0</v>
      </c>
    </row>
    <row r="71" spans="1:35" ht="21" x14ac:dyDescent="0.3">
      <c r="A71" t="s">
        <v>545</v>
      </c>
      <c r="B71" s="11">
        <v>24</v>
      </c>
      <c r="C71">
        <v>639</v>
      </c>
      <c r="D71">
        <v>70</v>
      </c>
      <c r="E71" s="4">
        <v>44636</v>
      </c>
      <c r="F71" t="s">
        <v>33</v>
      </c>
      <c r="H71" t="s">
        <v>55</v>
      </c>
      <c r="I71" t="s">
        <v>157</v>
      </c>
      <c r="J71" t="s">
        <v>41</v>
      </c>
      <c r="K71" s="9">
        <v>1.3729166666666666</v>
      </c>
      <c r="L71">
        <v>8</v>
      </c>
      <c r="M71">
        <v>24</v>
      </c>
      <c r="N71">
        <v>0.33300000000000002</v>
      </c>
      <c r="O71">
        <v>1</v>
      </c>
      <c r="P71">
        <v>11</v>
      </c>
      <c r="Q71">
        <v>9.0999999999999998E-2</v>
      </c>
      <c r="R71">
        <v>7</v>
      </c>
      <c r="S71">
        <v>13</v>
      </c>
      <c r="T71">
        <v>0.53800000000000003</v>
      </c>
      <c r="U71">
        <v>0.35399999999999998</v>
      </c>
      <c r="V71">
        <v>1</v>
      </c>
      <c r="W71">
        <v>2</v>
      </c>
      <c r="X71">
        <v>0.5</v>
      </c>
      <c r="Y71">
        <v>2</v>
      </c>
      <c r="Z71">
        <v>1</v>
      </c>
      <c r="AA71">
        <v>3</v>
      </c>
      <c r="AB71">
        <v>1</v>
      </c>
      <c r="AC71">
        <v>0</v>
      </c>
      <c r="AD71">
        <v>0</v>
      </c>
      <c r="AE71">
        <v>1</v>
      </c>
      <c r="AF71">
        <v>1</v>
      </c>
      <c r="AG71">
        <v>18</v>
      </c>
      <c r="AH71">
        <v>5</v>
      </c>
      <c r="AI71">
        <v>-30</v>
      </c>
    </row>
    <row r="72" spans="1:35" ht="21" x14ac:dyDescent="0.3">
      <c r="A72" t="s">
        <v>545</v>
      </c>
      <c r="B72" s="11">
        <v>25</v>
      </c>
      <c r="C72">
        <v>640</v>
      </c>
      <c r="D72">
        <v>71</v>
      </c>
      <c r="E72" s="4">
        <v>44640</v>
      </c>
      <c r="F72" t="s">
        <v>33</v>
      </c>
      <c r="H72" t="s">
        <v>102</v>
      </c>
      <c r="I72" t="s">
        <v>158</v>
      </c>
      <c r="J72" t="s">
        <v>41</v>
      </c>
      <c r="K72" s="9">
        <v>1.5958333333333334</v>
      </c>
      <c r="L72">
        <v>9</v>
      </c>
      <c r="M72">
        <v>22</v>
      </c>
      <c r="N72">
        <v>0.40899999999999997</v>
      </c>
      <c r="O72">
        <v>6</v>
      </c>
      <c r="P72">
        <v>12</v>
      </c>
      <c r="Q72">
        <v>0.5</v>
      </c>
      <c r="R72">
        <v>3</v>
      </c>
      <c r="S72">
        <v>10</v>
      </c>
      <c r="T72">
        <v>0.3</v>
      </c>
      <c r="U72">
        <v>0.54500000000000004</v>
      </c>
      <c r="V72">
        <v>0</v>
      </c>
      <c r="W72">
        <v>0</v>
      </c>
      <c r="Y72">
        <v>1</v>
      </c>
      <c r="Z72">
        <v>2</v>
      </c>
      <c r="AA72">
        <v>3</v>
      </c>
      <c r="AB72">
        <v>0</v>
      </c>
      <c r="AC72">
        <v>1</v>
      </c>
      <c r="AD72">
        <v>0</v>
      </c>
      <c r="AE72">
        <v>0</v>
      </c>
      <c r="AF72">
        <v>3</v>
      </c>
      <c r="AG72">
        <v>24</v>
      </c>
      <c r="AH72">
        <v>13.3</v>
      </c>
      <c r="AI72">
        <v>-13</v>
      </c>
    </row>
    <row r="73" spans="1:35" ht="21" x14ac:dyDescent="0.3">
      <c r="A73" t="s">
        <v>545</v>
      </c>
      <c r="B73" s="11">
        <v>26</v>
      </c>
      <c r="C73">
        <v>641</v>
      </c>
      <c r="D73">
        <v>72</v>
      </c>
      <c r="E73" s="4">
        <v>44642</v>
      </c>
      <c r="F73" t="s">
        <v>33</v>
      </c>
      <c r="G73" t="s">
        <v>37</v>
      </c>
      <c r="H73" t="s">
        <v>104</v>
      </c>
      <c r="I73" t="s">
        <v>159</v>
      </c>
      <c r="J73" t="s">
        <v>41</v>
      </c>
      <c r="K73" s="9">
        <v>1.3465277777777778</v>
      </c>
      <c r="L73">
        <v>6</v>
      </c>
      <c r="M73">
        <v>15</v>
      </c>
      <c r="N73">
        <v>0.4</v>
      </c>
      <c r="O73">
        <v>2</v>
      </c>
      <c r="P73">
        <v>7</v>
      </c>
      <c r="Q73">
        <v>0.28599999999999998</v>
      </c>
      <c r="R73">
        <v>4</v>
      </c>
      <c r="S73">
        <v>8</v>
      </c>
      <c r="T73">
        <v>0.5</v>
      </c>
      <c r="U73">
        <v>0.46700000000000003</v>
      </c>
      <c r="V73">
        <v>1</v>
      </c>
      <c r="W73">
        <v>1</v>
      </c>
      <c r="X73">
        <v>1</v>
      </c>
      <c r="Y73">
        <v>0</v>
      </c>
      <c r="Z73">
        <v>2</v>
      </c>
      <c r="AA73">
        <v>2</v>
      </c>
      <c r="AB73">
        <v>3</v>
      </c>
      <c r="AC73">
        <v>2</v>
      </c>
      <c r="AD73">
        <v>0</v>
      </c>
      <c r="AE73">
        <v>1</v>
      </c>
      <c r="AF73">
        <v>3</v>
      </c>
      <c r="AG73">
        <v>15</v>
      </c>
      <c r="AH73">
        <v>9.4</v>
      </c>
      <c r="AI73">
        <v>0</v>
      </c>
    </row>
    <row r="74" spans="1:35" ht="21" x14ac:dyDescent="0.3">
      <c r="A74" t="s">
        <v>545</v>
      </c>
      <c r="B74" s="11">
        <v>26</v>
      </c>
      <c r="D74">
        <v>73</v>
      </c>
      <c r="E74" s="4">
        <v>44643</v>
      </c>
      <c r="F74" t="s">
        <v>33</v>
      </c>
      <c r="G74" t="s">
        <v>37</v>
      </c>
      <c r="H74" t="s">
        <v>120</v>
      </c>
      <c r="I74" t="s">
        <v>160</v>
      </c>
      <c r="J74" t="s">
        <v>91</v>
      </c>
      <c r="K74" t="s">
        <v>91</v>
      </c>
      <c r="L74" t="s">
        <v>91</v>
      </c>
      <c r="M74" t="s">
        <v>91</v>
      </c>
      <c r="N74" t="s">
        <v>91</v>
      </c>
      <c r="O74" t="s">
        <v>91</v>
      </c>
      <c r="P74" t="s">
        <v>91</v>
      </c>
      <c r="Q74" t="s">
        <v>91</v>
      </c>
      <c r="R74" t="s">
        <v>91</v>
      </c>
      <c r="S74" t="s">
        <v>91</v>
      </c>
      <c r="T74" t="s">
        <v>91</v>
      </c>
      <c r="U74" t="s">
        <v>91</v>
      </c>
      <c r="V74" t="s">
        <v>91</v>
      </c>
      <c r="W74" t="s">
        <v>91</v>
      </c>
      <c r="X74" t="s">
        <v>91</v>
      </c>
      <c r="Y74" t="s">
        <v>91</v>
      </c>
      <c r="Z74" t="s">
        <v>91</v>
      </c>
      <c r="AA74" t="s">
        <v>91</v>
      </c>
      <c r="AB74" t="s">
        <v>91</v>
      </c>
      <c r="AC74" t="s">
        <v>91</v>
      </c>
      <c r="AD74" t="s">
        <v>91</v>
      </c>
      <c r="AE74" t="s">
        <v>91</v>
      </c>
      <c r="AF74" t="s">
        <v>91</v>
      </c>
      <c r="AG74" t="s">
        <v>91</v>
      </c>
      <c r="AH74" t="s">
        <v>91</v>
      </c>
      <c r="AI74" t="s">
        <v>91</v>
      </c>
    </row>
    <row r="75" spans="1:35" ht="21" x14ac:dyDescent="0.3">
      <c r="A75" t="s">
        <v>545</v>
      </c>
      <c r="B75" s="11">
        <v>27</v>
      </c>
      <c r="C75">
        <v>642</v>
      </c>
      <c r="D75">
        <v>74</v>
      </c>
      <c r="E75" s="4">
        <v>44645</v>
      </c>
      <c r="F75" t="s">
        <v>33</v>
      </c>
      <c r="G75" t="s">
        <v>37</v>
      </c>
      <c r="H75" t="s">
        <v>78</v>
      </c>
      <c r="I75" t="s">
        <v>161</v>
      </c>
      <c r="J75" t="s">
        <v>41</v>
      </c>
      <c r="K75" s="9">
        <v>1.6826388888888888</v>
      </c>
      <c r="L75">
        <v>14</v>
      </c>
      <c r="M75">
        <v>26</v>
      </c>
      <c r="N75">
        <v>0.53800000000000003</v>
      </c>
      <c r="O75">
        <v>9</v>
      </c>
      <c r="P75">
        <v>16</v>
      </c>
      <c r="Q75">
        <v>0.56299999999999994</v>
      </c>
      <c r="R75">
        <v>5</v>
      </c>
      <c r="S75">
        <v>10</v>
      </c>
      <c r="T75">
        <v>0.5</v>
      </c>
      <c r="U75">
        <v>0.71199999999999997</v>
      </c>
      <c r="V75">
        <v>0</v>
      </c>
      <c r="W75">
        <v>0</v>
      </c>
      <c r="Y75">
        <v>1</v>
      </c>
      <c r="Z75">
        <v>6</v>
      </c>
      <c r="AA75">
        <v>7</v>
      </c>
      <c r="AB75">
        <v>3</v>
      </c>
      <c r="AC75">
        <v>0</v>
      </c>
      <c r="AD75">
        <v>1</v>
      </c>
      <c r="AE75">
        <v>2</v>
      </c>
      <c r="AF75">
        <v>1</v>
      </c>
      <c r="AG75">
        <v>37</v>
      </c>
      <c r="AH75">
        <v>27.3</v>
      </c>
      <c r="AI75">
        <v>-11</v>
      </c>
    </row>
    <row r="76" spans="1:35" ht="21" x14ac:dyDescent="0.3">
      <c r="A76" t="s">
        <v>545</v>
      </c>
      <c r="B76" s="11">
        <v>28</v>
      </c>
      <c r="C76">
        <v>643</v>
      </c>
      <c r="D76">
        <v>75</v>
      </c>
      <c r="E76" s="4">
        <v>44647</v>
      </c>
      <c r="F76" t="s">
        <v>33</v>
      </c>
      <c r="G76" t="s">
        <v>37</v>
      </c>
      <c r="H76" t="s">
        <v>155</v>
      </c>
      <c r="I76" t="s">
        <v>162</v>
      </c>
      <c r="J76" t="s">
        <v>41</v>
      </c>
      <c r="K76" s="9">
        <v>1.5340277777777778</v>
      </c>
      <c r="L76">
        <v>10</v>
      </c>
      <c r="M76">
        <v>22</v>
      </c>
      <c r="N76">
        <v>0.45500000000000002</v>
      </c>
      <c r="O76">
        <v>5</v>
      </c>
      <c r="P76">
        <v>13</v>
      </c>
      <c r="Q76">
        <v>0.38500000000000001</v>
      </c>
      <c r="R76">
        <v>5</v>
      </c>
      <c r="S76">
        <v>9</v>
      </c>
      <c r="T76">
        <v>0.55600000000000005</v>
      </c>
      <c r="U76">
        <v>0.56799999999999995</v>
      </c>
      <c r="V76">
        <v>0</v>
      </c>
      <c r="W76">
        <v>0</v>
      </c>
      <c r="Y76">
        <v>0</v>
      </c>
      <c r="Z76">
        <v>5</v>
      </c>
      <c r="AA76">
        <v>5</v>
      </c>
      <c r="AB76">
        <v>3</v>
      </c>
      <c r="AC76">
        <v>0</v>
      </c>
      <c r="AD76">
        <v>0</v>
      </c>
      <c r="AE76">
        <v>0</v>
      </c>
      <c r="AF76">
        <v>1</v>
      </c>
      <c r="AG76">
        <v>25</v>
      </c>
      <c r="AH76">
        <v>16.8</v>
      </c>
      <c r="AI76">
        <v>-7</v>
      </c>
    </row>
    <row r="77" spans="1:35" ht="21" x14ac:dyDescent="0.3">
      <c r="A77" t="s">
        <v>545</v>
      </c>
      <c r="B77" s="11">
        <v>28</v>
      </c>
      <c r="D77">
        <v>76</v>
      </c>
      <c r="E77" s="4">
        <v>44648</v>
      </c>
      <c r="F77" t="s">
        <v>33</v>
      </c>
      <c r="G77" t="s">
        <v>37</v>
      </c>
      <c r="H77" t="s">
        <v>42</v>
      </c>
      <c r="I77" t="s">
        <v>163</v>
      </c>
      <c r="J77" t="s">
        <v>91</v>
      </c>
      <c r="K77" t="s">
        <v>91</v>
      </c>
      <c r="L77" t="s">
        <v>91</v>
      </c>
      <c r="M77" t="s">
        <v>91</v>
      </c>
      <c r="N77" t="s">
        <v>91</v>
      </c>
      <c r="O77" t="s">
        <v>91</v>
      </c>
      <c r="P77" t="s">
        <v>91</v>
      </c>
      <c r="Q77" t="s">
        <v>91</v>
      </c>
      <c r="R77" t="s">
        <v>91</v>
      </c>
      <c r="S77" t="s">
        <v>91</v>
      </c>
      <c r="T77" t="s">
        <v>91</v>
      </c>
      <c r="U77" t="s">
        <v>91</v>
      </c>
      <c r="V77" t="s">
        <v>91</v>
      </c>
      <c r="W77" t="s">
        <v>91</v>
      </c>
      <c r="X77" t="s">
        <v>91</v>
      </c>
      <c r="Y77" t="s">
        <v>91</v>
      </c>
      <c r="Z77" t="s">
        <v>91</v>
      </c>
      <c r="AA77" t="s">
        <v>91</v>
      </c>
      <c r="AB77" t="s">
        <v>91</v>
      </c>
      <c r="AC77" t="s">
        <v>91</v>
      </c>
      <c r="AD77" t="s">
        <v>91</v>
      </c>
      <c r="AE77" t="s">
        <v>91</v>
      </c>
      <c r="AF77" t="s">
        <v>91</v>
      </c>
      <c r="AG77" t="s">
        <v>91</v>
      </c>
      <c r="AH77" t="s">
        <v>91</v>
      </c>
      <c r="AI77" t="s">
        <v>91</v>
      </c>
    </row>
    <row r="78" spans="1:35" ht="21" x14ac:dyDescent="0.3">
      <c r="A78" t="s">
        <v>545</v>
      </c>
      <c r="B78" s="11">
        <v>29</v>
      </c>
      <c r="C78">
        <v>644</v>
      </c>
      <c r="D78">
        <v>77</v>
      </c>
      <c r="E78" s="4">
        <v>44650</v>
      </c>
      <c r="F78" t="s">
        <v>33</v>
      </c>
      <c r="H78" t="s">
        <v>99</v>
      </c>
      <c r="I78" t="s">
        <v>164</v>
      </c>
      <c r="J78" t="s">
        <v>41</v>
      </c>
      <c r="K78" s="9">
        <v>1.3993055555555556</v>
      </c>
      <c r="L78">
        <v>5</v>
      </c>
      <c r="M78">
        <v>21</v>
      </c>
      <c r="N78">
        <v>0.23799999999999999</v>
      </c>
      <c r="O78">
        <v>1</v>
      </c>
      <c r="P78">
        <v>10</v>
      </c>
      <c r="Q78">
        <v>0.1</v>
      </c>
      <c r="R78">
        <v>4</v>
      </c>
      <c r="S78">
        <v>11</v>
      </c>
      <c r="T78">
        <v>0.36399999999999999</v>
      </c>
      <c r="U78">
        <v>0.26200000000000001</v>
      </c>
      <c r="V78">
        <v>2</v>
      </c>
      <c r="W78">
        <v>2</v>
      </c>
      <c r="X78">
        <v>1</v>
      </c>
      <c r="Y78">
        <v>0</v>
      </c>
      <c r="Z78">
        <v>1</v>
      </c>
      <c r="AA78">
        <v>1</v>
      </c>
      <c r="AB78">
        <v>4</v>
      </c>
      <c r="AC78">
        <v>0</v>
      </c>
      <c r="AD78">
        <v>0</v>
      </c>
      <c r="AE78">
        <v>3</v>
      </c>
      <c r="AF78">
        <v>4</v>
      </c>
      <c r="AG78">
        <v>13</v>
      </c>
      <c r="AH78">
        <v>-1.2</v>
      </c>
      <c r="AI78">
        <v>-5</v>
      </c>
    </row>
    <row r="79" spans="1:35" ht="21" x14ac:dyDescent="0.3">
      <c r="A79" t="s">
        <v>545</v>
      </c>
      <c r="B79" s="11">
        <v>30</v>
      </c>
      <c r="C79">
        <v>645</v>
      </c>
      <c r="D79">
        <v>78</v>
      </c>
      <c r="E79" s="4">
        <v>44653</v>
      </c>
      <c r="F79" t="s">
        <v>33</v>
      </c>
      <c r="H79" t="s">
        <v>118</v>
      </c>
      <c r="I79" t="s">
        <v>112</v>
      </c>
      <c r="J79" t="s">
        <v>41</v>
      </c>
      <c r="K79" s="9">
        <v>1.6375</v>
      </c>
      <c r="L79">
        <v>14</v>
      </c>
      <c r="M79">
        <v>28</v>
      </c>
      <c r="N79">
        <v>0.5</v>
      </c>
      <c r="O79">
        <v>8</v>
      </c>
      <c r="P79">
        <v>17</v>
      </c>
      <c r="Q79">
        <v>0.47099999999999997</v>
      </c>
      <c r="R79">
        <v>6</v>
      </c>
      <c r="S79">
        <v>11</v>
      </c>
      <c r="T79">
        <v>0.54500000000000004</v>
      </c>
      <c r="U79">
        <v>0.64300000000000002</v>
      </c>
      <c r="V79">
        <v>0</v>
      </c>
      <c r="W79">
        <v>0</v>
      </c>
      <c r="Y79">
        <v>0</v>
      </c>
      <c r="Z79">
        <v>5</v>
      </c>
      <c r="AA79">
        <v>5</v>
      </c>
      <c r="AB79">
        <v>2</v>
      </c>
      <c r="AC79">
        <v>0</v>
      </c>
      <c r="AD79">
        <v>0</v>
      </c>
      <c r="AE79">
        <v>1</v>
      </c>
      <c r="AF79">
        <v>3</v>
      </c>
      <c r="AG79">
        <v>36</v>
      </c>
      <c r="AH79">
        <v>22.7</v>
      </c>
      <c r="AI79">
        <v>2</v>
      </c>
    </row>
    <row r="80" spans="1:35" ht="21" x14ac:dyDescent="0.3">
      <c r="A80" t="s">
        <v>545</v>
      </c>
      <c r="B80" s="11">
        <v>30</v>
      </c>
      <c r="D80">
        <v>79</v>
      </c>
      <c r="E80" s="4">
        <v>44654</v>
      </c>
      <c r="F80" t="s">
        <v>33</v>
      </c>
      <c r="G80" t="s">
        <v>37</v>
      </c>
      <c r="H80" t="s">
        <v>66</v>
      </c>
      <c r="I80" t="s">
        <v>165</v>
      </c>
      <c r="J80" t="s">
        <v>91</v>
      </c>
      <c r="K80" t="s">
        <v>91</v>
      </c>
      <c r="L80" t="s">
        <v>91</v>
      </c>
      <c r="M80" t="s">
        <v>91</v>
      </c>
      <c r="N80" t="s">
        <v>91</v>
      </c>
      <c r="O80" t="s">
        <v>91</v>
      </c>
      <c r="P80" t="s">
        <v>91</v>
      </c>
      <c r="Q80" t="s">
        <v>91</v>
      </c>
      <c r="R80" t="s">
        <v>91</v>
      </c>
      <c r="S80" t="s">
        <v>91</v>
      </c>
      <c r="T80" t="s">
        <v>91</v>
      </c>
      <c r="U80" t="s">
        <v>91</v>
      </c>
      <c r="V80" t="s">
        <v>91</v>
      </c>
      <c r="W80" t="s">
        <v>91</v>
      </c>
      <c r="X80" t="s">
        <v>91</v>
      </c>
      <c r="Y80" t="s">
        <v>91</v>
      </c>
      <c r="Z80" t="s">
        <v>91</v>
      </c>
      <c r="AA80" t="s">
        <v>91</v>
      </c>
      <c r="AB80" t="s">
        <v>91</v>
      </c>
      <c r="AC80" t="s">
        <v>91</v>
      </c>
      <c r="AD80" t="s">
        <v>91</v>
      </c>
      <c r="AE80" t="s">
        <v>91</v>
      </c>
      <c r="AF80" t="s">
        <v>91</v>
      </c>
      <c r="AG80" t="s">
        <v>91</v>
      </c>
      <c r="AH80" t="s">
        <v>91</v>
      </c>
      <c r="AI80" t="s">
        <v>91</v>
      </c>
    </row>
    <row r="81" spans="1:35" ht="21" x14ac:dyDescent="0.3">
      <c r="A81" t="s">
        <v>545</v>
      </c>
      <c r="B81" s="11">
        <v>31</v>
      </c>
      <c r="C81">
        <v>646</v>
      </c>
      <c r="D81">
        <v>80</v>
      </c>
      <c r="E81" s="4">
        <v>44658</v>
      </c>
      <c r="F81" t="s">
        <v>33</v>
      </c>
      <c r="H81" t="s">
        <v>62</v>
      </c>
      <c r="I81" t="s">
        <v>166</v>
      </c>
      <c r="J81" t="s">
        <v>41</v>
      </c>
      <c r="K81" s="9">
        <v>1.3944444444444444</v>
      </c>
      <c r="L81">
        <v>12</v>
      </c>
      <c r="M81">
        <v>22</v>
      </c>
      <c r="N81">
        <v>0.54500000000000004</v>
      </c>
      <c r="O81">
        <v>6</v>
      </c>
      <c r="P81">
        <v>10</v>
      </c>
      <c r="Q81">
        <v>0.6</v>
      </c>
      <c r="R81">
        <v>6</v>
      </c>
      <c r="S81">
        <v>12</v>
      </c>
      <c r="T81">
        <v>0.5</v>
      </c>
      <c r="U81">
        <v>0.68200000000000005</v>
      </c>
      <c r="V81">
        <v>3</v>
      </c>
      <c r="W81">
        <v>3</v>
      </c>
      <c r="X81">
        <v>1</v>
      </c>
      <c r="Y81">
        <v>1</v>
      </c>
      <c r="Z81">
        <v>3</v>
      </c>
      <c r="AA81">
        <v>4</v>
      </c>
      <c r="AB81">
        <v>4</v>
      </c>
      <c r="AC81">
        <v>0</v>
      </c>
      <c r="AD81">
        <v>0</v>
      </c>
      <c r="AE81">
        <v>1</v>
      </c>
      <c r="AF81">
        <v>2</v>
      </c>
      <c r="AG81">
        <v>33</v>
      </c>
      <c r="AH81">
        <v>25</v>
      </c>
      <c r="AI81">
        <v>5</v>
      </c>
    </row>
    <row r="82" spans="1:35" ht="21" x14ac:dyDescent="0.3">
      <c r="A82" t="s">
        <v>545</v>
      </c>
      <c r="B82" s="11">
        <v>31</v>
      </c>
      <c r="D82">
        <v>81</v>
      </c>
      <c r="E82" s="4">
        <v>44660</v>
      </c>
      <c r="F82" t="s">
        <v>33</v>
      </c>
      <c r="G82" t="s">
        <v>37</v>
      </c>
      <c r="H82" t="s">
        <v>102</v>
      </c>
      <c r="I82" t="s">
        <v>167</v>
      </c>
      <c r="J82" t="s">
        <v>358</v>
      </c>
      <c r="K82" t="s">
        <v>358</v>
      </c>
      <c r="L82" t="s">
        <v>358</v>
      </c>
      <c r="M82" t="s">
        <v>358</v>
      </c>
      <c r="N82" t="s">
        <v>358</v>
      </c>
      <c r="O82" t="s">
        <v>358</v>
      </c>
      <c r="P82" t="s">
        <v>358</v>
      </c>
      <c r="Q82" t="s">
        <v>358</v>
      </c>
      <c r="R82" t="s">
        <v>358</v>
      </c>
      <c r="S82" t="s">
        <v>358</v>
      </c>
      <c r="T82" t="s">
        <v>358</v>
      </c>
      <c r="U82" t="s">
        <v>358</v>
      </c>
      <c r="V82" t="s">
        <v>358</v>
      </c>
      <c r="W82" t="s">
        <v>358</v>
      </c>
      <c r="X82" t="s">
        <v>358</v>
      </c>
      <c r="Y82" t="s">
        <v>358</v>
      </c>
      <c r="Z82" t="s">
        <v>358</v>
      </c>
      <c r="AA82" t="s">
        <v>358</v>
      </c>
      <c r="AB82" t="s">
        <v>358</v>
      </c>
      <c r="AC82" t="s">
        <v>358</v>
      </c>
      <c r="AD82" t="s">
        <v>358</v>
      </c>
      <c r="AE82" t="s">
        <v>358</v>
      </c>
      <c r="AF82" t="s">
        <v>358</v>
      </c>
      <c r="AG82" t="s">
        <v>358</v>
      </c>
      <c r="AH82" t="s">
        <v>358</v>
      </c>
      <c r="AI82" t="s">
        <v>358</v>
      </c>
    </row>
    <row r="83" spans="1:35" ht="21" x14ac:dyDescent="0.3">
      <c r="A83" t="s">
        <v>545</v>
      </c>
      <c r="B83" s="11">
        <v>32</v>
      </c>
      <c r="C83">
        <v>647</v>
      </c>
      <c r="D83">
        <v>82</v>
      </c>
      <c r="E83" s="4">
        <v>44661</v>
      </c>
      <c r="F83" t="s">
        <v>33</v>
      </c>
      <c r="G83" t="s">
        <v>37</v>
      </c>
      <c r="H83" t="s">
        <v>74</v>
      </c>
      <c r="I83" t="s">
        <v>168</v>
      </c>
      <c r="J83" t="s">
        <v>41</v>
      </c>
      <c r="K83" s="9">
        <v>1.2881944444444444</v>
      </c>
      <c r="L83">
        <v>16</v>
      </c>
      <c r="M83">
        <v>29</v>
      </c>
      <c r="N83">
        <v>0.55200000000000005</v>
      </c>
      <c r="O83">
        <v>7</v>
      </c>
      <c r="P83">
        <v>14</v>
      </c>
      <c r="Q83">
        <v>0.5</v>
      </c>
      <c r="R83">
        <v>9</v>
      </c>
      <c r="S83">
        <v>15</v>
      </c>
      <c r="T83">
        <v>0.6</v>
      </c>
      <c r="U83">
        <v>0.67200000000000004</v>
      </c>
      <c r="V83">
        <v>2</v>
      </c>
      <c r="W83">
        <v>3</v>
      </c>
      <c r="X83">
        <v>0.66700000000000004</v>
      </c>
      <c r="Y83">
        <v>0</v>
      </c>
      <c r="Z83">
        <v>3</v>
      </c>
      <c r="AA83">
        <v>3</v>
      </c>
      <c r="AB83">
        <v>2</v>
      </c>
      <c r="AC83">
        <v>0</v>
      </c>
      <c r="AD83">
        <v>0</v>
      </c>
      <c r="AE83">
        <v>3</v>
      </c>
      <c r="AF83">
        <v>2</v>
      </c>
      <c r="AG83">
        <v>41</v>
      </c>
      <c r="AH83">
        <v>25.2</v>
      </c>
      <c r="AI83">
        <v>25</v>
      </c>
    </row>
    <row r="84" spans="1:35" ht="21" x14ac:dyDescent="0.3">
      <c r="A84" t="s">
        <v>545</v>
      </c>
      <c r="B84" s="11">
        <v>1</v>
      </c>
      <c r="C84">
        <v>124</v>
      </c>
      <c r="D84">
        <v>1</v>
      </c>
      <c r="E84" s="4">
        <v>44667</v>
      </c>
      <c r="F84" t="s">
        <v>33</v>
      </c>
      <c r="H84" t="s">
        <v>34</v>
      </c>
      <c r="I84" t="s">
        <v>170</v>
      </c>
      <c r="J84" t="s">
        <v>41</v>
      </c>
      <c r="K84" s="9">
        <v>1.2118055555555556</v>
      </c>
      <c r="L84">
        <v>7</v>
      </c>
      <c r="M84">
        <v>15</v>
      </c>
      <c r="N84">
        <v>0.46700000000000003</v>
      </c>
      <c r="O84">
        <v>5</v>
      </c>
      <c r="P84">
        <v>10</v>
      </c>
      <c r="Q84">
        <v>0.5</v>
      </c>
      <c r="R84">
        <v>2</v>
      </c>
      <c r="S84">
        <v>5</v>
      </c>
      <c r="T84">
        <v>0.4</v>
      </c>
      <c r="U84">
        <v>0.63300000000000001</v>
      </c>
      <c r="V84">
        <v>0</v>
      </c>
      <c r="W84">
        <v>0</v>
      </c>
      <c r="Y84">
        <v>0</v>
      </c>
      <c r="Z84">
        <v>3</v>
      </c>
      <c r="AA84">
        <v>3</v>
      </c>
      <c r="AB84">
        <v>2</v>
      </c>
      <c r="AC84">
        <v>0</v>
      </c>
      <c r="AD84">
        <v>0</v>
      </c>
      <c r="AE84">
        <v>3</v>
      </c>
      <c r="AF84">
        <v>2</v>
      </c>
      <c r="AG84">
        <v>19</v>
      </c>
      <c r="AH84">
        <v>9.8000000000000007</v>
      </c>
      <c r="AI84">
        <v>5</v>
      </c>
    </row>
    <row r="85" spans="1:35" ht="21" x14ac:dyDescent="0.3">
      <c r="A85" t="s">
        <v>545</v>
      </c>
      <c r="B85" s="11">
        <v>2</v>
      </c>
      <c r="C85">
        <v>125</v>
      </c>
      <c r="D85">
        <v>2</v>
      </c>
      <c r="E85" s="4">
        <v>44669</v>
      </c>
      <c r="F85" t="s">
        <v>33</v>
      </c>
      <c r="H85" t="s">
        <v>34</v>
      </c>
      <c r="I85" t="s">
        <v>171</v>
      </c>
      <c r="J85" t="s">
        <v>41</v>
      </c>
      <c r="K85" s="9">
        <v>1.4916666666666667</v>
      </c>
      <c r="L85">
        <v>9</v>
      </c>
      <c r="M85">
        <v>19</v>
      </c>
      <c r="N85">
        <v>0.47399999999999998</v>
      </c>
      <c r="O85">
        <v>3</v>
      </c>
      <c r="P85">
        <v>8</v>
      </c>
      <c r="Q85">
        <v>0.375</v>
      </c>
      <c r="R85">
        <v>6</v>
      </c>
      <c r="S85">
        <v>11</v>
      </c>
      <c r="T85">
        <v>0.54500000000000004</v>
      </c>
      <c r="U85">
        <v>0.55300000000000005</v>
      </c>
      <c r="V85">
        <v>0</v>
      </c>
      <c r="W85">
        <v>0</v>
      </c>
      <c r="Y85">
        <v>0</v>
      </c>
      <c r="Z85">
        <v>2</v>
      </c>
      <c r="AA85">
        <v>2</v>
      </c>
      <c r="AB85">
        <v>1</v>
      </c>
      <c r="AC85">
        <v>0</v>
      </c>
      <c r="AD85">
        <v>1</v>
      </c>
      <c r="AE85">
        <v>0</v>
      </c>
      <c r="AF85">
        <v>3</v>
      </c>
      <c r="AG85">
        <v>21</v>
      </c>
      <c r="AH85">
        <v>12.1</v>
      </c>
      <c r="AI85">
        <v>13</v>
      </c>
    </row>
    <row r="86" spans="1:35" ht="21" x14ac:dyDescent="0.3">
      <c r="A86" t="s">
        <v>545</v>
      </c>
      <c r="B86" s="11">
        <v>3</v>
      </c>
      <c r="C86">
        <v>126</v>
      </c>
      <c r="D86">
        <v>3</v>
      </c>
      <c r="E86" s="4">
        <v>44672</v>
      </c>
      <c r="F86" t="s">
        <v>33</v>
      </c>
      <c r="G86" t="s">
        <v>37</v>
      </c>
      <c r="H86" t="s">
        <v>34</v>
      </c>
      <c r="I86" t="s">
        <v>172</v>
      </c>
      <c r="J86" t="s">
        <v>41</v>
      </c>
      <c r="K86" s="9">
        <v>1.5604166666666666</v>
      </c>
      <c r="L86">
        <v>10</v>
      </c>
      <c r="M86">
        <v>18</v>
      </c>
      <c r="N86">
        <v>0.55600000000000005</v>
      </c>
      <c r="O86">
        <v>6</v>
      </c>
      <c r="P86">
        <v>13</v>
      </c>
      <c r="Q86">
        <v>0.46200000000000002</v>
      </c>
      <c r="R86">
        <v>4</v>
      </c>
      <c r="S86">
        <v>5</v>
      </c>
      <c r="T86">
        <v>0.8</v>
      </c>
      <c r="U86">
        <v>0.72199999999999998</v>
      </c>
      <c r="V86">
        <v>0</v>
      </c>
      <c r="W86">
        <v>0</v>
      </c>
      <c r="Y86">
        <v>0</v>
      </c>
      <c r="Z86">
        <v>1</v>
      </c>
      <c r="AA86">
        <v>1</v>
      </c>
      <c r="AB86">
        <v>1</v>
      </c>
      <c r="AC86">
        <v>0</v>
      </c>
      <c r="AD86">
        <v>2</v>
      </c>
      <c r="AE86">
        <v>1</v>
      </c>
      <c r="AF86">
        <v>0</v>
      </c>
      <c r="AG86">
        <v>26</v>
      </c>
      <c r="AH86">
        <v>18.8</v>
      </c>
      <c r="AI86">
        <v>2</v>
      </c>
    </row>
    <row r="87" spans="1:35" ht="21" x14ac:dyDescent="0.3">
      <c r="A87" t="s">
        <v>545</v>
      </c>
      <c r="B87" s="11">
        <v>4</v>
      </c>
      <c r="C87">
        <v>127</v>
      </c>
      <c r="D87">
        <v>4</v>
      </c>
      <c r="E87" s="4">
        <v>44675</v>
      </c>
      <c r="F87" t="s">
        <v>33</v>
      </c>
      <c r="G87" t="s">
        <v>37</v>
      </c>
      <c r="H87" t="s">
        <v>34</v>
      </c>
      <c r="I87" t="s">
        <v>173</v>
      </c>
      <c r="J87" t="s">
        <v>41</v>
      </c>
      <c r="K87" s="9">
        <v>1.2791666666666666</v>
      </c>
      <c r="L87">
        <v>12</v>
      </c>
      <c r="M87">
        <v>20</v>
      </c>
      <c r="N87">
        <v>0.6</v>
      </c>
      <c r="O87">
        <v>7</v>
      </c>
      <c r="P87">
        <v>11</v>
      </c>
      <c r="Q87">
        <v>0.63600000000000001</v>
      </c>
      <c r="R87">
        <v>5</v>
      </c>
      <c r="S87">
        <v>9</v>
      </c>
      <c r="T87">
        <v>0.55600000000000005</v>
      </c>
      <c r="U87">
        <v>0.77500000000000002</v>
      </c>
      <c r="V87">
        <v>1</v>
      </c>
      <c r="W87">
        <v>2</v>
      </c>
      <c r="X87">
        <v>0.5</v>
      </c>
      <c r="Y87">
        <v>1</v>
      </c>
      <c r="Z87">
        <v>3</v>
      </c>
      <c r="AA87">
        <v>4</v>
      </c>
      <c r="AB87">
        <v>0</v>
      </c>
      <c r="AC87">
        <v>2</v>
      </c>
      <c r="AD87">
        <v>0</v>
      </c>
      <c r="AE87">
        <v>2</v>
      </c>
      <c r="AF87">
        <v>5</v>
      </c>
      <c r="AG87">
        <v>32</v>
      </c>
      <c r="AH87">
        <v>22</v>
      </c>
      <c r="AI87">
        <v>9</v>
      </c>
    </row>
    <row r="88" spans="1:35" ht="21" x14ac:dyDescent="0.3">
      <c r="A88" t="s">
        <v>545</v>
      </c>
      <c r="B88" s="11">
        <v>5</v>
      </c>
      <c r="C88">
        <v>128</v>
      </c>
      <c r="D88">
        <v>5</v>
      </c>
      <c r="E88" s="4">
        <v>44678</v>
      </c>
      <c r="F88" t="s">
        <v>33</v>
      </c>
      <c r="H88" t="s">
        <v>34</v>
      </c>
      <c r="I88" t="s">
        <v>174</v>
      </c>
      <c r="J88" t="s">
        <v>41</v>
      </c>
      <c r="K88" s="9">
        <v>1.6479166666666667</v>
      </c>
      <c r="L88">
        <v>5</v>
      </c>
      <c r="M88">
        <v>13</v>
      </c>
      <c r="N88">
        <v>0.38500000000000001</v>
      </c>
      <c r="O88">
        <v>1</v>
      </c>
      <c r="P88">
        <v>6</v>
      </c>
      <c r="Q88">
        <v>0.16700000000000001</v>
      </c>
      <c r="R88">
        <v>4</v>
      </c>
      <c r="S88">
        <v>7</v>
      </c>
      <c r="T88">
        <v>0.57099999999999995</v>
      </c>
      <c r="U88">
        <v>0.42299999999999999</v>
      </c>
      <c r="V88">
        <v>4</v>
      </c>
      <c r="W88">
        <v>4</v>
      </c>
      <c r="X88">
        <v>1</v>
      </c>
      <c r="Y88">
        <v>1</v>
      </c>
      <c r="Z88">
        <v>8</v>
      </c>
      <c r="AA88">
        <v>9</v>
      </c>
      <c r="AB88">
        <v>3</v>
      </c>
      <c r="AC88">
        <v>4</v>
      </c>
      <c r="AD88">
        <v>1</v>
      </c>
      <c r="AE88">
        <v>0</v>
      </c>
      <c r="AF88">
        <v>2</v>
      </c>
      <c r="AG88">
        <v>15</v>
      </c>
      <c r="AH88">
        <v>17</v>
      </c>
      <c r="AI88">
        <v>6</v>
      </c>
    </row>
    <row r="89" spans="1:35" ht="21" x14ac:dyDescent="0.3">
      <c r="A89" t="s">
        <v>545</v>
      </c>
      <c r="B89" s="11">
        <v>6</v>
      </c>
      <c r="C89">
        <v>129</v>
      </c>
      <c r="D89">
        <v>6</v>
      </c>
      <c r="E89" s="4">
        <v>44682</v>
      </c>
      <c r="F89" t="s">
        <v>33</v>
      </c>
      <c r="G89" t="s">
        <v>37</v>
      </c>
      <c r="H89" t="s">
        <v>42</v>
      </c>
      <c r="I89" t="s">
        <v>175</v>
      </c>
      <c r="J89" t="s">
        <v>41</v>
      </c>
      <c r="K89" s="9">
        <v>1.273611111111111</v>
      </c>
      <c r="L89">
        <v>6</v>
      </c>
      <c r="M89">
        <v>19</v>
      </c>
      <c r="N89">
        <v>0.316</v>
      </c>
      <c r="O89">
        <v>3</v>
      </c>
      <c r="P89">
        <v>10</v>
      </c>
      <c r="Q89">
        <v>0.3</v>
      </c>
      <c r="R89">
        <v>3</v>
      </c>
      <c r="S89">
        <v>9</v>
      </c>
      <c r="T89">
        <v>0.33300000000000002</v>
      </c>
      <c r="U89">
        <v>0.39500000000000002</v>
      </c>
      <c r="V89">
        <v>0</v>
      </c>
      <c r="W89">
        <v>2</v>
      </c>
      <c r="X89">
        <v>0</v>
      </c>
      <c r="Y89">
        <v>0</v>
      </c>
      <c r="Z89">
        <v>1</v>
      </c>
      <c r="AA89">
        <v>1</v>
      </c>
      <c r="AB89">
        <v>3</v>
      </c>
      <c r="AC89">
        <v>2</v>
      </c>
      <c r="AD89">
        <v>1</v>
      </c>
      <c r="AE89">
        <v>0</v>
      </c>
      <c r="AF89">
        <v>3</v>
      </c>
      <c r="AG89">
        <v>15</v>
      </c>
      <c r="AH89">
        <v>7.2</v>
      </c>
      <c r="AI89">
        <v>0</v>
      </c>
    </row>
    <row r="90" spans="1:35" ht="21" x14ac:dyDescent="0.3">
      <c r="A90" t="s">
        <v>545</v>
      </c>
      <c r="B90" s="11">
        <v>7</v>
      </c>
      <c r="C90">
        <v>130</v>
      </c>
      <c r="D90">
        <v>7</v>
      </c>
      <c r="E90" s="4">
        <v>44684</v>
      </c>
      <c r="F90" t="s">
        <v>33</v>
      </c>
      <c r="G90" t="s">
        <v>37</v>
      </c>
      <c r="H90" t="s">
        <v>42</v>
      </c>
      <c r="I90" t="s">
        <v>176</v>
      </c>
      <c r="J90" t="s">
        <v>41</v>
      </c>
      <c r="K90" s="9">
        <v>1.7152777777777777</v>
      </c>
      <c r="L90">
        <v>5</v>
      </c>
      <c r="M90">
        <v>19</v>
      </c>
      <c r="N90">
        <v>0.26300000000000001</v>
      </c>
      <c r="O90">
        <v>2</v>
      </c>
      <c r="P90">
        <v>12</v>
      </c>
      <c r="Q90">
        <v>0.16700000000000001</v>
      </c>
      <c r="R90">
        <v>3</v>
      </c>
      <c r="S90">
        <v>7</v>
      </c>
      <c r="T90">
        <v>0.42899999999999999</v>
      </c>
      <c r="U90">
        <v>0.316</v>
      </c>
      <c r="V90">
        <v>0</v>
      </c>
      <c r="W90">
        <v>0</v>
      </c>
      <c r="Y90">
        <v>0</v>
      </c>
      <c r="Z90">
        <v>2</v>
      </c>
      <c r="AA90">
        <v>2</v>
      </c>
      <c r="AB90">
        <v>3</v>
      </c>
      <c r="AC90">
        <v>3</v>
      </c>
      <c r="AD90">
        <v>0</v>
      </c>
      <c r="AE90">
        <v>1</v>
      </c>
      <c r="AF90">
        <v>2</v>
      </c>
      <c r="AG90">
        <v>12</v>
      </c>
      <c r="AH90">
        <v>4.5999999999999996</v>
      </c>
      <c r="AI90">
        <v>-9</v>
      </c>
    </row>
    <row r="91" spans="1:35" ht="21" x14ac:dyDescent="0.3">
      <c r="A91" t="s">
        <v>545</v>
      </c>
      <c r="B91" s="11">
        <v>8</v>
      </c>
      <c r="C91">
        <v>131</v>
      </c>
      <c r="D91">
        <v>8</v>
      </c>
      <c r="E91" s="4">
        <v>44688</v>
      </c>
      <c r="F91" t="s">
        <v>33</v>
      </c>
      <c r="H91" t="s">
        <v>42</v>
      </c>
      <c r="I91" t="s">
        <v>177</v>
      </c>
      <c r="J91" t="s">
        <v>41</v>
      </c>
      <c r="K91" s="9">
        <v>1.461111111111111</v>
      </c>
      <c r="L91">
        <v>8</v>
      </c>
      <c r="M91">
        <v>14</v>
      </c>
      <c r="N91">
        <v>0.57099999999999995</v>
      </c>
      <c r="O91">
        <v>4</v>
      </c>
      <c r="P91">
        <v>6</v>
      </c>
      <c r="Q91">
        <v>0.66700000000000004</v>
      </c>
      <c r="R91">
        <v>4</v>
      </c>
      <c r="S91">
        <v>8</v>
      </c>
      <c r="T91">
        <v>0.5</v>
      </c>
      <c r="U91">
        <v>0.71399999999999997</v>
      </c>
      <c r="V91">
        <v>1</v>
      </c>
      <c r="W91">
        <v>1</v>
      </c>
      <c r="X91">
        <v>1</v>
      </c>
      <c r="Y91">
        <v>0</v>
      </c>
      <c r="Z91">
        <v>9</v>
      </c>
      <c r="AA91">
        <v>9</v>
      </c>
      <c r="AB91">
        <v>4</v>
      </c>
      <c r="AC91">
        <v>0</v>
      </c>
      <c r="AD91">
        <v>0</v>
      </c>
      <c r="AE91">
        <v>2</v>
      </c>
      <c r="AF91">
        <v>1</v>
      </c>
      <c r="AG91">
        <v>21</v>
      </c>
      <c r="AH91">
        <v>17.5</v>
      </c>
      <c r="AI91">
        <v>22</v>
      </c>
    </row>
    <row r="92" spans="1:35" ht="21" x14ac:dyDescent="0.3">
      <c r="A92" t="s">
        <v>545</v>
      </c>
      <c r="B92" s="11">
        <v>9</v>
      </c>
      <c r="C92">
        <v>132</v>
      </c>
      <c r="D92">
        <v>9</v>
      </c>
      <c r="E92" s="4">
        <v>44690</v>
      </c>
      <c r="F92" t="s">
        <v>33</v>
      </c>
      <c r="H92" t="s">
        <v>42</v>
      </c>
      <c r="I92" t="s">
        <v>178</v>
      </c>
      <c r="J92" t="s">
        <v>41</v>
      </c>
      <c r="K92" s="9">
        <v>1.6006944444444444</v>
      </c>
      <c r="L92">
        <v>6</v>
      </c>
      <c r="M92">
        <v>20</v>
      </c>
      <c r="N92">
        <v>0.3</v>
      </c>
      <c r="O92">
        <v>0</v>
      </c>
      <c r="P92">
        <v>7</v>
      </c>
      <c r="Q92">
        <v>0</v>
      </c>
      <c r="R92">
        <v>6</v>
      </c>
      <c r="S92">
        <v>13</v>
      </c>
      <c r="T92">
        <v>0.46200000000000002</v>
      </c>
      <c r="U92">
        <v>0.3</v>
      </c>
      <c r="V92">
        <v>2</v>
      </c>
      <c r="W92">
        <v>2</v>
      </c>
      <c r="X92">
        <v>1</v>
      </c>
      <c r="Y92">
        <v>1</v>
      </c>
      <c r="Z92">
        <v>6</v>
      </c>
      <c r="AA92">
        <v>7</v>
      </c>
      <c r="AB92">
        <v>2</v>
      </c>
      <c r="AC92">
        <v>1</v>
      </c>
      <c r="AD92">
        <v>2</v>
      </c>
      <c r="AE92">
        <v>3</v>
      </c>
      <c r="AF92">
        <v>0</v>
      </c>
      <c r="AG92">
        <v>14</v>
      </c>
      <c r="AH92">
        <v>5.7</v>
      </c>
      <c r="AI92">
        <v>-3</v>
      </c>
    </row>
    <row r="93" spans="1:35" ht="21" x14ac:dyDescent="0.3">
      <c r="A93" t="s">
        <v>545</v>
      </c>
      <c r="B93" s="11">
        <v>10</v>
      </c>
      <c r="C93">
        <v>133</v>
      </c>
      <c r="D93">
        <v>10</v>
      </c>
      <c r="E93" s="4">
        <v>44692</v>
      </c>
      <c r="F93" t="s">
        <v>33</v>
      </c>
      <c r="G93" t="s">
        <v>37</v>
      </c>
      <c r="H93" t="s">
        <v>42</v>
      </c>
      <c r="I93" t="s">
        <v>179</v>
      </c>
      <c r="J93" t="s">
        <v>41</v>
      </c>
      <c r="K93" s="9">
        <v>1.0562499999999999</v>
      </c>
      <c r="L93">
        <v>7</v>
      </c>
      <c r="M93">
        <v>12</v>
      </c>
      <c r="N93">
        <v>0.58299999999999996</v>
      </c>
      <c r="O93">
        <v>3</v>
      </c>
      <c r="P93">
        <v>6</v>
      </c>
      <c r="Q93">
        <v>0.5</v>
      </c>
      <c r="R93">
        <v>4</v>
      </c>
      <c r="S93">
        <v>6</v>
      </c>
      <c r="T93">
        <v>0.66700000000000004</v>
      </c>
      <c r="U93">
        <v>0.70799999999999996</v>
      </c>
      <c r="V93">
        <v>2</v>
      </c>
      <c r="W93">
        <v>2</v>
      </c>
      <c r="X93">
        <v>1</v>
      </c>
      <c r="Y93">
        <v>0</v>
      </c>
      <c r="Z93">
        <v>3</v>
      </c>
      <c r="AA93">
        <v>3</v>
      </c>
      <c r="AB93">
        <v>1</v>
      </c>
      <c r="AC93">
        <v>1</v>
      </c>
      <c r="AD93">
        <v>0</v>
      </c>
      <c r="AE93">
        <v>2</v>
      </c>
      <c r="AF93">
        <v>3</v>
      </c>
      <c r="AG93">
        <v>19</v>
      </c>
      <c r="AH93">
        <v>12.8</v>
      </c>
      <c r="AI93">
        <v>-45</v>
      </c>
    </row>
    <row r="94" spans="1:35" ht="21" x14ac:dyDescent="0.3">
      <c r="A94" t="s">
        <v>545</v>
      </c>
      <c r="B94" s="11">
        <v>11</v>
      </c>
      <c r="C94">
        <v>134</v>
      </c>
      <c r="D94">
        <v>11</v>
      </c>
      <c r="E94" s="4">
        <v>44694</v>
      </c>
      <c r="F94" t="s">
        <v>33</v>
      </c>
      <c r="H94" t="s">
        <v>42</v>
      </c>
      <c r="I94" t="s">
        <v>180</v>
      </c>
      <c r="J94" t="s">
        <v>41</v>
      </c>
      <c r="K94" s="9">
        <v>1.7541666666666667</v>
      </c>
      <c r="L94">
        <v>11</v>
      </c>
      <c r="M94">
        <v>22</v>
      </c>
      <c r="N94">
        <v>0.5</v>
      </c>
      <c r="O94">
        <v>8</v>
      </c>
      <c r="P94">
        <v>14</v>
      </c>
      <c r="Q94">
        <v>0.57099999999999995</v>
      </c>
      <c r="R94">
        <v>3</v>
      </c>
      <c r="S94">
        <v>8</v>
      </c>
      <c r="T94">
        <v>0.375</v>
      </c>
      <c r="U94">
        <v>0.68200000000000005</v>
      </c>
      <c r="V94">
        <v>0</v>
      </c>
      <c r="W94">
        <v>0</v>
      </c>
      <c r="Y94">
        <v>1</v>
      </c>
      <c r="Z94">
        <v>7</v>
      </c>
      <c r="AA94">
        <v>8</v>
      </c>
      <c r="AB94">
        <v>2</v>
      </c>
      <c r="AC94">
        <v>0</v>
      </c>
      <c r="AD94">
        <v>3</v>
      </c>
      <c r="AE94">
        <v>3</v>
      </c>
      <c r="AF94">
        <v>2</v>
      </c>
      <c r="AG94">
        <v>30</v>
      </c>
      <c r="AH94">
        <v>21.5</v>
      </c>
      <c r="AI94">
        <v>14</v>
      </c>
    </row>
    <row r="95" spans="1:35" ht="21" x14ac:dyDescent="0.3">
      <c r="A95" t="s">
        <v>545</v>
      </c>
      <c r="B95" s="11">
        <v>12</v>
      </c>
      <c r="C95">
        <v>135</v>
      </c>
      <c r="D95">
        <v>12</v>
      </c>
      <c r="E95" s="4">
        <v>44699</v>
      </c>
      <c r="F95" t="s">
        <v>33</v>
      </c>
      <c r="H95" t="s">
        <v>49</v>
      </c>
      <c r="I95" t="s">
        <v>181</v>
      </c>
      <c r="J95" t="s">
        <v>41</v>
      </c>
      <c r="K95" s="9">
        <v>1.4402777777777778</v>
      </c>
      <c r="L95">
        <v>7</v>
      </c>
      <c r="M95">
        <v>13</v>
      </c>
      <c r="N95">
        <v>0.53800000000000003</v>
      </c>
      <c r="O95">
        <v>1</v>
      </c>
      <c r="P95">
        <v>4</v>
      </c>
      <c r="Q95">
        <v>0.25</v>
      </c>
      <c r="R95">
        <v>6</v>
      </c>
      <c r="S95">
        <v>9</v>
      </c>
      <c r="T95">
        <v>0.66700000000000004</v>
      </c>
      <c r="U95">
        <v>0.57699999999999996</v>
      </c>
      <c r="V95">
        <v>0</v>
      </c>
      <c r="W95">
        <v>0</v>
      </c>
      <c r="Y95">
        <v>0</v>
      </c>
      <c r="Z95">
        <v>5</v>
      </c>
      <c r="AA95">
        <v>5</v>
      </c>
      <c r="AB95">
        <v>4</v>
      </c>
      <c r="AC95">
        <v>0</v>
      </c>
      <c r="AD95">
        <v>2</v>
      </c>
      <c r="AE95">
        <v>3</v>
      </c>
      <c r="AF95">
        <v>0</v>
      </c>
      <c r="AG95">
        <v>15</v>
      </c>
      <c r="AH95">
        <v>11.4</v>
      </c>
      <c r="AI95">
        <v>20</v>
      </c>
    </row>
    <row r="96" spans="1:35" ht="21" x14ac:dyDescent="0.3">
      <c r="A96" t="s">
        <v>545</v>
      </c>
      <c r="B96" s="11">
        <v>13</v>
      </c>
      <c r="C96">
        <v>136</v>
      </c>
      <c r="D96">
        <v>13</v>
      </c>
      <c r="E96" s="4">
        <v>44701</v>
      </c>
      <c r="F96" t="s">
        <v>33</v>
      </c>
      <c r="H96" t="s">
        <v>49</v>
      </c>
      <c r="I96" t="s">
        <v>182</v>
      </c>
      <c r="J96" t="s">
        <v>41</v>
      </c>
      <c r="K96" s="9">
        <v>1.5534722222222221</v>
      </c>
      <c r="L96">
        <v>6</v>
      </c>
      <c r="M96">
        <v>10</v>
      </c>
      <c r="N96">
        <v>0.6</v>
      </c>
      <c r="O96">
        <v>1</v>
      </c>
      <c r="P96">
        <v>4</v>
      </c>
      <c r="Q96">
        <v>0.25</v>
      </c>
      <c r="R96">
        <v>5</v>
      </c>
      <c r="S96">
        <v>6</v>
      </c>
      <c r="T96">
        <v>0.83299999999999996</v>
      </c>
      <c r="U96">
        <v>0.65</v>
      </c>
      <c r="V96">
        <v>2</v>
      </c>
      <c r="W96">
        <v>2</v>
      </c>
      <c r="X96">
        <v>1</v>
      </c>
      <c r="Y96">
        <v>0</v>
      </c>
      <c r="Z96">
        <v>4</v>
      </c>
      <c r="AA96">
        <v>4</v>
      </c>
      <c r="AB96">
        <v>5</v>
      </c>
      <c r="AC96">
        <v>0</v>
      </c>
      <c r="AD96">
        <v>0</v>
      </c>
      <c r="AE96">
        <v>0</v>
      </c>
      <c r="AF96">
        <v>4</v>
      </c>
      <c r="AG96">
        <v>15</v>
      </c>
      <c r="AH96">
        <v>13.5</v>
      </c>
      <c r="AI96">
        <v>-9</v>
      </c>
    </row>
    <row r="97" spans="1:35" ht="21" x14ac:dyDescent="0.3">
      <c r="A97" t="s">
        <v>545</v>
      </c>
      <c r="B97" s="11">
        <v>14</v>
      </c>
      <c r="C97">
        <v>137</v>
      </c>
      <c r="D97">
        <v>14</v>
      </c>
      <c r="E97" s="4">
        <v>44703</v>
      </c>
      <c r="F97" t="s">
        <v>33</v>
      </c>
      <c r="G97" t="s">
        <v>37</v>
      </c>
      <c r="H97" t="s">
        <v>49</v>
      </c>
      <c r="I97" t="s">
        <v>183</v>
      </c>
      <c r="J97" t="s">
        <v>41</v>
      </c>
      <c r="K97" s="9">
        <v>1.6263888888888889</v>
      </c>
      <c r="L97">
        <v>6</v>
      </c>
      <c r="M97">
        <v>18</v>
      </c>
      <c r="N97">
        <v>0.33300000000000002</v>
      </c>
      <c r="O97">
        <v>3</v>
      </c>
      <c r="P97">
        <v>10</v>
      </c>
      <c r="Q97">
        <v>0.3</v>
      </c>
      <c r="R97">
        <v>3</v>
      </c>
      <c r="S97">
        <v>8</v>
      </c>
      <c r="T97">
        <v>0.375</v>
      </c>
      <c r="U97">
        <v>0.41699999999999998</v>
      </c>
      <c r="V97">
        <v>4</v>
      </c>
      <c r="W97">
        <v>4</v>
      </c>
      <c r="X97">
        <v>1</v>
      </c>
      <c r="Y97">
        <v>0</v>
      </c>
      <c r="Z97">
        <v>7</v>
      </c>
      <c r="AA97">
        <v>7</v>
      </c>
      <c r="AB97">
        <v>3</v>
      </c>
      <c r="AC97">
        <v>0</v>
      </c>
      <c r="AD97">
        <v>0</v>
      </c>
      <c r="AE97">
        <v>0</v>
      </c>
      <c r="AF97">
        <v>2</v>
      </c>
      <c r="AG97">
        <v>19</v>
      </c>
      <c r="AH97">
        <v>12.2</v>
      </c>
      <c r="AI97">
        <v>13</v>
      </c>
    </row>
    <row r="98" spans="1:35" ht="21" x14ac:dyDescent="0.3">
      <c r="A98" t="s">
        <v>545</v>
      </c>
      <c r="B98" s="11">
        <v>15</v>
      </c>
      <c r="C98">
        <v>138</v>
      </c>
      <c r="D98">
        <v>15</v>
      </c>
      <c r="E98" s="4">
        <v>44705</v>
      </c>
      <c r="F98" t="s">
        <v>33</v>
      </c>
      <c r="G98" t="s">
        <v>37</v>
      </c>
      <c r="H98" t="s">
        <v>49</v>
      </c>
      <c r="I98" t="s">
        <v>184</v>
      </c>
      <c r="J98" t="s">
        <v>41</v>
      </c>
      <c r="K98" s="9">
        <v>1.1736111111111112</v>
      </c>
      <c r="L98">
        <v>5</v>
      </c>
      <c r="M98">
        <v>10</v>
      </c>
      <c r="N98">
        <v>0.5</v>
      </c>
      <c r="O98">
        <v>2</v>
      </c>
      <c r="P98">
        <v>6</v>
      </c>
      <c r="Q98">
        <v>0.33300000000000002</v>
      </c>
      <c r="R98">
        <v>3</v>
      </c>
      <c r="S98">
        <v>4</v>
      </c>
      <c r="T98">
        <v>0.75</v>
      </c>
      <c r="U98">
        <v>0.6</v>
      </c>
      <c r="V98">
        <v>0</v>
      </c>
      <c r="W98">
        <v>1</v>
      </c>
      <c r="X98">
        <v>0</v>
      </c>
      <c r="Y98">
        <v>0</v>
      </c>
      <c r="Z98">
        <v>1</v>
      </c>
      <c r="AA98">
        <v>1</v>
      </c>
      <c r="AB98">
        <v>1</v>
      </c>
      <c r="AC98">
        <v>2</v>
      </c>
      <c r="AD98">
        <v>0</v>
      </c>
      <c r="AE98">
        <v>0</v>
      </c>
      <c r="AF98">
        <v>2</v>
      </c>
      <c r="AG98">
        <v>12</v>
      </c>
      <c r="AH98">
        <v>8.8000000000000007</v>
      </c>
      <c r="AI98">
        <v>-22</v>
      </c>
    </row>
    <row r="99" spans="1:35" ht="21" x14ac:dyDescent="0.3">
      <c r="A99" t="s">
        <v>545</v>
      </c>
      <c r="B99" s="11">
        <v>16</v>
      </c>
      <c r="C99">
        <v>139</v>
      </c>
      <c r="D99">
        <v>16</v>
      </c>
      <c r="E99" s="4">
        <v>44707</v>
      </c>
      <c r="F99" t="s">
        <v>33</v>
      </c>
      <c r="H99" t="s">
        <v>49</v>
      </c>
      <c r="I99" t="s">
        <v>185</v>
      </c>
      <c r="J99" t="s">
        <v>41</v>
      </c>
      <c r="K99" s="9">
        <v>1.5555555555555556</v>
      </c>
      <c r="L99">
        <v>12</v>
      </c>
      <c r="M99">
        <v>25</v>
      </c>
      <c r="N99">
        <v>0.48</v>
      </c>
      <c r="O99">
        <v>8</v>
      </c>
      <c r="P99">
        <v>16</v>
      </c>
      <c r="Q99">
        <v>0.5</v>
      </c>
      <c r="R99">
        <v>4</v>
      </c>
      <c r="S99">
        <v>9</v>
      </c>
      <c r="T99">
        <v>0.44400000000000001</v>
      </c>
      <c r="U99">
        <v>0.64</v>
      </c>
      <c r="V99">
        <v>0</v>
      </c>
      <c r="W99">
        <v>0</v>
      </c>
      <c r="Y99">
        <v>1</v>
      </c>
      <c r="Z99">
        <v>1</v>
      </c>
      <c r="AA99">
        <v>2</v>
      </c>
      <c r="AB99">
        <v>3</v>
      </c>
      <c r="AC99">
        <v>1</v>
      </c>
      <c r="AD99">
        <v>0</v>
      </c>
      <c r="AE99">
        <v>1</v>
      </c>
      <c r="AF99">
        <v>3</v>
      </c>
      <c r="AG99">
        <v>32</v>
      </c>
      <c r="AH99">
        <v>21.2</v>
      </c>
      <c r="AI99">
        <v>18</v>
      </c>
    </row>
    <row r="100" spans="1:35" ht="21" x14ac:dyDescent="0.3">
      <c r="A100" t="s">
        <v>545</v>
      </c>
      <c r="B100" s="11">
        <v>17</v>
      </c>
      <c r="C100">
        <v>140</v>
      </c>
      <c r="D100">
        <v>17</v>
      </c>
      <c r="E100" s="4">
        <v>44714</v>
      </c>
      <c r="F100" t="s">
        <v>33</v>
      </c>
      <c r="H100" t="s">
        <v>55</v>
      </c>
      <c r="I100" t="s">
        <v>186</v>
      </c>
      <c r="J100" t="s">
        <v>41</v>
      </c>
      <c r="K100" s="9">
        <v>1.6229166666666666</v>
      </c>
      <c r="L100">
        <v>6</v>
      </c>
      <c r="M100">
        <v>14</v>
      </c>
      <c r="N100">
        <v>0.42899999999999999</v>
      </c>
      <c r="O100">
        <v>3</v>
      </c>
      <c r="P100">
        <v>7</v>
      </c>
      <c r="Q100">
        <v>0.42899999999999999</v>
      </c>
      <c r="R100">
        <v>3</v>
      </c>
      <c r="S100">
        <v>7</v>
      </c>
      <c r="T100">
        <v>0.42899999999999999</v>
      </c>
      <c r="U100">
        <v>0.53600000000000003</v>
      </c>
      <c r="V100">
        <v>0</v>
      </c>
      <c r="W100">
        <v>0</v>
      </c>
      <c r="Y100">
        <v>1</v>
      </c>
      <c r="Z100">
        <v>1</v>
      </c>
      <c r="AA100">
        <v>2</v>
      </c>
      <c r="AB100">
        <v>3</v>
      </c>
      <c r="AC100">
        <v>0</v>
      </c>
      <c r="AD100">
        <v>0</v>
      </c>
      <c r="AE100">
        <v>0</v>
      </c>
      <c r="AF100">
        <v>0</v>
      </c>
      <c r="AG100">
        <v>15</v>
      </c>
      <c r="AH100">
        <v>10.7</v>
      </c>
      <c r="AI100">
        <v>-9</v>
      </c>
    </row>
    <row r="101" spans="1:35" ht="21" x14ac:dyDescent="0.3">
      <c r="A101" t="s">
        <v>545</v>
      </c>
      <c r="B101" s="11">
        <v>18</v>
      </c>
      <c r="C101">
        <v>141</v>
      </c>
      <c r="D101">
        <v>18</v>
      </c>
      <c r="E101" s="4">
        <v>44717</v>
      </c>
      <c r="F101" t="s">
        <v>33</v>
      </c>
      <c r="H101" t="s">
        <v>55</v>
      </c>
      <c r="I101" t="s">
        <v>187</v>
      </c>
      <c r="J101" t="s">
        <v>41</v>
      </c>
      <c r="K101" s="9">
        <v>1.26875</v>
      </c>
      <c r="L101">
        <v>4</v>
      </c>
      <c r="M101">
        <v>19</v>
      </c>
      <c r="N101">
        <v>0.21099999999999999</v>
      </c>
      <c r="O101">
        <v>1</v>
      </c>
      <c r="P101">
        <v>8</v>
      </c>
      <c r="Q101">
        <v>0.125</v>
      </c>
      <c r="R101">
        <v>3</v>
      </c>
      <c r="S101">
        <v>11</v>
      </c>
      <c r="T101">
        <v>0.27300000000000002</v>
      </c>
      <c r="U101">
        <v>0.23699999999999999</v>
      </c>
      <c r="V101">
        <v>2</v>
      </c>
      <c r="W101">
        <v>2</v>
      </c>
      <c r="X101">
        <v>1</v>
      </c>
      <c r="Y101">
        <v>0</v>
      </c>
      <c r="Z101">
        <v>3</v>
      </c>
      <c r="AA101">
        <v>3</v>
      </c>
      <c r="AB101">
        <v>1</v>
      </c>
      <c r="AC101">
        <v>2</v>
      </c>
      <c r="AD101">
        <v>0</v>
      </c>
      <c r="AE101">
        <v>2</v>
      </c>
      <c r="AF101">
        <v>1</v>
      </c>
      <c r="AG101">
        <v>11</v>
      </c>
      <c r="AH101">
        <v>0.5</v>
      </c>
      <c r="AI101">
        <v>0</v>
      </c>
    </row>
    <row r="102" spans="1:35" ht="21" x14ac:dyDescent="0.3">
      <c r="A102" t="s">
        <v>545</v>
      </c>
      <c r="B102" s="11">
        <v>19</v>
      </c>
      <c r="C102">
        <v>142</v>
      </c>
      <c r="D102">
        <v>19</v>
      </c>
      <c r="E102" s="4">
        <v>44720</v>
      </c>
      <c r="F102" t="s">
        <v>33</v>
      </c>
      <c r="G102" t="s">
        <v>37</v>
      </c>
      <c r="H102" t="s">
        <v>55</v>
      </c>
      <c r="I102" t="s">
        <v>188</v>
      </c>
      <c r="J102" t="s">
        <v>41</v>
      </c>
      <c r="K102" s="9">
        <v>1.6263888888888889</v>
      </c>
      <c r="L102">
        <v>7</v>
      </c>
      <c r="M102">
        <v>17</v>
      </c>
      <c r="N102">
        <v>0.41199999999999998</v>
      </c>
      <c r="O102">
        <v>5</v>
      </c>
      <c r="P102">
        <v>13</v>
      </c>
      <c r="Q102">
        <v>0.38500000000000001</v>
      </c>
      <c r="R102">
        <v>2</v>
      </c>
      <c r="S102">
        <v>4</v>
      </c>
      <c r="T102">
        <v>0.5</v>
      </c>
      <c r="U102">
        <v>0.55900000000000005</v>
      </c>
      <c r="V102">
        <v>6</v>
      </c>
      <c r="W102">
        <v>6</v>
      </c>
      <c r="X102">
        <v>1</v>
      </c>
      <c r="Y102">
        <v>0</v>
      </c>
      <c r="Z102">
        <v>3</v>
      </c>
      <c r="AA102">
        <v>3</v>
      </c>
      <c r="AB102">
        <v>3</v>
      </c>
      <c r="AC102">
        <v>1</v>
      </c>
      <c r="AD102">
        <v>1</v>
      </c>
      <c r="AE102">
        <v>0</v>
      </c>
      <c r="AF102">
        <v>1</v>
      </c>
      <c r="AG102">
        <v>25</v>
      </c>
      <c r="AH102">
        <v>20.2</v>
      </c>
      <c r="AI102">
        <v>-3</v>
      </c>
    </row>
    <row r="103" spans="1:35" ht="21" x14ac:dyDescent="0.3">
      <c r="A103" t="s">
        <v>545</v>
      </c>
      <c r="B103" s="11">
        <v>20</v>
      </c>
      <c r="C103">
        <v>143</v>
      </c>
      <c r="D103">
        <v>20</v>
      </c>
      <c r="E103" s="4">
        <v>44722</v>
      </c>
      <c r="F103" t="s">
        <v>33</v>
      </c>
      <c r="G103" t="s">
        <v>37</v>
      </c>
      <c r="H103" t="s">
        <v>55</v>
      </c>
      <c r="I103" t="s">
        <v>189</v>
      </c>
      <c r="J103" t="s">
        <v>41</v>
      </c>
      <c r="K103" s="9">
        <v>1.7013888888888888</v>
      </c>
      <c r="L103">
        <v>7</v>
      </c>
      <c r="M103">
        <v>17</v>
      </c>
      <c r="N103">
        <v>0.41199999999999998</v>
      </c>
      <c r="O103">
        <v>4</v>
      </c>
      <c r="P103">
        <v>10</v>
      </c>
      <c r="Q103">
        <v>0.4</v>
      </c>
      <c r="R103">
        <v>3</v>
      </c>
      <c r="S103">
        <v>7</v>
      </c>
      <c r="T103">
        <v>0.42899999999999999</v>
      </c>
      <c r="U103">
        <v>0.52900000000000003</v>
      </c>
      <c r="V103">
        <v>0</v>
      </c>
      <c r="W103">
        <v>0</v>
      </c>
      <c r="Y103">
        <v>1</v>
      </c>
      <c r="Z103">
        <v>1</v>
      </c>
      <c r="AA103">
        <v>2</v>
      </c>
      <c r="AB103">
        <v>1</v>
      </c>
      <c r="AC103">
        <v>1</v>
      </c>
      <c r="AD103">
        <v>2</v>
      </c>
      <c r="AE103">
        <v>1</v>
      </c>
      <c r="AF103">
        <v>4</v>
      </c>
      <c r="AG103">
        <v>18</v>
      </c>
      <c r="AH103">
        <v>10.4</v>
      </c>
      <c r="AI103">
        <v>2</v>
      </c>
    </row>
    <row r="104" spans="1:35" ht="21" x14ac:dyDescent="0.3">
      <c r="A104" t="s">
        <v>545</v>
      </c>
      <c r="B104" s="11">
        <v>21</v>
      </c>
      <c r="C104">
        <v>144</v>
      </c>
      <c r="D104">
        <v>21</v>
      </c>
      <c r="E104" s="4">
        <v>44725</v>
      </c>
      <c r="F104" t="s">
        <v>33</v>
      </c>
      <c r="H104" t="s">
        <v>55</v>
      </c>
      <c r="I104" t="s">
        <v>106</v>
      </c>
      <c r="J104" t="s">
        <v>41</v>
      </c>
      <c r="K104" s="9">
        <v>1.6506944444444445</v>
      </c>
      <c r="L104">
        <v>7</v>
      </c>
      <c r="M104">
        <v>14</v>
      </c>
      <c r="N104">
        <v>0.5</v>
      </c>
      <c r="O104">
        <v>5</v>
      </c>
      <c r="P104">
        <v>11</v>
      </c>
      <c r="Q104">
        <v>0.45500000000000002</v>
      </c>
      <c r="R104">
        <v>2</v>
      </c>
      <c r="S104">
        <v>3</v>
      </c>
      <c r="T104">
        <v>0.66700000000000004</v>
      </c>
      <c r="U104">
        <v>0.67900000000000005</v>
      </c>
      <c r="V104">
        <v>2</v>
      </c>
      <c r="W104">
        <v>2</v>
      </c>
      <c r="X104">
        <v>1</v>
      </c>
      <c r="Y104">
        <v>0</v>
      </c>
      <c r="Z104">
        <v>3</v>
      </c>
      <c r="AA104">
        <v>3</v>
      </c>
      <c r="AB104">
        <v>2</v>
      </c>
      <c r="AC104">
        <v>2</v>
      </c>
      <c r="AD104">
        <v>0</v>
      </c>
      <c r="AE104">
        <v>1</v>
      </c>
      <c r="AF104">
        <v>4</v>
      </c>
      <c r="AG104">
        <v>21</v>
      </c>
      <c r="AH104">
        <v>15.7</v>
      </c>
      <c r="AI104">
        <v>13</v>
      </c>
    </row>
    <row r="105" spans="1:35" ht="21" x14ac:dyDescent="0.3">
      <c r="A105" t="s">
        <v>545</v>
      </c>
      <c r="B105" s="11">
        <v>22</v>
      </c>
      <c r="C105">
        <v>145</v>
      </c>
      <c r="D105">
        <v>22</v>
      </c>
      <c r="E105" s="4">
        <v>44728</v>
      </c>
      <c r="F105" t="s">
        <v>33</v>
      </c>
      <c r="G105" t="s">
        <v>37</v>
      </c>
      <c r="H105" t="s">
        <v>55</v>
      </c>
      <c r="I105" t="s">
        <v>190</v>
      </c>
      <c r="J105" t="s">
        <v>41</v>
      </c>
      <c r="K105" s="9">
        <v>1.7215277777777778</v>
      </c>
      <c r="L105">
        <v>5</v>
      </c>
      <c r="M105">
        <v>20</v>
      </c>
      <c r="N105">
        <v>0.25</v>
      </c>
      <c r="O105">
        <v>2</v>
      </c>
      <c r="P105">
        <v>8</v>
      </c>
      <c r="Q105">
        <v>0.25</v>
      </c>
      <c r="R105">
        <v>3</v>
      </c>
      <c r="S105">
        <v>12</v>
      </c>
      <c r="T105">
        <v>0.25</v>
      </c>
      <c r="U105">
        <v>0.3</v>
      </c>
      <c r="V105">
        <v>0</v>
      </c>
      <c r="W105">
        <v>0</v>
      </c>
      <c r="Y105">
        <v>0</v>
      </c>
      <c r="Z105">
        <v>5</v>
      </c>
      <c r="AA105">
        <v>5</v>
      </c>
      <c r="AB105">
        <v>2</v>
      </c>
      <c r="AC105">
        <v>2</v>
      </c>
      <c r="AD105">
        <v>0</v>
      </c>
      <c r="AE105">
        <v>3</v>
      </c>
      <c r="AF105">
        <v>3</v>
      </c>
      <c r="AG105">
        <v>12</v>
      </c>
      <c r="AH105">
        <v>0.7</v>
      </c>
      <c r="AI105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4380-9E4C-C94B-B543-59BFE21841B2}">
  <dimension ref="A1:AI87"/>
  <sheetViews>
    <sheetView zoomScale="113" workbookViewId="0">
      <selection activeCell="H2" sqref="H2:H87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556</v>
      </c>
      <c r="B2" s="11"/>
      <c r="D2">
        <v>1</v>
      </c>
      <c r="E2" s="4">
        <v>44488</v>
      </c>
      <c r="F2" t="s">
        <v>85</v>
      </c>
      <c r="G2" t="s">
        <v>37</v>
      </c>
      <c r="H2" t="s">
        <v>126</v>
      </c>
      <c r="I2" t="s">
        <v>436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</row>
    <row r="3" spans="1:35" ht="21" x14ac:dyDescent="0.3">
      <c r="A3" t="s">
        <v>556</v>
      </c>
      <c r="B3" s="11"/>
      <c r="D3">
        <v>2</v>
      </c>
      <c r="E3" s="4">
        <v>44491</v>
      </c>
      <c r="F3" t="s">
        <v>85</v>
      </c>
      <c r="G3" t="s">
        <v>37</v>
      </c>
      <c r="H3" t="s">
        <v>94</v>
      </c>
      <c r="I3" t="s">
        <v>317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R3" t="s">
        <v>91</v>
      </c>
      <c r="S3" t="s">
        <v>91</v>
      </c>
      <c r="T3" t="s">
        <v>91</v>
      </c>
      <c r="U3" t="s">
        <v>91</v>
      </c>
      <c r="V3" t="s">
        <v>91</v>
      </c>
      <c r="W3" t="s">
        <v>91</v>
      </c>
      <c r="X3" t="s">
        <v>91</v>
      </c>
      <c r="Y3" t="s">
        <v>91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</row>
    <row r="4" spans="1:35" ht="21" x14ac:dyDescent="0.3">
      <c r="A4" t="s">
        <v>556</v>
      </c>
      <c r="B4" s="11"/>
      <c r="D4">
        <v>3</v>
      </c>
      <c r="E4" s="4">
        <v>44493</v>
      </c>
      <c r="F4" t="s">
        <v>85</v>
      </c>
      <c r="H4" t="s">
        <v>72</v>
      </c>
      <c r="I4" t="s">
        <v>291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R4" t="s">
        <v>91</v>
      </c>
      <c r="S4" t="s">
        <v>91</v>
      </c>
      <c r="T4" t="s">
        <v>91</v>
      </c>
      <c r="U4" t="s">
        <v>91</v>
      </c>
      <c r="V4" t="s">
        <v>91</v>
      </c>
      <c r="W4" t="s">
        <v>91</v>
      </c>
      <c r="X4" t="s">
        <v>91</v>
      </c>
      <c r="Y4" t="s">
        <v>91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</row>
    <row r="5" spans="1:35" ht="21" x14ac:dyDescent="0.3">
      <c r="A5" t="s">
        <v>556</v>
      </c>
      <c r="B5" s="11"/>
      <c r="D5">
        <v>4</v>
      </c>
      <c r="E5" s="4">
        <v>44494</v>
      </c>
      <c r="F5" t="s">
        <v>85</v>
      </c>
      <c r="H5" t="s">
        <v>155</v>
      </c>
      <c r="I5" t="s">
        <v>437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t="s">
        <v>91</v>
      </c>
      <c r="V5" t="s">
        <v>91</v>
      </c>
      <c r="W5" t="s">
        <v>91</v>
      </c>
      <c r="X5" t="s">
        <v>91</v>
      </c>
      <c r="Y5" t="s">
        <v>91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</row>
    <row r="6" spans="1:35" ht="21" x14ac:dyDescent="0.3">
      <c r="A6" t="s">
        <v>556</v>
      </c>
      <c r="B6" s="11"/>
      <c r="D6">
        <v>5</v>
      </c>
      <c r="E6" s="4">
        <v>44496</v>
      </c>
      <c r="F6" t="s">
        <v>85</v>
      </c>
      <c r="H6" t="s">
        <v>120</v>
      </c>
      <c r="I6" t="s">
        <v>438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</row>
    <row r="7" spans="1:35" ht="21" x14ac:dyDescent="0.3">
      <c r="A7" t="s">
        <v>556</v>
      </c>
      <c r="B7" s="11"/>
      <c r="D7">
        <v>6</v>
      </c>
      <c r="E7" s="4">
        <v>44498</v>
      </c>
      <c r="F7" t="s">
        <v>85</v>
      </c>
      <c r="H7" t="s">
        <v>108</v>
      </c>
      <c r="I7" t="s">
        <v>279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</row>
    <row r="8" spans="1:35" ht="21" x14ac:dyDescent="0.3">
      <c r="A8" t="s">
        <v>556</v>
      </c>
      <c r="B8" s="11"/>
      <c r="D8">
        <v>7</v>
      </c>
      <c r="E8" s="4">
        <v>44500</v>
      </c>
      <c r="F8" t="s">
        <v>85</v>
      </c>
      <c r="H8" t="s">
        <v>89</v>
      </c>
      <c r="I8" t="s">
        <v>439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</row>
    <row r="9" spans="1:35" ht="21" x14ac:dyDescent="0.3">
      <c r="A9" t="s">
        <v>556</v>
      </c>
      <c r="B9" s="11"/>
      <c r="D9">
        <v>8</v>
      </c>
      <c r="E9" s="4">
        <v>44503</v>
      </c>
      <c r="F9" t="s">
        <v>85</v>
      </c>
      <c r="H9" t="s">
        <v>78</v>
      </c>
      <c r="I9" t="s">
        <v>440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91</v>
      </c>
      <c r="S9" t="s">
        <v>91</v>
      </c>
      <c r="T9" t="s">
        <v>91</v>
      </c>
      <c r="U9" t="s">
        <v>91</v>
      </c>
      <c r="V9" t="s">
        <v>91</v>
      </c>
      <c r="W9" t="s">
        <v>91</v>
      </c>
      <c r="X9" t="s">
        <v>91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</row>
    <row r="10" spans="1:35" ht="21" x14ac:dyDescent="0.3">
      <c r="A10" t="s">
        <v>556</v>
      </c>
      <c r="B10" s="11"/>
      <c r="D10">
        <v>9</v>
      </c>
      <c r="E10" s="4">
        <v>44505</v>
      </c>
      <c r="F10" t="s">
        <v>85</v>
      </c>
      <c r="G10" t="s">
        <v>37</v>
      </c>
      <c r="H10" t="s">
        <v>89</v>
      </c>
      <c r="I10" t="s">
        <v>441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</row>
    <row r="11" spans="1:35" ht="21" x14ac:dyDescent="0.3">
      <c r="A11" t="s">
        <v>556</v>
      </c>
      <c r="B11" s="11"/>
      <c r="D11">
        <v>10</v>
      </c>
      <c r="E11" s="4">
        <v>44507</v>
      </c>
      <c r="F11" t="s">
        <v>85</v>
      </c>
      <c r="G11" t="s">
        <v>37</v>
      </c>
      <c r="H11" t="s">
        <v>92</v>
      </c>
      <c r="I11" t="s">
        <v>442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</row>
    <row r="12" spans="1:35" ht="21" x14ac:dyDescent="0.3">
      <c r="A12" t="s">
        <v>556</v>
      </c>
      <c r="B12" s="11"/>
      <c r="D12">
        <v>11</v>
      </c>
      <c r="E12" s="4">
        <v>44508</v>
      </c>
      <c r="F12" t="s">
        <v>85</v>
      </c>
      <c r="G12" t="s">
        <v>37</v>
      </c>
      <c r="H12" t="s">
        <v>82</v>
      </c>
      <c r="I12" t="s">
        <v>443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</row>
    <row r="13" spans="1:35" ht="21" x14ac:dyDescent="0.3">
      <c r="A13" t="s">
        <v>556</v>
      </c>
      <c r="B13" s="11"/>
      <c r="D13">
        <v>12</v>
      </c>
      <c r="E13" s="4">
        <v>44510</v>
      </c>
      <c r="F13" t="s">
        <v>85</v>
      </c>
      <c r="G13" t="s">
        <v>37</v>
      </c>
      <c r="H13" t="s">
        <v>104</v>
      </c>
      <c r="I13" t="s">
        <v>444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91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</row>
    <row r="14" spans="1:35" ht="21" x14ac:dyDescent="0.3">
      <c r="A14" t="s">
        <v>556</v>
      </c>
      <c r="B14" s="11"/>
      <c r="D14">
        <v>13</v>
      </c>
      <c r="E14" s="4">
        <v>44512</v>
      </c>
      <c r="F14" t="s">
        <v>85</v>
      </c>
      <c r="G14" t="s">
        <v>37</v>
      </c>
      <c r="H14" t="s">
        <v>74</v>
      </c>
      <c r="I14" t="s">
        <v>445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</row>
    <row r="15" spans="1:35" ht="21" x14ac:dyDescent="0.3">
      <c r="A15" t="s">
        <v>556</v>
      </c>
      <c r="B15" s="11"/>
      <c r="D15">
        <v>14</v>
      </c>
      <c r="E15" s="4">
        <v>44514</v>
      </c>
      <c r="F15" t="s">
        <v>85</v>
      </c>
      <c r="G15" t="s">
        <v>37</v>
      </c>
      <c r="H15" t="s">
        <v>68</v>
      </c>
      <c r="I15" t="s">
        <v>446</v>
      </c>
      <c r="J15" t="s">
        <v>91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</row>
    <row r="16" spans="1:35" ht="21" x14ac:dyDescent="0.3">
      <c r="A16" t="s">
        <v>556</v>
      </c>
      <c r="B16" s="11"/>
      <c r="D16">
        <v>15</v>
      </c>
      <c r="E16" s="4">
        <v>44516</v>
      </c>
      <c r="F16" t="s">
        <v>85</v>
      </c>
      <c r="H16" t="s">
        <v>33</v>
      </c>
      <c r="I16" t="s">
        <v>447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</row>
    <row r="17" spans="1:35" ht="21" x14ac:dyDescent="0.3">
      <c r="A17" t="s">
        <v>556</v>
      </c>
      <c r="B17" s="11"/>
      <c r="D17">
        <v>16</v>
      </c>
      <c r="E17" s="4">
        <v>44517</v>
      </c>
      <c r="F17" t="s">
        <v>85</v>
      </c>
      <c r="H17" t="s">
        <v>87</v>
      </c>
      <c r="I17" t="s">
        <v>448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</row>
    <row r="18" spans="1:35" ht="21" x14ac:dyDescent="0.3">
      <c r="A18" t="s">
        <v>556</v>
      </c>
      <c r="B18" s="11"/>
      <c r="D18">
        <v>17</v>
      </c>
      <c r="E18" s="4">
        <v>44519</v>
      </c>
      <c r="F18" t="s">
        <v>85</v>
      </c>
      <c r="H18" t="s">
        <v>104</v>
      </c>
      <c r="I18" t="s">
        <v>65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</row>
    <row r="19" spans="1:35" ht="21" x14ac:dyDescent="0.3">
      <c r="A19" t="s">
        <v>556</v>
      </c>
      <c r="B19" s="11"/>
      <c r="D19">
        <v>18</v>
      </c>
      <c r="E19" s="4">
        <v>44522</v>
      </c>
      <c r="F19" t="s">
        <v>85</v>
      </c>
      <c r="G19" t="s">
        <v>37</v>
      </c>
      <c r="H19" t="s">
        <v>87</v>
      </c>
      <c r="I19" t="s">
        <v>449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t="s">
        <v>91</v>
      </c>
      <c r="X19" t="s">
        <v>91</v>
      </c>
      <c r="Y19" t="s">
        <v>91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</row>
    <row r="20" spans="1:35" ht="21" x14ac:dyDescent="0.3">
      <c r="A20" t="s">
        <v>556</v>
      </c>
      <c r="B20" s="11"/>
      <c r="D20">
        <v>19</v>
      </c>
      <c r="E20" s="4">
        <v>44524</v>
      </c>
      <c r="F20" t="s">
        <v>85</v>
      </c>
      <c r="G20" t="s">
        <v>37</v>
      </c>
      <c r="H20" t="s">
        <v>55</v>
      </c>
      <c r="I20" t="s">
        <v>450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91</v>
      </c>
      <c r="Q20" t="s">
        <v>91</v>
      </c>
      <c r="R20" t="s">
        <v>91</v>
      </c>
      <c r="S20" t="s">
        <v>91</v>
      </c>
      <c r="T20" t="s">
        <v>91</v>
      </c>
      <c r="U20" t="s">
        <v>91</v>
      </c>
      <c r="V20" t="s">
        <v>91</v>
      </c>
      <c r="W20" t="s">
        <v>91</v>
      </c>
      <c r="X20" t="s">
        <v>91</v>
      </c>
      <c r="Y20" t="s">
        <v>91</v>
      </c>
      <c r="Z20" t="s">
        <v>91</v>
      </c>
      <c r="AA20" t="s">
        <v>91</v>
      </c>
      <c r="AB20" t="s">
        <v>91</v>
      </c>
      <c r="AC20" t="s">
        <v>91</v>
      </c>
      <c r="AD20" t="s">
        <v>91</v>
      </c>
      <c r="AE20" t="s">
        <v>91</v>
      </c>
      <c r="AF20" t="s">
        <v>91</v>
      </c>
      <c r="AG20" t="s">
        <v>91</v>
      </c>
      <c r="AH20" t="s">
        <v>91</v>
      </c>
      <c r="AI20" t="s">
        <v>91</v>
      </c>
    </row>
    <row r="21" spans="1:35" ht="21" x14ac:dyDescent="0.3">
      <c r="A21" t="s">
        <v>556</v>
      </c>
      <c r="B21" s="11"/>
      <c r="D21">
        <v>20</v>
      </c>
      <c r="E21" s="4">
        <v>44527</v>
      </c>
      <c r="F21" t="s">
        <v>85</v>
      </c>
      <c r="H21" t="s">
        <v>99</v>
      </c>
      <c r="I21" t="s">
        <v>236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R21" t="s">
        <v>91</v>
      </c>
      <c r="S21" t="s">
        <v>91</v>
      </c>
      <c r="T21" t="s">
        <v>91</v>
      </c>
      <c r="U21" t="s">
        <v>91</v>
      </c>
      <c r="V21" t="s">
        <v>91</v>
      </c>
      <c r="W21" t="s">
        <v>91</v>
      </c>
      <c r="X21" t="s">
        <v>91</v>
      </c>
      <c r="Y21" t="s">
        <v>91</v>
      </c>
      <c r="Z21" t="s">
        <v>91</v>
      </c>
      <c r="AA21" t="s">
        <v>91</v>
      </c>
      <c r="AB21" t="s">
        <v>91</v>
      </c>
      <c r="AC21" t="s">
        <v>91</v>
      </c>
      <c r="AD21" t="s">
        <v>91</v>
      </c>
      <c r="AE21" t="s">
        <v>91</v>
      </c>
      <c r="AF21" t="s">
        <v>91</v>
      </c>
      <c r="AG21" t="s">
        <v>91</v>
      </c>
      <c r="AH21" t="s">
        <v>91</v>
      </c>
      <c r="AI21" t="s">
        <v>91</v>
      </c>
    </row>
    <row r="22" spans="1:35" ht="21" x14ac:dyDescent="0.3">
      <c r="A22" t="s">
        <v>556</v>
      </c>
      <c r="B22" s="11"/>
      <c r="D22">
        <v>21</v>
      </c>
      <c r="E22" s="4">
        <v>44530</v>
      </c>
      <c r="F22" t="s">
        <v>85</v>
      </c>
      <c r="H22" t="s">
        <v>110</v>
      </c>
      <c r="I22" t="s">
        <v>451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91</v>
      </c>
      <c r="Q22" t="s">
        <v>91</v>
      </c>
      <c r="R22" t="s">
        <v>91</v>
      </c>
      <c r="S22" t="s">
        <v>91</v>
      </c>
      <c r="T22" t="s">
        <v>91</v>
      </c>
      <c r="U22" t="s">
        <v>91</v>
      </c>
      <c r="V22" t="s">
        <v>91</v>
      </c>
      <c r="W22" t="s">
        <v>91</v>
      </c>
      <c r="X22" t="s">
        <v>91</v>
      </c>
      <c r="Y22" t="s">
        <v>91</v>
      </c>
      <c r="Z22" t="s">
        <v>91</v>
      </c>
      <c r="AA22" t="s">
        <v>91</v>
      </c>
      <c r="AB22" t="s">
        <v>91</v>
      </c>
      <c r="AC22" t="s">
        <v>91</v>
      </c>
      <c r="AD22" t="s">
        <v>91</v>
      </c>
      <c r="AE22" t="s">
        <v>91</v>
      </c>
      <c r="AF22" t="s">
        <v>91</v>
      </c>
      <c r="AG22" t="s">
        <v>91</v>
      </c>
      <c r="AH22" t="s">
        <v>91</v>
      </c>
      <c r="AI22" t="s">
        <v>91</v>
      </c>
    </row>
    <row r="23" spans="1:35" ht="21" x14ac:dyDescent="0.3">
      <c r="A23" t="s">
        <v>556</v>
      </c>
      <c r="B23" s="11"/>
      <c r="D23">
        <v>22</v>
      </c>
      <c r="E23" s="4">
        <v>44533</v>
      </c>
      <c r="F23" t="s">
        <v>85</v>
      </c>
      <c r="H23" t="s">
        <v>80</v>
      </c>
      <c r="I23" t="s">
        <v>452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91</v>
      </c>
      <c r="Q23" t="s">
        <v>91</v>
      </c>
      <c r="R23" t="s">
        <v>91</v>
      </c>
      <c r="S23" t="s">
        <v>91</v>
      </c>
      <c r="T23" t="s">
        <v>91</v>
      </c>
      <c r="U23" t="s">
        <v>91</v>
      </c>
      <c r="V23" t="s">
        <v>91</v>
      </c>
      <c r="W23" t="s">
        <v>91</v>
      </c>
      <c r="X23" t="s">
        <v>91</v>
      </c>
      <c r="Y23" t="s">
        <v>91</v>
      </c>
      <c r="Z23" t="s">
        <v>91</v>
      </c>
      <c r="AA23" t="s">
        <v>91</v>
      </c>
      <c r="AB23" t="s">
        <v>91</v>
      </c>
      <c r="AC23" t="s">
        <v>91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91</v>
      </c>
    </row>
    <row r="24" spans="1:35" ht="21" x14ac:dyDescent="0.3">
      <c r="A24" t="s">
        <v>556</v>
      </c>
      <c r="B24" s="11"/>
      <c r="D24">
        <v>23</v>
      </c>
      <c r="E24" s="4">
        <v>44534</v>
      </c>
      <c r="F24" t="s">
        <v>85</v>
      </c>
      <c r="H24" t="s">
        <v>82</v>
      </c>
      <c r="I24" t="s">
        <v>453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  <c r="O24" t="s">
        <v>91</v>
      </c>
      <c r="P24" t="s">
        <v>91</v>
      </c>
      <c r="Q24" t="s">
        <v>91</v>
      </c>
      <c r="R24" t="s">
        <v>91</v>
      </c>
      <c r="S24" t="s">
        <v>91</v>
      </c>
      <c r="T24" t="s">
        <v>91</v>
      </c>
      <c r="U24" t="s">
        <v>91</v>
      </c>
      <c r="V24" t="s">
        <v>91</v>
      </c>
      <c r="W24" t="s">
        <v>91</v>
      </c>
      <c r="X24" t="s">
        <v>91</v>
      </c>
      <c r="Y24" t="s">
        <v>91</v>
      </c>
      <c r="Z24" t="s">
        <v>91</v>
      </c>
      <c r="AA24" t="s">
        <v>91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</row>
    <row r="25" spans="1:35" ht="21" x14ac:dyDescent="0.3">
      <c r="A25" t="s">
        <v>556</v>
      </c>
      <c r="B25" s="11"/>
      <c r="D25">
        <v>24</v>
      </c>
      <c r="E25" s="4">
        <v>44537</v>
      </c>
      <c r="F25" t="s">
        <v>85</v>
      </c>
      <c r="G25" t="s">
        <v>37</v>
      </c>
      <c r="H25" t="s">
        <v>49</v>
      </c>
      <c r="I25" t="s">
        <v>328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91</v>
      </c>
      <c r="Q25" t="s">
        <v>91</v>
      </c>
      <c r="R25" t="s">
        <v>91</v>
      </c>
      <c r="S25" t="s">
        <v>91</v>
      </c>
      <c r="T25" t="s">
        <v>91</v>
      </c>
      <c r="U25" t="s">
        <v>91</v>
      </c>
      <c r="V25" t="s">
        <v>91</v>
      </c>
      <c r="W25" t="s">
        <v>91</v>
      </c>
      <c r="X25" t="s">
        <v>91</v>
      </c>
      <c r="Y25" t="s">
        <v>91</v>
      </c>
      <c r="Z25" t="s">
        <v>91</v>
      </c>
      <c r="AA25" t="s">
        <v>91</v>
      </c>
      <c r="AB25" t="s">
        <v>91</v>
      </c>
      <c r="AC25" t="s">
        <v>91</v>
      </c>
      <c r="AD25" t="s">
        <v>91</v>
      </c>
      <c r="AE25" t="s">
        <v>91</v>
      </c>
      <c r="AF25" t="s">
        <v>91</v>
      </c>
      <c r="AG25" t="s">
        <v>91</v>
      </c>
      <c r="AH25" t="s">
        <v>91</v>
      </c>
      <c r="AI25" t="s">
        <v>91</v>
      </c>
    </row>
    <row r="26" spans="1:35" ht="21" x14ac:dyDescent="0.3">
      <c r="A26" t="s">
        <v>556</v>
      </c>
      <c r="B26" s="11"/>
      <c r="D26">
        <v>25</v>
      </c>
      <c r="E26" s="4">
        <v>44538</v>
      </c>
      <c r="F26" t="s">
        <v>85</v>
      </c>
      <c r="G26" t="s">
        <v>37</v>
      </c>
      <c r="H26" t="s">
        <v>76</v>
      </c>
      <c r="I26" t="s">
        <v>454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91</v>
      </c>
      <c r="Q26" t="s">
        <v>91</v>
      </c>
      <c r="R26" t="s">
        <v>91</v>
      </c>
      <c r="S26" t="s">
        <v>91</v>
      </c>
      <c r="T26" t="s">
        <v>91</v>
      </c>
      <c r="U26" t="s">
        <v>91</v>
      </c>
      <c r="V26" t="s">
        <v>91</v>
      </c>
      <c r="W26" t="s">
        <v>91</v>
      </c>
      <c r="X26" t="s">
        <v>91</v>
      </c>
      <c r="Y26" t="s">
        <v>91</v>
      </c>
      <c r="Z26" t="s">
        <v>91</v>
      </c>
      <c r="AA26" t="s">
        <v>91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</row>
    <row r="27" spans="1:35" ht="21" x14ac:dyDescent="0.3">
      <c r="A27" t="s">
        <v>556</v>
      </c>
      <c r="B27" s="11"/>
      <c r="D27">
        <v>26</v>
      </c>
      <c r="E27" s="4">
        <v>44540</v>
      </c>
      <c r="F27" t="s">
        <v>85</v>
      </c>
      <c r="G27" t="s">
        <v>37</v>
      </c>
      <c r="H27" t="s">
        <v>78</v>
      </c>
      <c r="I27" t="s">
        <v>455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91</v>
      </c>
      <c r="Q27" t="s">
        <v>91</v>
      </c>
      <c r="R27" t="s">
        <v>91</v>
      </c>
      <c r="S27" t="s">
        <v>91</v>
      </c>
      <c r="T27" t="s">
        <v>91</v>
      </c>
      <c r="U27" t="s">
        <v>91</v>
      </c>
      <c r="V27" t="s">
        <v>91</v>
      </c>
      <c r="W27" t="s">
        <v>91</v>
      </c>
      <c r="X27" t="s">
        <v>91</v>
      </c>
      <c r="Y27" t="s">
        <v>91</v>
      </c>
      <c r="Z27" t="s">
        <v>91</v>
      </c>
      <c r="AA27" t="s">
        <v>91</v>
      </c>
      <c r="AB27" t="s">
        <v>91</v>
      </c>
      <c r="AC27" t="s">
        <v>91</v>
      </c>
      <c r="AD27" t="s">
        <v>91</v>
      </c>
      <c r="AE27" t="s">
        <v>91</v>
      </c>
      <c r="AF27" t="s">
        <v>91</v>
      </c>
      <c r="AG27" t="s">
        <v>91</v>
      </c>
      <c r="AH27" t="s">
        <v>91</v>
      </c>
      <c r="AI27" t="s">
        <v>91</v>
      </c>
    </row>
    <row r="28" spans="1:35" ht="21" x14ac:dyDescent="0.3">
      <c r="A28" t="s">
        <v>556</v>
      </c>
      <c r="B28" s="11"/>
      <c r="D28">
        <v>27</v>
      </c>
      <c r="E28" s="4">
        <v>44542</v>
      </c>
      <c r="F28" t="s">
        <v>85</v>
      </c>
      <c r="G28" t="s">
        <v>37</v>
      </c>
      <c r="H28" t="s">
        <v>89</v>
      </c>
      <c r="I28" t="s">
        <v>456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91</v>
      </c>
      <c r="Q28" t="s">
        <v>91</v>
      </c>
      <c r="R28" t="s">
        <v>91</v>
      </c>
      <c r="S28" t="s">
        <v>91</v>
      </c>
      <c r="T28" t="s">
        <v>91</v>
      </c>
      <c r="U28" t="s">
        <v>91</v>
      </c>
      <c r="V28" t="s">
        <v>91</v>
      </c>
      <c r="W28" t="s">
        <v>91</v>
      </c>
      <c r="X28" t="s">
        <v>91</v>
      </c>
      <c r="Y28" t="s">
        <v>91</v>
      </c>
      <c r="Z28" t="s">
        <v>91</v>
      </c>
      <c r="AA28" t="s">
        <v>91</v>
      </c>
      <c r="AB28" t="s">
        <v>91</v>
      </c>
      <c r="AC28" t="s">
        <v>91</v>
      </c>
      <c r="AD28" t="s">
        <v>91</v>
      </c>
      <c r="AE28" t="s">
        <v>91</v>
      </c>
      <c r="AF28" t="s">
        <v>91</v>
      </c>
      <c r="AG28" t="s">
        <v>91</v>
      </c>
      <c r="AH28" t="s">
        <v>91</v>
      </c>
      <c r="AI28" t="s">
        <v>91</v>
      </c>
    </row>
    <row r="29" spans="1:35" ht="21" x14ac:dyDescent="0.3">
      <c r="A29" t="s">
        <v>556</v>
      </c>
      <c r="B29" s="11"/>
      <c r="D29">
        <v>28</v>
      </c>
      <c r="E29" s="4">
        <v>44544</v>
      </c>
      <c r="F29" t="s">
        <v>85</v>
      </c>
      <c r="H29" t="s">
        <v>92</v>
      </c>
      <c r="I29" t="s">
        <v>457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91</v>
      </c>
      <c r="Q29" t="s">
        <v>91</v>
      </c>
      <c r="R29" t="s">
        <v>91</v>
      </c>
      <c r="S29" t="s">
        <v>91</v>
      </c>
      <c r="T29" t="s">
        <v>91</v>
      </c>
      <c r="U29" t="s">
        <v>91</v>
      </c>
      <c r="V29" t="s">
        <v>91</v>
      </c>
      <c r="W29" t="s">
        <v>91</v>
      </c>
      <c r="X29" t="s">
        <v>91</v>
      </c>
      <c r="Y29" t="s">
        <v>91</v>
      </c>
      <c r="Z29" t="s">
        <v>91</v>
      </c>
      <c r="AA29" t="s">
        <v>91</v>
      </c>
      <c r="AB29" t="s">
        <v>91</v>
      </c>
      <c r="AC29" t="s">
        <v>91</v>
      </c>
      <c r="AD29" t="s">
        <v>91</v>
      </c>
      <c r="AE29" t="s">
        <v>91</v>
      </c>
      <c r="AF29" t="s">
        <v>91</v>
      </c>
      <c r="AG29" t="s">
        <v>91</v>
      </c>
      <c r="AH29" t="s">
        <v>91</v>
      </c>
      <c r="AI29" t="s">
        <v>91</v>
      </c>
    </row>
    <row r="30" spans="1:35" ht="21" x14ac:dyDescent="0.3">
      <c r="A30" t="s">
        <v>556</v>
      </c>
      <c r="B30" s="11"/>
      <c r="D30">
        <v>29</v>
      </c>
      <c r="E30" s="4">
        <v>44546</v>
      </c>
      <c r="F30" t="s">
        <v>85</v>
      </c>
      <c r="H30" t="s">
        <v>94</v>
      </c>
      <c r="I30" t="s">
        <v>458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  <c r="O30" t="s">
        <v>91</v>
      </c>
      <c r="P30" t="s">
        <v>91</v>
      </c>
      <c r="Q30" t="s">
        <v>91</v>
      </c>
      <c r="R30" t="s">
        <v>91</v>
      </c>
      <c r="S30" t="s">
        <v>91</v>
      </c>
      <c r="T30" t="s">
        <v>91</v>
      </c>
      <c r="U30" t="s">
        <v>91</v>
      </c>
      <c r="V30" t="s">
        <v>91</v>
      </c>
      <c r="W30" t="s">
        <v>91</v>
      </c>
      <c r="X30" t="s">
        <v>91</v>
      </c>
      <c r="Y30" t="s">
        <v>91</v>
      </c>
      <c r="Z30" t="s">
        <v>91</v>
      </c>
      <c r="AA30" t="s">
        <v>91</v>
      </c>
      <c r="AB30" t="s">
        <v>91</v>
      </c>
      <c r="AC30" t="s">
        <v>91</v>
      </c>
      <c r="AD30" t="s">
        <v>91</v>
      </c>
      <c r="AE30" t="s">
        <v>91</v>
      </c>
      <c r="AF30" t="s">
        <v>91</v>
      </c>
      <c r="AG30" t="s">
        <v>91</v>
      </c>
      <c r="AH30" t="s">
        <v>91</v>
      </c>
      <c r="AI30" t="s">
        <v>91</v>
      </c>
    </row>
    <row r="31" spans="1:35" ht="21" x14ac:dyDescent="0.3">
      <c r="A31" t="s">
        <v>556</v>
      </c>
      <c r="B31" s="11"/>
      <c r="D31">
        <v>30</v>
      </c>
      <c r="E31" s="4">
        <v>44548</v>
      </c>
      <c r="F31" t="s">
        <v>85</v>
      </c>
      <c r="H31" t="s">
        <v>104</v>
      </c>
      <c r="I31" t="s">
        <v>459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  <c r="O31" t="s">
        <v>91</v>
      </c>
      <c r="P31" t="s">
        <v>91</v>
      </c>
      <c r="Q31" t="s">
        <v>91</v>
      </c>
      <c r="R31" t="s">
        <v>91</v>
      </c>
      <c r="S31" t="s">
        <v>91</v>
      </c>
      <c r="T31" t="s">
        <v>91</v>
      </c>
      <c r="U31" t="s">
        <v>91</v>
      </c>
      <c r="V31" t="s">
        <v>91</v>
      </c>
      <c r="W31" t="s">
        <v>91</v>
      </c>
      <c r="X31" t="s">
        <v>91</v>
      </c>
      <c r="Y31" t="s">
        <v>91</v>
      </c>
      <c r="Z31" t="s">
        <v>91</v>
      </c>
      <c r="AA31" t="s">
        <v>91</v>
      </c>
      <c r="AB31" t="s">
        <v>91</v>
      </c>
      <c r="AC31" t="s">
        <v>91</v>
      </c>
      <c r="AD31" t="s">
        <v>91</v>
      </c>
      <c r="AE31" t="s">
        <v>91</v>
      </c>
      <c r="AF31" t="s">
        <v>91</v>
      </c>
      <c r="AG31" t="s">
        <v>91</v>
      </c>
      <c r="AH31" t="s">
        <v>91</v>
      </c>
      <c r="AI31" t="s">
        <v>91</v>
      </c>
    </row>
    <row r="32" spans="1:35" ht="21" x14ac:dyDescent="0.3">
      <c r="A32" t="s">
        <v>556</v>
      </c>
      <c r="B32" s="11"/>
      <c r="D32">
        <v>31</v>
      </c>
      <c r="E32" s="4">
        <v>44555</v>
      </c>
      <c r="F32" t="s">
        <v>85</v>
      </c>
      <c r="G32" t="s">
        <v>37</v>
      </c>
      <c r="H32" t="s">
        <v>62</v>
      </c>
      <c r="I32" t="s">
        <v>460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  <c r="O32" t="s">
        <v>91</v>
      </c>
      <c r="P32" t="s">
        <v>91</v>
      </c>
      <c r="Q32" t="s">
        <v>91</v>
      </c>
      <c r="R32" t="s">
        <v>91</v>
      </c>
      <c r="S32" t="s">
        <v>91</v>
      </c>
      <c r="T32" t="s">
        <v>91</v>
      </c>
      <c r="U32" t="s">
        <v>91</v>
      </c>
      <c r="V32" t="s">
        <v>91</v>
      </c>
      <c r="W32" t="s">
        <v>91</v>
      </c>
      <c r="X32" t="s">
        <v>91</v>
      </c>
      <c r="Y32" t="s">
        <v>91</v>
      </c>
      <c r="Z32" t="s">
        <v>91</v>
      </c>
      <c r="AA32" t="s">
        <v>91</v>
      </c>
      <c r="AB32" t="s">
        <v>91</v>
      </c>
      <c r="AC32" t="s">
        <v>91</v>
      </c>
      <c r="AD32" t="s">
        <v>91</v>
      </c>
      <c r="AE32" t="s">
        <v>91</v>
      </c>
      <c r="AF32" t="s">
        <v>91</v>
      </c>
      <c r="AG32" t="s">
        <v>91</v>
      </c>
      <c r="AH32" t="s">
        <v>91</v>
      </c>
      <c r="AI32" t="s">
        <v>91</v>
      </c>
    </row>
    <row r="33" spans="1:35" ht="21" x14ac:dyDescent="0.3">
      <c r="A33" t="s">
        <v>556</v>
      </c>
      <c r="B33" s="11"/>
      <c r="D33">
        <v>32</v>
      </c>
      <c r="E33" s="4">
        <v>44557</v>
      </c>
      <c r="F33" t="s">
        <v>85</v>
      </c>
      <c r="G33" t="s">
        <v>37</v>
      </c>
      <c r="H33" t="s">
        <v>64</v>
      </c>
      <c r="I33" t="s">
        <v>461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91</v>
      </c>
      <c r="Q33" t="s">
        <v>91</v>
      </c>
      <c r="R33" t="s">
        <v>91</v>
      </c>
      <c r="S33" t="s">
        <v>91</v>
      </c>
      <c r="T33" t="s">
        <v>91</v>
      </c>
      <c r="U33" t="s">
        <v>91</v>
      </c>
      <c r="V33" t="s">
        <v>91</v>
      </c>
      <c r="W33" t="s">
        <v>91</v>
      </c>
      <c r="X33" t="s">
        <v>91</v>
      </c>
      <c r="Y33" t="s">
        <v>91</v>
      </c>
      <c r="Z33" t="s">
        <v>91</v>
      </c>
      <c r="AA33" t="s">
        <v>91</v>
      </c>
      <c r="AB33" t="s">
        <v>91</v>
      </c>
      <c r="AC33" t="s">
        <v>91</v>
      </c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 t="s">
        <v>91</v>
      </c>
    </row>
    <row r="34" spans="1:35" ht="21" x14ac:dyDescent="0.3">
      <c r="A34" t="s">
        <v>556</v>
      </c>
      <c r="B34" s="11"/>
      <c r="D34">
        <v>33</v>
      </c>
      <c r="E34" s="4">
        <v>44560</v>
      </c>
      <c r="F34" t="s">
        <v>85</v>
      </c>
      <c r="H34" t="s">
        <v>94</v>
      </c>
      <c r="I34" t="s">
        <v>406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  <c r="O34" t="s">
        <v>91</v>
      </c>
      <c r="P34" t="s">
        <v>91</v>
      </c>
      <c r="Q34" t="s">
        <v>91</v>
      </c>
      <c r="R34" t="s">
        <v>91</v>
      </c>
      <c r="S34" t="s">
        <v>91</v>
      </c>
      <c r="T34" t="s">
        <v>91</v>
      </c>
      <c r="U34" t="s">
        <v>91</v>
      </c>
      <c r="V34" t="s">
        <v>91</v>
      </c>
      <c r="W34" t="s">
        <v>91</v>
      </c>
      <c r="X34" t="s">
        <v>91</v>
      </c>
      <c r="Y34" t="s">
        <v>91</v>
      </c>
      <c r="Z34" t="s">
        <v>91</v>
      </c>
      <c r="AA34" t="s">
        <v>91</v>
      </c>
      <c r="AB34" t="s">
        <v>91</v>
      </c>
      <c r="AC34" t="s">
        <v>91</v>
      </c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 t="s">
        <v>91</v>
      </c>
    </row>
    <row r="35" spans="1:35" ht="21" x14ac:dyDescent="0.3">
      <c r="A35" t="s">
        <v>556</v>
      </c>
      <c r="B35" s="11"/>
      <c r="D35">
        <v>34</v>
      </c>
      <c r="E35" s="4">
        <v>44562</v>
      </c>
      <c r="F35" t="s">
        <v>85</v>
      </c>
      <c r="H35" t="s">
        <v>64</v>
      </c>
      <c r="I35" t="s">
        <v>462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  <c r="O35" t="s">
        <v>91</v>
      </c>
      <c r="P35" t="s">
        <v>91</v>
      </c>
      <c r="Q35" t="s">
        <v>91</v>
      </c>
      <c r="R35" t="s">
        <v>91</v>
      </c>
      <c r="S35" t="s">
        <v>91</v>
      </c>
      <c r="T35" t="s">
        <v>91</v>
      </c>
      <c r="U35" t="s">
        <v>91</v>
      </c>
      <c r="V35" t="s">
        <v>91</v>
      </c>
      <c r="W35" t="s">
        <v>91</v>
      </c>
      <c r="X35" t="s">
        <v>91</v>
      </c>
      <c r="Y35" t="s">
        <v>91</v>
      </c>
      <c r="Z35" t="s">
        <v>91</v>
      </c>
      <c r="AA35" t="s">
        <v>91</v>
      </c>
      <c r="AB35" t="s">
        <v>91</v>
      </c>
      <c r="AC35" t="s">
        <v>91</v>
      </c>
      <c r="AD35" t="s">
        <v>91</v>
      </c>
      <c r="AE35" t="s">
        <v>91</v>
      </c>
      <c r="AF35" t="s">
        <v>91</v>
      </c>
      <c r="AG35" t="s">
        <v>91</v>
      </c>
      <c r="AH35" t="s">
        <v>91</v>
      </c>
      <c r="AI35" t="s">
        <v>91</v>
      </c>
    </row>
    <row r="36" spans="1:35" ht="21" x14ac:dyDescent="0.3">
      <c r="A36" t="s">
        <v>556</v>
      </c>
      <c r="B36" s="11"/>
      <c r="D36">
        <v>35</v>
      </c>
      <c r="E36" s="4">
        <v>44564</v>
      </c>
      <c r="F36" t="s">
        <v>85</v>
      </c>
      <c r="H36" t="s">
        <v>42</v>
      </c>
      <c r="I36" t="s">
        <v>463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  <c r="O36" t="s">
        <v>91</v>
      </c>
      <c r="P36" t="s">
        <v>91</v>
      </c>
      <c r="Q36" t="s">
        <v>91</v>
      </c>
      <c r="R36" t="s">
        <v>91</v>
      </c>
      <c r="S36" t="s">
        <v>91</v>
      </c>
      <c r="T36" t="s">
        <v>91</v>
      </c>
      <c r="U36" t="s">
        <v>91</v>
      </c>
      <c r="V36" t="s">
        <v>91</v>
      </c>
      <c r="W36" t="s">
        <v>91</v>
      </c>
      <c r="X36" t="s">
        <v>91</v>
      </c>
      <c r="Y36" t="s">
        <v>91</v>
      </c>
      <c r="Z36" t="s">
        <v>91</v>
      </c>
      <c r="AA36" t="s">
        <v>91</v>
      </c>
      <c r="AB36" t="s">
        <v>91</v>
      </c>
      <c r="AC36" t="s">
        <v>91</v>
      </c>
      <c r="AD36" t="s">
        <v>91</v>
      </c>
      <c r="AE36" t="s">
        <v>91</v>
      </c>
      <c r="AF36" t="s">
        <v>91</v>
      </c>
      <c r="AG36" t="s">
        <v>91</v>
      </c>
      <c r="AH36" t="s">
        <v>91</v>
      </c>
      <c r="AI36" t="s">
        <v>91</v>
      </c>
    </row>
    <row r="37" spans="1:35" ht="21" x14ac:dyDescent="0.3">
      <c r="A37" t="s">
        <v>556</v>
      </c>
      <c r="B37" s="11">
        <v>1</v>
      </c>
      <c r="C37">
        <v>583</v>
      </c>
      <c r="D37">
        <v>36</v>
      </c>
      <c r="E37" s="4">
        <v>44566</v>
      </c>
      <c r="F37" t="s">
        <v>85</v>
      </c>
      <c r="G37" t="s">
        <v>37</v>
      </c>
      <c r="H37" t="s">
        <v>108</v>
      </c>
      <c r="I37" t="s">
        <v>464</v>
      </c>
      <c r="J37" t="s">
        <v>41</v>
      </c>
      <c r="K37" s="9">
        <v>1.3326388888888889</v>
      </c>
      <c r="L37">
        <v>9</v>
      </c>
      <c r="M37">
        <v>17</v>
      </c>
      <c r="N37">
        <v>0.52900000000000003</v>
      </c>
      <c r="O37">
        <v>0</v>
      </c>
      <c r="P37">
        <v>2</v>
      </c>
      <c r="Q37">
        <v>0</v>
      </c>
      <c r="R37">
        <v>9</v>
      </c>
      <c r="S37">
        <v>15</v>
      </c>
      <c r="T37">
        <v>0.6</v>
      </c>
      <c r="U37">
        <v>0.52900000000000003</v>
      </c>
      <c r="V37">
        <v>4</v>
      </c>
      <c r="W37">
        <v>4</v>
      </c>
      <c r="X37">
        <v>1</v>
      </c>
      <c r="Y37">
        <v>0</v>
      </c>
      <c r="Z37">
        <v>3</v>
      </c>
      <c r="AA37">
        <v>3</v>
      </c>
      <c r="AB37">
        <v>4</v>
      </c>
      <c r="AC37">
        <v>3</v>
      </c>
      <c r="AD37">
        <v>1</v>
      </c>
      <c r="AE37">
        <v>2</v>
      </c>
      <c r="AF37">
        <v>3</v>
      </c>
      <c r="AG37">
        <v>22</v>
      </c>
      <c r="AH37">
        <v>17.899999999999999</v>
      </c>
      <c r="AI37">
        <v>16</v>
      </c>
    </row>
    <row r="38" spans="1:35" ht="21" x14ac:dyDescent="0.3">
      <c r="A38" t="s">
        <v>556</v>
      </c>
      <c r="B38" s="11">
        <v>1</v>
      </c>
      <c r="D38">
        <v>37</v>
      </c>
      <c r="E38" s="4">
        <v>44568</v>
      </c>
      <c r="F38" t="s">
        <v>85</v>
      </c>
      <c r="H38" t="s">
        <v>126</v>
      </c>
      <c r="I38" t="s">
        <v>465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  <c r="O38" t="s">
        <v>91</v>
      </c>
      <c r="P38" t="s">
        <v>91</v>
      </c>
      <c r="Q38" t="s">
        <v>91</v>
      </c>
      <c r="R38" t="s">
        <v>91</v>
      </c>
      <c r="S38" t="s">
        <v>91</v>
      </c>
      <c r="T38" t="s">
        <v>91</v>
      </c>
      <c r="U38" t="s">
        <v>91</v>
      </c>
      <c r="V38" t="s">
        <v>91</v>
      </c>
      <c r="W38" t="s">
        <v>91</v>
      </c>
      <c r="X38" t="s">
        <v>91</v>
      </c>
      <c r="Y38" t="s">
        <v>91</v>
      </c>
      <c r="Z38" t="s">
        <v>91</v>
      </c>
      <c r="AA38" t="s">
        <v>91</v>
      </c>
      <c r="AB38" t="s">
        <v>91</v>
      </c>
      <c r="AC38" t="s">
        <v>91</v>
      </c>
      <c r="AD38" t="s">
        <v>91</v>
      </c>
      <c r="AE38" t="s">
        <v>91</v>
      </c>
      <c r="AF38" t="s">
        <v>91</v>
      </c>
      <c r="AG38" t="s">
        <v>91</v>
      </c>
      <c r="AH38" t="s">
        <v>91</v>
      </c>
      <c r="AI38" t="s">
        <v>91</v>
      </c>
    </row>
    <row r="39" spans="1:35" ht="21" x14ac:dyDescent="0.3">
      <c r="A39" t="s">
        <v>556</v>
      </c>
      <c r="B39" s="11">
        <v>1</v>
      </c>
      <c r="D39">
        <v>38</v>
      </c>
      <c r="E39" s="4">
        <v>44570</v>
      </c>
      <c r="F39" t="s">
        <v>85</v>
      </c>
      <c r="H39" t="s">
        <v>102</v>
      </c>
      <c r="I39" t="s">
        <v>466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  <c r="O39" t="s">
        <v>91</v>
      </c>
      <c r="P39" t="s">
        <v>91</v>
      </c>
      <c r="Q39" t="s">
        <v>91</v>
      </c>
      <c r="R39" t="s">
        <v>91</v>
      </c>
      <c r="S39" t="s">
        <v>91</v>
      </c>
      <c r="T39" t="s">
        <v>91</v>
      </c>
      <c r="U39" t="s">
        <v>91</v>
      </c>
      <c r="V39" t="s">
        <v>91</v>
      </c>
      <c r="W39" t="s">
        <v>91</v>
      </c>
      <c r="X39" t="s">
        <v>91</v>
      </c>
      <c r="Y39" t="s">
        <v>91</v>
      </c>
      <c r="Z39" t="s">
        <v>91</v>
      </c>
      <c r="AA39" t="s">
        <v>91</v>
      </c>
      <c r="AB39" t="s">
        <v>91</v>
      </c>
      <c r="AC39" t="s">
        <v>91</v>
      </c>
      <c r="AD39" t="s">
        <v>91</v>
      </c>
      <c r="AE39" t="s">
        <v>91</v>
      </c>
      <c r="AF39" t="s">
        <v>91</v>
      </c>
      <c r="AG39" t="s">
        <v>91</v>
      </c>
      <c r="AH39" t="s">
        <v>91</v>
      </c>
      <c r="AI39" t="s">
        <v>91</v>
      </c>
    </row>
    <row r="40" spans="1:35" ht="21" x14ac:dyDescent="0.3">
      <c r="A40" t="s">
        <v>556</v>
      </c>
      <c r="B40" s="11">
        <v>2</v>
      </c>
      <c r="C40">
        <v>584</v>
      </c>
      <c r="D40">
        <v>39</v>
      </c>
      <c r="E40" s="4">
        <v>44571</v>
      </c>
      <c r="F40" t="s">
        <v>85</v>
      </c>
      <c r="G40" t="s">
        <v>37</v>
      </c>
      <c r="H40" t="s">
        <v>96</v>
      </c>
      <c r="I40" t="s">
        <v>467</v>
      </c>
      <c r="J40" t="s">
        <v>41</v>
      </c>
      <c r="K40" s="9">
        <v>1.6520833333333333</v>
      </c>
      <c r="L40">
        <v>9</v>
      </c>
      <c r="M40">
        <v>21</v>
      </c>
      <c r="N40">
        <v>0.42899999999999999</v>
      </c>
      <c r="O40">
        <v>3</v>
      </c>
      <c r="P40">
        <v>8</v>
      </c>
      <c r="Q40">
        <v>0.375</v>
      </c>
      <c r="R40">
        <v>6</v>
      </c>
      <c r="S40">
        <v>13</v>
      </c>
      <c r="T40">
        <v>0.46200000000000002</v>
      </c>
      <c r="U40">
        <v>0.5</v>
      </c>
      <c r="V40">
        <v>1</v>
      </c>
      <c r="W40">
        <v>1</v>
      </c>
      <c r="X40">
        <v>1</v>
      </c>
      <c r="Y40">
        <v>1</v>
      </c>
      <c r="Z40">
        <v>7</v>
      </c>
      <c r="AA40">
        <v>8</v>
      </c>
      <c r="AB40">
        <v>4</v>
      </c>
      <c r="AC40">
        <v>1</v>
      </c>
      <c r="AD40">
        <v>1</v>
      </c>
      <c r="AE40">
        <v>4</v>
      </c>
      <c r="AF40">
        <v>2</v>
      </c>
      <c r="AG40">
        <v>22</v>
      </c>
      <c r="AH40">
        <v>13.4</v>
      </c>
      <c r="AI40">
        <v>0</v>
      </c>
    </row>
    <row r="41" spans="1:35" ht="21" x14ac:dyDescent="0.3">
      <c r="A41" t="s">
        <v>556</v>
      </c>
      <c r="B41" s="11">
        <v>3</v>
      </c>
      <c r="C41">
        <v>585</v>
      </c>
      <c r="D41">
        <v>40</v>
      </c>
      <c r="E41" s="4">
        <v>44573</v>
      </c>
      <c r="F41" t="s">
        <v>85</v>
      </c>
      <c r="G41" t="s">
        <v>37</v>
      </c>
      <c r="H41" t="s">
        <v>82</v>
      </c>
      <c r="I41" t="s">
        <v>468</v>
      </c>
      <c r="J41" t="s">
        <v>41</v>
      </c>
      <c r="K41" s="9">
        <v>1.0291666666666666</v>
      </c>
      <c r="L41">
        <v>4</v>
      </c>
      <c r="M41">
        <v>10</v>
      </c>
      <c r="N41">
        <v>0.4</v>
      </c>
      <c r="O41">
        <v>1</v>
      </c>
      <c r="P41">
        <v>3</v>
      </c>
      <c r="Q41">
        <v>0.33300000000000002</v>
      </c>
      <c r="R41">
        <v>3</v>
      </c>
      <c r="S41">
        <v>7</v>
      </c>
      <c r="T41">
        <v>0.42899999999999999</v>
      </c>
      <c r="U41">
        <v>0.45</v>
      </c>
      <c r="V41">
        <v>0</v>
      </c>
      <c r="W41">
        <v>0</v>
      </c>
      <c r="Y41">
        <v>0</v>
      </c>
      <c r="Z41">
        <v>4</v>
      </c>
      <c r="AA41">
        <v>4</v>
      </c>
      <c r="AB41">
        <v>3</v>
      </c>
      <c r="AC41">
        <v>0</v>
      </c>
      <c r="AD41">
        <v>0</v>
      </c>
      <c r="AE41">
        <v>1</v>
      </c>
      <c r="AF41">
        <v>0</v>
      </c>
      <c r="AG41">
        <v>9</v>
      </c>
      <c r="AH41">
        <v>5.9</v>
      </c>
      <c r="AI41">
        <v>10</v>
      </c>
    </row>
    <row r="42" spans="1:35" ht="21" x14ac:dyDescent="0.3">
      <c r="A42" t="s">
        <v>556</v>
      </c>
      <c r="B42" s="11">
        <v>3</v>
      </c>
      <c r="D42">
        <v>41</v>
      </c>
      <c r="E42" s="4">
        <v>44574</v>
      </c>
      <c r="F42" t="s">
        <v>85</v>
      </c>
      <c r="H42" t="s">
        <v>68</v>
      </c>
      <c r="I42" t="s">
        <v>469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  <c r="O42" t="s">
        <v>91</v>
      </c>
      <c r="P42" t="s">
        <v>91</v>
      </c>
      <c r="Q42" t="s">
        <v>91</v>
      </c>
      <c r="R42" t="s">
        <v>91</v>
      </c>
      <c r="S42" t="s">
        <v>91</v>
      </c>
      <c r="T42" t="s">
        <v>91</v>
      </c>
      <c r="U42" t="s">
        <v>91</v>
      </c>
      <c r="V42" t="s">
        <v>91</v>
      </c>
      <c r="W42" t="s">
        <v>91</v>
      </c>
      <c r="X42" t="s">
        <v>91</v>
      </c>
      <c r="Y42" t="s">
        <v>91</v>
      </c>
      <c r="Z42" t="s">
        <v>91</v>
      </c>
      <c r="AA42" t="s">
        <v>91</v>
      </c>
      <c r="AB42" t="s">
        <v>91</v>
      </c>
      <c r="AC42" t="s">
        <v>91</v>
      </c>
      <c r="AD42" t="s">
        <v>91</v>
      </c>
      <c r="AE42" t="s">
        <v>91</v>
      </c>
      <c r="AF42" t="s">
        <v>91</v>
      </c>
      <c r="AG42" t="s">
        <v>91</v>
      </c>
      <c r="AH42" t="s">
        <v>91</v>
      </c>
      <c r="AI42" t="s">
        <v>91</v>
      </c>
    </row>
    <row r="43" spans="1:35" ht="21" x14ac:dyDescent="0.3">
      <c r="A43" t="s">
        <v>556</v>
      </c>
      <c r="B43" s="11">
        <v>3</v>
      </c>
      <c r="D43">
        <v>42</v>
      </c>
      <c r="E43" s="4">
        <v>44576</v>
      </c>
      <c r="F43" t="s">
        <v>85</v>
      </c>
      <c r="H43" t="s">
        <v>74</v>
      </c>
      <c r="I43" t="s">
        <v>470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  <c r="O43" t="s">
        <v>91</v>
      </c>
      <c r="P43" t="s">
        <v>91</v>
      </c>
      <c r="Q43" t="s">
        <v>91</v>
      </c>
      <c r="R43" t="s">
        <v>91</v>
      </c>
      <c r="S43" t="s">
        <v>91</v>
      </c>
      <c r="T43" t="s">
        <v>91</v>
      </c>
      <c r="U43" t="s">
        <v>91</v>
      </c>
      <c r="V43" t="s">
        <v>91</v>
      </c>
      <c r="W43" t="s">
        <v>91</v>
      </c>
      <c r="X43" t="s">
        <v>91</v>
      </c>
      <c r="Y43" t="s">
        <v>91</v>
      </c>
      <c r="Z43" t="s">
        <v>91</v>
      </c>
      <c r="AA43" t="s">
        <v>91</v>
      </c>
      <c r="AB43" t="s">
        <v>91</v>
      </c>
      <c r="AC43" t="s">
        <v>91</v>
      </c>
      <c r="AD43" t="s">
        <v>91</v>
      </c>
      <c r="AE43" t="s">
        <v>91</v>
      </c>
      <c r="AF43" t="s">
        <v>91</v>
      </c>
      <c r="AG43" t="s">
        <v>91</v>
      </c>
      <c r="AH43" t="s">
        <v>91</v>
      </c>
      <c r="AI43" t="s">
        <v>91</v>
      </c>
    </row>
    <row r="44" spans="1:35" ht="21" x14ac:dyDescent="0.3">
      <c r="A44" t="s">
        <v>556</v>
      </c>
      <c r="B44" s="11">
        <v>4</v>
      </c>
      <c r="C44">
        <v>586</v>
      </c>
      <c r="D44">
        <v>43</v>
      </c>
      <c r="E44" s="4">
        <v>44578</v>
      </c>
      <c r="F44" t="s">
        <v>85</v>
      </c>
      <c r="G44" t="s">
        <v>37</v>
      </c>
      <c r="H44" t="s">
        <v>87</v>
      </c>
      <c r="I44" t="s">
        <v>471</v>
      </c>
      <c r="J44" t="s">
        <v>41</v>
      </c>
      <c r="K44" s="9">
        <v>1.5652777777777778</v>
      </c>
      <c r="L44">
        <v>12</v>
      </c>
      <c r="M44">
        <v>23</v>
      </c>
      <c r="N44">
        <v>0.52200000000000002</v>
      </c>
      <c r="O44">
        <v>3</v>
      </c>
      <c r="P44">
        <v>6</v>
      </c>
      <c r="Q44">
        <v>0.5</v>
      </c>
      <c r="R44">
        <v>9</v>
      </c>
      <c r="S44">
        <v>17</v>
      </c>
      <c r="T44">
        <v>0.52900000000000003</v>
      </c>
      <c r="U44">
        <v>0.58699999999999997</v>
      </c>
      <c r="V44">
        <v>0</v>
      </c>
      <c r="W44">
        <v>0</v>
      </c>
      <c r="Y44">
        <v>0</v>
      </c>
      <c r="Z44">
        <v>7</v>
      </c>
      <c r="AA44">
        <v>7</v>
      </c>
      <c r="AB44">
        <v>9</v>
      </c>
      <c r="AC44">
        <v>1</v>
      </c>
      <c r="AD44">
        <v>0</v>
      </c>
      <c r="AE44">
        <v>2</v>
      </c>
      <c r="AF44">
        <v>3</v>
      </c>
      <c r="AG44">
        <v>27</v>
      </c>
      <c r="AH44">
        <v>21.9</v>
      </c>
      <c r="AI44">
        <v>14</v>
      </c>
    </row>
    <row r="45" spans="1:35" ht="21" x14ac:dyDescent="0.3">
      <c r="A45" t="s">
        <v>556</v>
      </c>
      <c r="B45" s="11">
        <v>5</v>
      </c>
      <c r="C45">
        <v>587</v>
      </c>
      <c r="D45">
        <v>44</v>
      </c>
      <c r="E45" s="4">
        <v>44580</v>
      </c>
      <c r="F45" t="s">
        <v>85</v>
      </c>
      <c r="G45" t="s">
        <v>37</v>
      </c>
      <c r="H45" t="s">
        <v>155</v>
      </c>
      <c r="I45" t="s">
        <v>472</v>
      </c>
      <c r="J45" t="s">
        <v>41</v>
      </c>
      <c r="K45" s="9">
        <v>1.5819444444444444</v>
      </c>
      <c r="L45">
        <v>13</v>
      </c>
      <c r="M45">
        <v>23</v>
      </c>
      <c r="N45">
        <v>0.56499999999999995</v>
      </c>
      <c r="O45">
        <v>2</v>
      </c>
      <c r="P45">
        <v>8</v>
      </c>
      <c r="Q45">
        <v>0.25</v>
      </c>
      <c r="R45">
        <v>11</v>
      </c>
      <c r="S45">
        <v>15</v>
      </c>
      <c r="T45">
        <v>0.73299999999999998</v>
      </c>
      <c r="U45">
        <v>0.60899999999999999</v>
      </c>
      <c r="V45">
        <v>2</v>
      </c>
      <c r="W45">
        <v>2</v>
      </c>
      <c r="X45">
        <v>1</v>
      </c>
      <c r="Y45">
        <v>1</v>
      </c>
      <c r="Z45">
        <v>2</v>
      </c>
      <c r="AA45">
        <v>3</v>
      </c>
      <c r="AB45">
        <v>7</v>
      </c>
      <c r="AC45">
        <v>1</v>
      </c>
      <c r="AD45">
        <v>0</v>
      </c>
      <c r="AE45">
        <v>3</v>
      </c>
      <c r="AF45">
        <v>3</v>
      </c>
      <c r="AG45">
        <v>30</v>
      </c>
      <c r="AH45">
        <v>22.1</v>
      </c>
      <c r="AI45">
        <v>13</v>
      </c>
    </row>
    <row r="46" spans="1:35" ht="21" x14ac:dyDescent="0.3">
      <c r="A46" t="s">
        <v>556</v>
      </c>
      <c r="B46" s="11">
        <v>6</v>
      </c>
      <c r="C46">
        <v>588</v>
      </c>
      <c r="D46">
        <v>45</v>
      </c>
      <c r="E46" s="4">
        <v>44582</v>
      </c>
      <c r="F46" t="s">
        <v>85</v>
      </c>
      <c r="G46" t="s">
        <v>37</v>
      </c>
      <c r="H46" t="s">
        <v>102</v>
      </c>
      <c r="I46" t="s">
        <v>214</v>
      </c>
      <c r="J46" t="s">
        <v>41</v>
      </c>
      <c r="K46" s="9">
        <v>1.4777777777777779</v>
      </c>
      <c r="L46">
        <v>10</v>
      </c>
      <c r="M46">
        <v>21</v>
      </c>
      <c r="N46">
        <v>0.47599999999999998</v>
      </c>
      <c r="O46">
        <v>3</v>
      </c>
      <c r="P46">
        <v>6</v>
      </c>
      <c r="Q46">
        <v>0.5</v>
      </c>
      <c r="R46">
        <v>7</v>
      </c>
      <c r="S46">
        <v>15</v>
      </c>
      <c r="T46">
        <v>0.46700000000000003</v>
      </c>
      <c r="U46">
        <v>0.54800000000000004</v>
      </c>
      <c r="V46">
        <v>1</v>
      </c>
      <c r="W46">
        <v>1</v>
      </c>
      <c r="X46">
        <v>1</v>
      </c>
      <c r="Y46">
        <v>1</v>
      </c>
      <c r="Z46">
        <v>2</v>
      </c>
      <c r="AA46">
        <v>3</v>
      </c>
      <c r="AB46">
        <v>4</v>
      </c>
      <c r="AC46">
        <v>0</v>
      </c>
      <c r="AD46">
        <v>0</v>
      </c>
      <c r="AE46">
        <v>0</v>
      </c>
      <c r="AF46">
        <v>3</v>
      </c>
      <c r="AG46">
        <v>24</v>
      </c>
      <c r="AH46">
        <v>16.2</v>
      </c>
      <c r="AI46">
        <v>13</v>
      </c>
    </row>
    <row r="47" spans="1:35" ht="21" x14ac:dyDescent="0.3">
      <c r="A47" t="s">
        <v>556</v>
      </c>
      <c r="B47" s="11">
        <v>7</v>
      </c>
      <c r="C47">
        <v>589</v>
      </c>
      <c r="D47">
        <v>46</v>
      </c>
      <c r="E47" s="4">
        <v>44584</v>
      </c>
      <c r="F47" t="s">
        <v>85</v>
      </c>
      <c r="G47" t="s">
        <v>37</v>
      </c>
      <c r="H47" t="s">
        <v>80</v>
      </c>
      <c r="I47" t="s">
        <v>473</v>
      </c>
      <c r="J47" t="s">
        <v>41</v>
      </c>
      <c r="K47" s="9">
        <v>1.4416666666666667</v>
      </c>
      <c r="L47">
        <v>11</v>
      </c>
      <c r="M47">
        <v>20</v>
      </c>
      <c r="N47">
        <v>0.55000000000000004</v>
      </c>
      <c r="O47">
        <v>3</v>
      </c>
      <c r="P47">
        <v>8</v>
      </c>
      <c r="Q47">
        <v>0.375</v>
      </c>
      <c r="R47">
        <v>8</v>
      </c>
      <c r="S47">
        <v>12</v>
      </c>
      <c r="T47">
        <v>0.66700000000000004</v>
      </c>
      <c r="U47">
        <v>0.625</v>
      </c>
      <c r="V47">
        <v>5</v>
      </c>
      <c r="W47">
        <v>5</v>
      </c>
      <c r="X47">
        <v>1</v>
      </c>
      <c r="Y47">
        <v>0</v>
      </c>
      <c r="Z47">
        <v>6</v>
      </c>
      <c r="AA47">
        <v>6</v>
      </c>
      <c r="AB47">
        <v>5</v>
      </c>
      <c r="AC47">
        <v>1</v>
      </c>
      <c r="AD47">
        <v>0</v>
      </c>
      <c r="AE47">
        <v>3</v>
      </c>
      <c r="AF47">
        <v>1</v>
      </c>
      <c r="AG47">
        <v>30</v>
      </c>
      <c r="AH47">
        <v>23.3</v>
      </c>
      <c r="AI47">
        <v>-12</v>
      </c>
    </row>
    <row r="48" spans="1:35" ht="21" x14ac:dyDescent="0.3">
      <c r="A48" t="s">
        <v>556</v>
      </c>
      <c r="B48" s="11">
        <v>7</v>
      </c>
      <c r="D48">
        <v>47</v>
      </c>
      <c r="E48" s="4">
        <v>44586</v>
      </c>
      <c r="F48" t="s">
        <v>85</v>
      </c>
      <c r="H48" t="s">
        <v>62</v>
      </c>
      <c r="I48" t="s">
        <v>474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  <c r="O48" t="s">
        <v>91</v>
      </c>
      <c r="P48" t="s">
        <v>91</v>
      </c>
      <c r="Q48" t="s">
        <v>91</v>
      </c>
      <c r="R48" t="s">
        <v>91</v>
      </c>
      <c r="S48" t="s">
        <v>91</v>
      </c>
      <c r="T48" t="s">
        <v>91</v>
      </c>
      <c r="U48" t="s">
        <v>91</v>
      </c>
      <c r="V48" t="s">
        <v>91</v>
      </c>
      <c r="W48" t="s">
        <v>91</v>
      </c>
      <c r="X48" t="s">
        <v>91</v>
      </c>
      <c r="Y48" t="s">
        <v>91</v>
      </c>
      <c r="Z48" t="s">
        <v>91</v>
      </c>
      <c r="AA48" t="s">
        <v>91</v>
      </c>
      <c r="AB48" t="s">
        <v>91</v>
      </c>
      <c r="AC48" t="s">
        <v>91</v>
      </c>
      <c r="AD48" t="s">
        <v>91</v>
      </c>
      <c r="AE48" t="s">
        <v>91</v>
      </c>
      <c r="AF48" t="s">
        <v>91</v>
      </c>
      <c r="AG48" t="s">
        <v>91</v>
      </c>
      <c r="AH48" t="s">
        <v>91</v>
      </c>
      <c r="AI48" t="s">
        <v>91</v>
      </c>
    </row>
    <row r="49" spans="1:35" ht="21" x14ac:dyDescent="0.3">
      <c r="A49" t="s">
        <v>556</v>
      </c>
      <c r="B49" s="11">
        <v>7</v>
      </c>
      <c r="D49">
        <v>48</v>
      </c>
      <c r="E49" s="4">
        <v>44587</v>
      </c>
      <c r="F49" t="s">
        <v>85</v>
      </c>
      <c r="H49" t="s">
        <v>34</v>
      </c>
      <c r="I49" t="s">
        <v>475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  <c r="O49" t="s">
        <v>91</v>
      </c>
      <c r="P49" t="s">
        <v>91</v>
      </c>
      <c r="Q49" t="s">
        <v>91</v>
      </c>
      <c r="R49" t="s">
        <v>91</v>
      </c>
      <c r="S49" t="s">
        <v>91</v>
      </c>
      <c r="T49" t="s">
        <v>91</v>
      </c>
      <c r="U49" t="s">
        <v>91</v>
      </c>
      <c r="V49" t="s">
        <v>91</v>
      </c>
      <c r="W49" t="s">
        <v>91</v>
      </c>
      <c r="X49" t="s">
        <v>91</v>
      </c>
      <c r="Y49" t="s">
        <v>91</v>
      </c>
      <c r="Z49" t="s">
        <v>91</v>
      </c>
      <c r="AA49" t="s">
        <v>91</v>
      </c>
      <c r="AB49" t="s">
        <v>91</v>
      </c>
      <c r="AC49" t="s">
        <v>91</v>
      </c>
      <c r="AD49" t="s">
        <v>91</v>
      </c>
      <c r="AE49" t="s">
        <v>91</v>
      </c>
      <c r="AF49" t="s">
        <v>91</v>
      </c>
      <c r="AG49" t="s">
        <v>91</v>
      </c>
      <c r="AH49" t="s">
        <v>91</v>
      </c>
      <c r="AI49" t="s">
        <v>91</v>
      </c>
    </row>
    <row r="50" spans="1:35" ht="21" x14ac:dyDescent="0.3">
      <c r="A50" t="s">
        <v>556</v>
      </c>
      <c r="B50" s="11">
        <v>8</v>
      </c>
      <c r="C50">
        <v>590</v>
      </c>
      <c r="D50">
        <v>49</v>
      </c>
      <c r="E50" s="4">
        <v>44590</v>
      </c>
      <c r="F50" t="s">
        <v>85</v>
      </c>
      <c r="G50" t="s">
        <v>37</v>
      </c>
      <c r="H50" t="s">
        <v>33</v>
      </c>
      <c r="I50" t="s">
        <v>476</v>
      </c>
      <c r="J50" t="s">
        <v>41</v>
      </c>
      <c r="K50" s="9">
        <v>1.6388888888888888</v>
      </c>
      <c r="L50">
        <v>9</v>
      </c>
      <c r="M50">
        <v>21</v>
      </c>
      <c r="N50">
        <v>0.42899999999999999</v>
      </c>
      <c r="O50">
        <v>3</v>
      </c>
      <c r="P50">
        <v>8</v>
      </c>
      <c r="Q50">
        <v>0.375</v>
      </c>
      <c r="R50">
        <v>6</v>
      </c>
      <c r="S50">
        <v>13</v>
      </c>
      <c r="T50">
        <v>0.46200000000000002</v>
      </c>
      <c r="U50">
        <v>0.5</v>
      </c>
      <c r="V50">
        <v>11</v>
      </c>
      <c r="W50">
        <v>12</v>
      </c>
      <c r="X50">
        <v>0.91700000000000004</v>
      </c>
      <c r="Y50">
        <v>2</v>
      </c>
      <c r="Z50">
        <v>6</v>
      </c>
      <c r="AA50">
        <v>8</v>
      </c>
      <c r="AB50">
        <v>7</v>
      </c>
      <c r="AC50">
        <v>3</v>
      </c>
      <c r="AD50">
        <v>0</v>
      </c>
      <c r="AE50">
        <v>5</v>
      </c>
      <c r="AF50">
        <v>4</v>
      </c>
      <c r="AG50">
        <v>32</v>
      </c>
      <c r="AH50">
        <v>25</v>
      </c>
      <c r="AI50">
        <v>5</v>
      </c>
    </row>
    <row r="51" spans="1:35" ht="21" x14ac:dyDescent="0.3">
      <c r="A51" t="s">
        <v>556</v>
      </c>
      <c r="B51" s="11">
        <v>9</v>
      </c>
      <c r="C51">
        <v>591</v>
      </c>
      <c r="D51">
        <v>50</v>
      </c>
      <c r="E51" s="4">
        <v>44593</v>
      </c>
      <c r="F51" t="s">
        <v>85</v>
      </c>
      <c r="G51" t="s">
        <v>37</v>
      </c>
      <c r="H51" t="s">
        <v>99</v>
      </c>
      <c r="I51" t="s">
        <v>477</v>
      </c>
      <c r="J51" t="s">
        <v>41</v>
      </c>
      <c r="K51" s="9">
        <v>1.523611111111111</v>
      </c>
      <c r="L51">
        <v>10</v>
      </c>
      <c r="M51">
        <v>20</v>
      </c>
      <c r="N51">
        <v>0.5</v>
      </c>
      <c r="O51">
        <v>3</v>
      </c>
      <c r="P51">
        <v>8</v>
      </c>
      <c r="Q51">
        <v>0.375</v>
      </c>
      <c r="R51">
        <v>7</v>
      </c>
      <c r="S51">
        <v>12</v>
      </c>
      <c r="T51">
        <v>0.58299999999999996</v>
      </c>
      <c r="U51">
        <v>0.57499999999999996</v>
      </c>
      <c r="V51">
        <v>3</v>
      </c>
      <c r="W51">
        <v>4</v>
      </c>
      <c r="X51">
        <v>0.75</v>
      </c>
      <c r="Y51">
        <v>0</v>
      </c>
      <c r="Z51">
        <v>4</v>
      </c>
      <c r="AA51">
        <v>4</v>
      </c>
      <c r="AB51">
        <v>3</v>
      </c>
      <c r="AC51">
        <v>1</v>
      </c>
      <c r="AD51">
        <v>0</v>
      </c>
      <c r="AE51">
        <v>2</v>
      </c>
      <c r="AF51">
        <v>2</v>
      </c>
      <c r="AG51">
        <v>26</v>
      </c>
      <c r="AH51">
        <v>17.100000000000001</v>
      </c>
      <c r="AI51">
        <v>-17</v>
      </c>
    </row>
    <row r="52" spans="1:35" ht="21" x14ac:dyDescent="0.3">
      <c r="A52" t="s">
        <v>556</v>
      </c>
      <c r="B52" s="11">
        <v>10</v>
      </c>
      <c r="C52">
        <v>592</v>
      </c>
      <c r="D52">
        <v>51</v>
      </c>
      <c r="E52" s="4">
        <v>44594</v>
      </c>
      <c r="F52" t="s">
        <v>85</v>
      </c>
      <c r="G52" t="s">
        <v>37</v>
      </c>
      <c r="H52" t="s">
        <v>66</v>
      </c>
      <c r="I52" t="s">
        <v>478</v>
      </c>
      <c r="J52" t="s">
        <v>41</v>
      </c>
      <c r="K52" s="9">
        <v>1.5361111111111112</v>
      </c>
      <c r="L52">
        <v>5</v>
      </c>
      <c r="M52">
        <v>15</v>
      </c>
      <c r="N52">
        <v>0.33300000000000002</v>
      </c>
      <c r="O52">
        <v>2</v>
      </c>
      <c r="P52">
        <v>5</v>
      </c>
      <c r="Q52">
        <v>0.4</v>
      </c>
      <c r="R52">
        <v>3</v>
      </c>
      <c r="S52">
        <v>10</v>
      </c>
      <c r="T52">
        <v>0.3</v>
      </c>
      <c r="U52">
        <v>0.4</v>
      </c>
      <c r="V52">
        <v>2</v>
      </c>
      <c r="W52">
        <v>2</v>
      </c>
      <c r="X52">
        <v>1</v>
      </c>
      <c r="Y52">
        <v>0</v>
      </c>
      <c r="Z52">
        <v>3</v>
      </c>
      <c r="AA52">
        <v>3</v>
      </c>
      <c r="AB52">
        <v>1</v>
      </c>
      <c r="AC52">
        <v>1</v>
      </c>
      <c r="AD52">
        <v>2</v>
      </c>
      <c r="AE52">
        <v>4</v>
      </c>
      <c r="AF52">
        <v>1</v>
      </c>
      <c r="AG52">
        <v>14</v>
      </c>
      <c r="AH52">
        <v>5.0999999999999996</v>
      </c>
      <c r="AI52">
        <v>3</v>
      </c>
    </row>
    <row r="53" spans="1:35" ht="21" x14ac:dyDescent="0.3">
      <c r="A53" t="s">
        <v>556</v>
      </c>
      <c r="B53" s="11">
        <v>11</v>
      </c>
      <c r="C53">
        <v>593</v>
      </c>
      <c r="D53">
        <v>52</v>
      </c>
      <c r="E53" s="4">
        <v>44596</v>
      </c>
      <c r="F53" t="s">
        <v>85</v>
      </c>
      <c r="G53" t="s">
        <v>37</v>
      </c>
      <c r="H53" t="s">
        <v>118</v>
      </c>
      <c r="I53" t="s">
        <v>479</v>
      </c>
      <c r="J53" t="s">
        <v>41</v>
      </c>
      <c r="K53" s="9">
        <v>1.304861111111111</v>
      </c>
      <c r="L53">
        <v>6</v>
      </c>
      <c r="M53">
        <v>20</v>
      </c>
      <c r="N53">
        <v>0.3</v>
      </c>
      <c r="O53">
        <v>3</v>
      </c>
      <c r="P53">
        <v>8</v>
      </c>
      <c r="Q53">
        <v>0.375</v>
      </c>
      <c r="R53">
        <v>3</v>
      </c>
      <c r="S53">
        <v>12</v>
      </c>
      <c r="T53">
        <v>0.25</v>
      </c>
      <c r="U53">
        <v>0.375</v>
      </c>
      <c r="V53">
        <v>0</v>
      </c>
      <c r="W53">
        <v>0</v>
      </c>
      <c r="Y53">
        <v>1</v>
      </c>
      <c r="Z53">
        <v>2</v>
      </c>
      <c r="AA53">
        <v>3</v>
      </c>
      <c r="AB53">
        <v>6</v>
      </c>
      <c r="AC53">
        <v>0</v>
      </c>
      <c r="AD53">
        <v>0</v>
      </c>
      <c r="AE53">
        <v>1</v>
      </c>
      <c r="AF53">
        <v>3</v>
      </c>
      <c r="AG53">
        <v>15</v>
      </c>
      <c r="AH53">
        <v>6.7</v>
      </c>
      <c r="AI53">
        <v>-29</v>
      </c>
    </row>
    <row r="54" spans="1:35" ht="21" x14ac:dyDescent="0.3">
      <c r="A54" t="s">
        <v>556</v>
      </c>
      <c r="B54" s="11">
        <v>12</v>
      </c>
      <c r="C54">
        <v>594</v>
      </c>
      <c r="D54">
        <v>53</v>
      </c>
      <c r="E54" s="4">
        <v>44598</v>
      </c>
      <c r="F54" t="s">
        <v>85</v>
      </c>
      <c r="G54" t="s">
        <v>37</v>
      </c>
      <c r="H54" t="s">
        <v>34</v>
      </c>
      <c r="I54" t="s">
        <v>256</v>
      </c>
      <c r="J54" t="s">
        <v>41</v>
      </c>
      <c r="K54" s="9">
        <v>1.7090277777777778</v>
      </c>
      <c r="L54">
        <v>10</v>
      </c>
      <c r="M54">
        <v>26</v>
      </c>
      <c r="N54">
        <v>0.38500000000000001</v>
      </c>
      <c r="O54">
        <v>3</v>
      </c>
      <c r="P54">
        <v>9</v>
      </c>
      <c r="Q54">
        <v>0.33300000000000002</v>
      </c>
      <c r="R54">
        <v>7</v>
      </c>
      <c r="S54">
        <v>17</v>
      </c>
      <c r="T54">
        <v>0.41199999999999998</v>
      </c>
      <c r="U54">
        <v>0.442</v>
      </c>
      <c r="V54">
        <v>4</v>
      </c>
      <c r="W54">
        <v>5</v>
      </c>
      <c r="X54">
        <v>0.8</v>
      </c>
      <c r="Y54">
        <v>2</v>
      </c>
      <c r="Z54">
        <v>3</v>
      </c>
      <c r="AA54">
        <v>5</v>
      </c>
      <c r="AB54">
        <v>11</v>
      </c>
      <c r="AC54">
        <v>1</v>
      </c>
      <c r="AD54">
        <v>3</v>
      </c>
      <c r="AE54">
        <v>2</v>
      </c>
      <c r="AF54">
        <v>3</v>
      </c>
      <c r="AG54">
        <v>27</v>
      </c>
      <c r="AH54">
        <v>22.3</v>
      </c>
      <c r="AI54">
        <v>-19</v>
      </c>
    </row>
    <row r="55" spans="1:35" ht="21" x14ac:dyDescent="0.3">
      <c r="A55" t="s">
        <v>556</v>
      </c>
      <c r="B55" s="11">
        <v>12</v>
      </c>
      <c r="D55">
        <v>54</v>
      </c>
      <c r="E55" s="4">
        <v>44600</v>
      </c>
      <c r="F55" t="s">
        <v>85</v>
      </c>
      <c r="H55" t="s">
        <v>55</v>
      </c>
      <c r="I55" t="s">
        <v>480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  <c r="O55" t="s">
        <v>91</v>
      </c>
      <c r="P55" t="s">
        <v>91</v>
      </c>
      <c r="Q55" t="s">
        <v>91</v>
      </c>
      <c r="R55" t="s">
        <v>91</v>
      </c>
      <c r="S55" t="s">
        <v>91</v>
      </c>
      <c r="T55" t="s">
        <v>91</v>
      </c>
      <c r="U55" t="s">
        <v>91</v>
      </c>
      <c r="V55" t="s">
        <v>91</v>
      </c>
      <c r="W55" t="s">
        <v>91</v>
      </c>
      <c r="X55" t="s">
        <v>91</v>
      </c>
      <c r="Y55" t="s">
        <v>91</v>
      </c>
      <c r="Z55" t="s">
        <v>91</v>
      </c>
      <c r="AA55" t="s">
        <v>91</v>
      </c>
      <c r="AB55" t="s">
        <v>91</v>
      </c>
      <c r="AC55" t="s">
        <v>91</v>
      </c>
      <c r="AD55" t="s">
        <v>91</v>
      </c>
      <c r="AE55" t="s">
        <v>91</v>
      </c>
      <c r="AF55" t="s">
        <v>91</v>
      </c>
      <c r="AG55" t="s">
        <v>91</v>
      </c>
      <c r="AH55" t="s">
        <v>91</v>
      </c>
      <c r="AI55" t="s">
        <v>91</v>
      </c>
    </row>
    <row r="56" spans="1:35" ht="21" x14ac:dyDescent="0.3">
      <c r="A56" t="s">
        <v>556</v>
      </c>
      <c r="B56" s="11">
        <v>13</v>
      </c>
      <c r="C56">
        <v>595</v>
      </c>
      <c r="D56">
        <v>55</v>
      </c>
      <c r="E56" s="4">
        <v>44602</v>
      </c>
      <c r="F56" t="s">
        <v>85</v>
      </c>
      <c r="G56" t="s">
        <v>37</v>
      </c>
      <c r="H56" t="s">
        <v>155</v>
      </c>
      <c r="I56" t="s">
        <v>481</v>
      </c>
      <c r="J56" t="s">
        <v>41</v>
      </c>
      <c r="K56" s="9">
        <v>1.5986111111111112</v>
      </c>
      <c r="L56">
        <v>9</v>
      </c>
      <c r="M56">
        <v>22</v>
      </c>
      <c r="N56">
        <v>0.40899999999999997</v>
      </c>
      <c r="O56">
        <v>3</v>
      </c>
      <c r="P56">
        <v>8</v>
      </c>
      <c r="Q56">
        <v>0.375</v>
      </c>
      <c r="R56">
        <v>6</v>
      </c>
      <c r="S56">
        <v>14</v>
      </c>
      <c r="T56">
        <v>0.42899999999999999</v>
      </c>
      <c r="U56">
        <v>0.47699999999999998</v>
      </c>
      <c r="V56">
        <v>10</v>
      </c>
      <c r="W56">
        <v>11</v>
      </c>
      <c r="X56">
        <v>0.90900000000000003</v>
      </c>
      <c r="Y56">
        <v>0</v>
      </c>
      <c r="Z56">
        <v>5</v>
      </c>
      <c r="AA56">
        <v>5</v>
      </c>
      <c r="AB56">
        <v>6</v>
      </c>
      <c r="AC56">
        <v>0</v>
      </c>
      <c r="AD56">
        <v>1</v>
      </c>
      <c r="AE56">
        <v>3</v>
      </c>
      <c r="AF56">
        <v>3</v>
      </c>
      <c r="AG56">
        <v>31</v>
      </c>
      <c r="AH56">
        <v>21</v>
      </c>
      <c r="AI56">
        <v>3</v>
      </c>
    </row>
    <row r="57" spans="1:35" ht="21" x14ac:dyDescent="0.3">
      <c r="A57" t="s">
        <v>556</v>
      </c>
      <c r="B57" s="11">
        <v>14</v>
      </c>
      <c r="C57">
        <v>596</v>
      </c>
      <c r="D57">
        <v>56</v>
      </c>
      <c r="E57" s="4">
        <v>44604</v>
      </c>
      <c r="F57" t="s">
        <v>85</v>
      </c>
      <c r="G57" t="s">
        <v>37</v>
      </c>
      <c r="H57" t="s">
        <v>120</v>
      </c>
      <c r="I57" t="s">
        <v>518</v>
      </c>
      <c r="J57" t="s">
        <v>41</v>
      </c>
      <c r="K57" s="9">
        <v>1.7173611111111111</v>
      </c>
      <c r="L57">
        <v>10</v>
      </c>
      <c r="M57">
        <v>22</v>
      </c>
      <c r="N57">
        <v>0.45500000000000002</v>
      </c>
      <c r="O57">
        <v>3</v>
      </c>
      <c r="P57">
        <v>8</v>
      </c>
      <c r="Q57">
        <v>0.375</v>
      </c>
      <c r="R57">
        <v>7</v>
      </c>
      <c r="S57">
        <v>14</v>
      </c>
      <c r="T57">
        <v>0.5</v>
      </c>
      <c r="U57">
        <v>0.52300000000000002</v>
      </c>
      <c r="V57">
        <v>6</v>
      </c>
      <c r="W57">
        <v>6</v>
      </c>
      <c r="X57">
        <v>1</v>
      </c>
      <c r="Y57">
        <v>0</v>
      </c>
      <c r="Z57">
        <v>5</v>
      </c>
      <c r="AA57">
        <v>5</v>
      </c>
      <c r="AB57">
        <v>5</v>
      </c>
      <c r="AC57">
        <v>2</v>
      </c>
      <c r="AD57">
        <v>1</v>
      </c>
      <c r="AE57">
        <v>2</v>
      </c>
      <c r="AF57">
        <v>3</v>
      </c>
      <c r="AG57">
        <v>29</v>
      </c>
      <c r="AH57">
        <v>22.1</v>
      </c>
      <c r="AI57">
        <v>-5</v>
      </c>
    </row>
    <row r="58" spans="1:35" ht="21" x14ac:dyDescent="0.3">
      <c r="A58" t="s">
        <v>556</v>
      </c>
      <c r="B58" s="11">
        <v>14</v>
      </c>
      <c r="D58">
        <v>57</v>
      </c>
      <c r="E58" s="4">
        <v>44606</v>
      </c>
      <c r="F58" t="s">
        <v>85</v>
      </c>
      <c r="H58" t="s">
        <v>66</v>
      </c>
      <c r="I58" t="s">
        <v>519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  <c r="O58" t="s">
        <v>91</v>
      </c>
      <c r="P58" t="s">
        <v>91</v>
      </c>
      <c r="Q58" t="s">
        <v>91</v>
      </c>
      <c r="R58" t="s">
        <v>91</v>
      </c>
      <c r="S58" t="s">
        <v>91</v>
      </c>
      <c r="T58" t="s">
        <v>91</v>
      </c>
      <c r="U58" t="s">
        <v>91</v>
      </c>
      <c r="V58" t="s">
        <v>91</v>
      </c>
      <c r="W58" t="s">
        <v>91</v>
      </c>
      <c r="X58" t="s">
        <v>91</v>
      </c>
      <c r="Y58" t="s">
        <v>91</v>
      </c>
      <c r="Z58" t="s">
        <v>91</v>
      </c>
      <c r="AA58" t="s">
        <v>91</v>
      </c>
      <c r="AB58" t="s">
        <v>91</v>
      </c>
      <c r="AC58" t="s">
        <v>91</v>
      </c>
      <c r="AD58" t="s">
        <v>91</v>
      </c>
      <c r="AE58" t="s">
        <v>91</v>
      </c>
      <c r="AF58" t="s">
        <v>91</v>
      </c>
      <c r="AG58" t="s">
        <v>91</v>
      </c>
      <c r="AH58" t="s">
        <v>91</v>
      </c>
      <c r="AI58" t="s">
        <v>91</v>
      </c>
    </row>
    <row r="59" spans="1:35" ht="21" x14ac:dyDescent="0.3">
      <c r="A59" t="s">
        <v>556</v>
      </c>
      <c r="B59" s="11">
        <v>14</v>
      </c>
      <c r="D59">
        <v>58</v>
      </c>
      <c r="E59" s="4">
        <v>44608</v>
      </c>
      <c r="F59" t="s">
        <v>85</v>
      </c>
      <c r="G59" t="s">
        <v>37</v>
      </c>
      <c r="H59" t="s">
        <v>110</v>
      </c>
      <c r="I59" t="s">
        <v>520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  <c r="O59" t="s">
        <v>91</v>
      </c>
      <c r="P59" t="s">
        <v>91</v>
      </c>
      <c r="Q59" t="s">
        <v>91</v>
      </c>
      <c r="R59" t="s">
        <v>91</v>
      </c>
      <c r="S59" t="s">
        <v>91</v>
      </c>
      <c r="T59" t="s">
        <v>91</v>
      </c>
      <c r="U59" t="s">
        <v>91</v>
      </c>
      <c r="V59" t="s">
        <v>91</v>
      </c>
      <c r="W59" t="s">
        <v>91</v>
      </c>
      <c r="X59" t="s">
        <v>91</v>
      </c>
      <c r="Y59" t="s">
        <v>91</v>
      </c>
      <c r="Z59" t="s">
        <v>91</v>
      </c>
      <c r="AA59" t="s">
        <v>91</v>
      </c>
      <c r="AB59" t="s">
        <v>91</v>
      </c>
      <c r="AC59" t="s">
        <v>91</v>
      </c>
      <c r="AD59" t="s">
        <v>91</v>
      </c>
      <c r="AE59" t="s">
        <v>91</v>
      </c>
      <c r="AF59" t="s">
        <v>91</v>
      </c>
      <c r="AG59" t="s">
        <v>91</v>
      </c>
      <c r="AH59" t="s">
        <v>91</v>
      </c>
      <c r="AI59" t="s">
        <v>91</v>
      </c>
    </row>
    <row r="60" spans="1:35" ht="21" x14ac:dyDescent="0.3">
      <c r="A60" t="s">
        <v>556</v>
      </c>
      <c r="B60" s="11">
        <v>14</v>
      </c>
      <c r="D60">
        <v>59</v>
      </c>
      <c r="E60" s="4">
        <v>44609</v>
      </c>
      <c r="F60" t="s">
        <v>85</v>
      </c>
      <c r="H60" t="s">
        <v>155</v>
      </c>
      <c r="I60" t="s">
        <v>521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  <c r="O60" t="s">
        <v>91</v>
      </c>
      <c r="P60" t="s">
        <v>91</v>
      </c>
      <c r="Q60" t="s">
        <v>91</v>
      </c>
      <c r="R60" t="s">
        <v>91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91</v>
      </c>
      <c r="Y60" t="s">
        <v>91</v>
      </c>
      <c r="Z60" t="s">
        <v>91</v>
      </c>
      <c r="AA60" t="s">
        <v>91</v>
      </c>
      <c r="AB60" t="s">
        <v>91</v>
      </c>
      <c r="AC60" t="s">
        <v>91</v>
      </c>
      <c r="AD60" t="s">
        <v>91</v>
      </c>
      <c r="AE60" t="s">
        <v>91</v>
      </c>
      <c r="AF60" t="s">
        <v>91</v>
      </c>
      <c r="AG60" t="s">
        <v>91</v>
      </c>
      <c r="AH60" t="s">
        <v>91</v>
      </c>
      <c r="AI60" t="s">
        <v>91</v>
      </c>
    </row>
    <row r="61" spans="1:35" ht="21" x14ac:dyDescent="0.3">
      <c r="A61" t="s">
        <v>556</v>
      </c>
      <c r="B61" s="11">
        <v>14</v>
      </c>
      <c r="D61">
        <v>60</v>
      </c>
      <c r="E61" s="4">
        <v>44616</v>
      </c>
      <c r="F61" t="s">
        <v>85</v>
      </c>
      <c r="H61" t="s">
        <v>55</v>
      </c>
      <c r="I61" t="s">
        <v>522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  <c r="O61" t="s">
        <v>91</v>
      </c>
      <c r="P61" t="s">
        <v>91</v>
      </c>
      <c r="Q61" t="s">
        <v>91</v>
      </c>
      <c r="R61" t="s">
        <v>91</v>
      </c>
      <c r="S61" t="s">
        <v>91</v>
      </c>
      <c r="T61" t="s">
        <v>91</v>
      </c>
      <c r="U61" t="s">
        <v>91</v>
      </c>
      <c r="V61" t="s">
        <v>91</v>
      </c>
      <c r="W61" t="s">
        <v>91</v>
      </c>
      <c r="X61" t="s">
        <v>91</v>
      </c>
      <c r="Y61" t="s">
        <v>91</v>
      </c>
      <c r="Z61" t="s">
        <v>91</v>
      </c>
      <c r="AA61" t="s">
        <v>91</v>
      </c>
      <c r="AB61" t="s">
        <v>91</v>
      </c>
      <c r="AC61" t="s">
        <v>91</v>
      </c>
      <c r="AD61" t="s">
        <v>91</v>
      </c>
      <c r="AE61" t="s">
        <v>91</v>
      </c>
      <c r="AF61" t="s">
        <v>91</v>
      </c>
      <c r="AG61" t="s">
        <v>91</v>
      </c>
      <c r="AH61" t="s">
        <v>91</v>
      </c>
      <c r="AI61" t="s">
        <v>91</v>
      </c>
    </row>
    <row r="62" spans="1:35" ht="21" x14ac:dyDescent="0.3">
      <c r="A62" t="s">
        <v>556</v>
      </c>
      <c r="B62" s="11">
        <v>15</v>
      </c>
      <c r="C62">
        <v>597</v>
      </c>
      <c r="D62">
        <v>61</v>
      </c>
      <c r="E62" s="4">
        <v>44618</v>
      </c>
      <c r="F62" t="s">
        <v>85</v>
      </c>
      <c r="G62" t="s">
        <v>37</v>
      </c>
      <c r="H62" t="s">
        <v>126</v>
      </c>
      <c r="I62" t="s">
        <v>523</v>
      </c>
      <c r="J62" t="s">
        <v>41</v>
      </c>
      <c r="K62" s="9">
        <v>1.6312500000000001</v>
      </c>
      <c r="L62">
        <v>14</v>
      </c>
      <c r="M62">
        <v>26</v>
      </c>
      <c r="N62">
        <v>0.53800000000000003</v>
      </c>
      <c r="O62">
        <v>2</v>
      </c>
      <c r="P62">
        <v>6</v>
      </c>
      <c r="Q62">
        <v>0.33300000000000002</v>
      </c>
      <c r="R62">
        <v>12</v>
      </c>
      <c r="S62">
        <v>20</v>
      </c>
      <c r="T62">
        <v>0.6</v>
      </c>
      <c r="U62">
        <v>0.57699999999999996</v>
      </c>
      <c r="V62">
        <v>8</v>
      </c>
      <c r="W62">
        <v>9</v>
      </c>
      <c r="X62">
        <v>0.88900000000000001</v>
      </c>
      <c r="Y62">
        <v>0</v>
      </c>
      <c r="Z62">
        <v>5</v>
      </c>
      <c r="AA62">
        <v>5</v>
      </c>
      <c r="AB62">
        <v>5</v>
      </c>
      <c r="AC62">
        <v>2</v>
      </c>
      <c r="AD62">
        <v>0</v>
      </c>
      <c r="AE62">
        <v>2</v>
      </c>
      <c r="AF62">
        <v>3</v>
      </c>
      <c r="AG62">
        <v>38</v>
      </c>
      <c r="AH62">
        <v>28.8</v>
      </c>
      <c r="AI62">
        <v>4</v>
      </c>
    </row>
    <row r="63" spans="1:35" ht="21" x14ac:dyDescent="0.3">
      <c r="A63" t="s">
        <v>556</v>
      </c>
      <c r="B63" s="11">
        <v>15</v>
      </c>
      <c r="D63">
        <v>62</v>
      </c>
      <c r="E63" s="4">
        <v>44620</v>
      </c>
      <c r="F63" t="s">
        <v>85</v>
      </c>
      <c r="H63" t="s">
        <v>92</v>
      </c>
      <c r="I63" t="s">
        <v>524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  <c r="O63" t="s">
        <v>91</v>
      </c>
      <c r="P63" t="s">
        <v>91</v>
      </c>
      <c r="Q63" t="s">
        <v>91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t="s">
        <v>91</v>
      </c>
      <c r="X63" t="s">
        <v>91</v>
      </c>
      <c r="Y63" t="s">
        <v>91</v>
      </c>
      <c r="Z63" t="s">
        <v>91</v>
      </c>
      <c r="AA63" t="s">
        <v>91</v>
      </c>
      <c r="AB63" t="s">
        <v>91</v>
      </c>
      <c r="AC63" t="s">
        <v>91</v>
      </c>
      <c r="AD63" t="s">
        <v>91</v>
      </c>
      <c r="AE63" t="s">
        <v>91</v>
      </c>
      <c r="AF63" t="s">
        <v>91</v>
      </c>
      <c r="AG63" t="s">
        <v>91</v>
      </c>
      <c r="AH63" t="s">
        <v>91</v>
      </c>
      <c r="AI63" t="s">
        <v>91</v>
      </c>
    </row>
    <row r="64" spans="1:35" ht="21" x14ac:dyDescent="0.3">
      <c r="A64" t="s">
        <v>556</v>
      </c>
      <c r="B64" s="11">
        <v>15</v>
      </c>
      <c r="D64">
        <v>63</v>
      </c>
      <c r="E64" s="4">
        <v>44621</v>
      </c>
      <c r="F64" t="s">
        <v>85</v>
      </c>
      <c r="G64" t="s">
        <v>37</v>
      </c>
      <c r="H64" t="s">
        <v>92</v>
      </c>
      <c r="I64" t="s">
        <v>525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  <c r="O64" t="s">
        <v>91</v>
      </c>
      <c r="P64" t="s">
        <v>91</v>
      </c>
      <c r="Q64" t="s">
        <v>91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t="s">
        <v>91</v>
      </c>
      <c r="X64" t="s">
        <v>91</v>
      </c>
      <c r="Y64" t="s">
        <v>91</v>
      </c>
      <c r="Z64" t="s">
        <v>91</v>
      </c>
      <c r="AA64" t="s">
        <v>91</v>
      </c>
      <c r="AB64" t="s">
        <v>91</v>
      </c>
      <c r="AC64" t="s">
        <v>91</v>
      </c>
      <c r="AD64" t="s">
        <v>91</v>
      </c>
      <c r="AE64" t="s">
        <v>91</v>
      </c>
      <c r="AF64" t="s">
        <v>91</v>
      </c>
      <c r="AG64" t="s">
        <v>91</v>
      </c>
      <c r="AH64" t="s">
        <v>91</v>
      </c>
      <c r="AI64" t="s">
        <v>91</v>
      </c>
    </row>
    <row r="65" spans="1:35" ht="21" x14ac:dyDescent="0.3">
      <c r="A65" t="s">
        <v>556</v>
      </c>
      <c r="B65" s="11">
        <v>15</v>
      </c>
      <c r="D65">
        <v>64</v>
      </c>
      <c r="E65" s="4">
        <v>44623</v>
      </c>
      <c r="F65" t="s">
        <v>85</v>
      </c>
      <c r="H65" t="s">
        <v>120</v>
      </c>
      <c r="I65" t="s">
        <v>236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  <c r="O65" t="s">
        <v>91</v>
      </c>
      <c r="P65" t="s">
        <v>91</v>
      </c>
      <c r="Q65" t="s">
        <v>91</v>
      </c>
      <c r="R65" t="s">
        <v>91</v>
      </c>
      <c r="S65" t="s">
        <v>91</v>
      </c>
      <c r="T65" t="s">
        <v>91</v>
      </c>
      <c r="U65" t="s">
        <v>91</v>
      </c>
      <c r="V65" t="s">
        <v>91</v>
      </c>
      <c r="W65" t="s">
        <v>91</v>
      </c>
      <c r="X65" t="s">
        <v>91</v>
      </c>
      <c r="Y65" t="s">
        <v>91</v>
      </c>
      <c r="Z65" t="s">
        <v>91</v>
      </c>
      <c r="AA65" t="s">
        <v>91</v>
      </c>
      <c r="AB65" t="s">
        <v>91</v>
      </c>
      <c r="AC65" t="s">
        <v>91</v>
      </c>
      <c r="AD65" t="s">
        <v>91</v>
      </c>
      <c r="AE65" t="s">
        <v>91</v>
      </c>
      <c r="AF65" t="s">
        <v>91</v>
      </c>
      <c r="AG65" t="s">
        <v>91</v>
      </c>
      <c r="AH65" t="s">
        <v>91</v>
      </c>
      <c r="AI65" t="s">
        <v>91</v>
      </c>
    </row>
    <row r="66" spans="1:35" ht="21" x14ac:dyDescent="0.3">
      <c r="A66" t="s">
        <v>556</v>
      </c>
      <c r="B66" s="11">
        <v>16</v>
      </c>
      <c r="C66">
        <v>598</v>
      </c>
      <c r="D66">
        <v>65</v>
      </c>
      <c r="E66" s="4">
        <v>44626</v>
      </c>
      <c r="F66" t="s">
        <v>85</v>
      </c>
      <c r="G66" t="s">
        <v>37</v>
      </c>
      <c r="H66" t="s">
        <v>55</v>
      </c>
      <c r="I66" t="s">
        <v>526</v>
      </c>
      <c r="J66" t="s">
        <v>41</v>
      </c>
      <c r="K66" s="9">
        <v>1.5513888888888889</v>
      </c>
      <c r="L66">
        <v>8</v>
      </c>
      <c r="M66">
        <v>18</v>
      </c>
      <c r="N66">
        <v>0.44400000000000001</v>
      </c>
      <c r="O66">
        <v>2</v>
      </c>
      <c r="P66">
        <v>6</v>
      </c>
      <c r="Q66">
        <v>0.33300000000000002</v>
      </c>
      <c r="R66">
        <v>6</v>
      </c>
      <c r="S66">
        <v>12</v>
      </c>
      <c r="T66">
        <v>0.5</v>
      </c>
      <c r="U66">
        <v>0.5</v>
      </c>
      <c r="V66">
        <v>1</v>
      </c>
      <c r="W66">
        <v>1</v>
      </c>
      <c r="X66">
        <v>1</v>
      </c>
      <c r="Y66">
        <v>1</v>
      </c>
      <c r="Z66">
        <v>3</v>
      </c>
      <c r="AA66">
        <v>4</v>
      </c>
      <c r="AB66">
        <v>6</v>
      </c>
      <c r="AC66">
        <v>3</v>
      </c>
      <c r="AD66">
        <v>0</v>
      </c>
      <c r="AE66">
        <v>3</v>
      </c>
      <c r="AF66">
        <v>3</v>
      </c>
      <c r="AG66">
        <v>19</v>
      </c>
      <c r="AH66">
        <v>14.2</v>
      </c>
      <c r="AI66">
        <v>-5</v>
      </c>
    </row>
    <row r="67" spans="1:35" ht="21" x14ac:dyDescent="0.3">
      <c r="A67" t="s">
        <v>556</v>
      </c>
      <c r="B67" s="11">
        <v>17</v>
      </c>
      <c r="C67">
        <v>599</v>
      </c>
      <c r="D67">
        <v>66</v>
      </c>
      <c r="E67" s="4">
        <v>44628</v>
      </c>
      <c r="F67" t="s">
        <v>85</v>
      </c>
      <c r="G67" t="s">
        <v>37</v>
      </c>
      <c r="H67" t="s">
        <v>72</v>
      </c>
      <c r="I67" t="s">
        <v>527</v>
      </c>
      <c r="J67" t="s">
        <v>41</v>
      </c>
      <c r="K67" s="9">
        <v>1.5625</v>
      </c>
      <c r="L67">
        <v>15</v>
      </c>
      <c r="M67">
        <v>19</v>
      </c>
      <c r="N67">
        <v>0.78900000000000003</v>
      </c>
      <c r="O67">
        <v>9</v>
      </c>
      <c r="P67">
        <v>12</v>
      </c>
      <c r="Q67">
        <v>0.75</v>
      </c>
      <c r="R67">
        <v>6</v>
      </c>
      <c r="S67">
        <v>7</v>
      </c>
      <c r="T67">
        <v>0.85699999999999998</v>
      </c>
      <c r="U67">
        <v>1.026</v>
      </c>
      <c r="V67">
        <v>11</v>
      </c>
      <c r="W67">
        <v>13</v>
      </c>
      <c r="X67">
        <v>0.84599999999999997</v>
      </c>
      <c r="Y67">
        <v>0</v>
      </c>
      <c r="Z67">
        <v>3</v>
      </c>
      <c r="AA67">
        <v>3</v>
      </c>
      <c r="AB67">
        <v>6</v>
      </c>
      <c r="AC67">
        <v>1</v>
      </c>
      <c r="AD67">
        <v>1</v>
      </c>
      <c r="AE67">
        <v>3</v>
      </c>
      <c r="AF67">
        <v>4</v>
      </c>
      <c r="AG67">
        <v>50</v>
      </c>
      <c r="AH67">
        <v>44.1</v>
      </c>
      <c r="AI67">
        <v>14</v>
      </c>
    </row>
    <row r="68" spans="1:35" ht="21" x14ac:dyDescent="0.3">
      <c r="A68" t="s">
        <v>556</v>
      </c>
      <c r="B68" s="11">
        <v>18</v>
      </c>
      <c r="C68">
        <v>600</v>
      </c>
      <c r="D68">
        <v>67</v>
      </c>
      <c r="E68" s="4">
        <v>44630</v>
      </c>
      <c r="F68" t="s">
        <v>85</v>
      </c>
      <c r="G68" t="s">
        <v>37</v>
      </c>
      <c r="H68" t="s">
        <v>94</v>
      </c>
      <c r="I68" t="s">
        <v>528</v>
      </c>
      <c r="J68" t="s">
        <v>41</v>
      </c>
      <c r="K68" s="9">
        <v>1.2618055555555556</v>
      </c>
      <c r="L68">
        <v>8</v>
      </c>
      <c r="M68">
        <v>17</v>
      </c>
      <c r="N68">
        <v>0.47099999999999997</v>
      </c>
      <c r="O68">
        <v>5</v>
      </c>
      <c r="P68">
        <v>11</v>
      </c>
      <c r="Q68">
        <v>0.45500000000000002</v>
      </c>
      <c r="R68">
        <v>3</v>
      </c>
      <c r="S68">
        <v>6</v>
      </c>
      <c r="T68">
        <v>0.5</v>
      </c>
      <c r="U68">
        <v>0.61799999999999999</v>
      </c>
      <c r="V68">
        <v>1</v>
      </c>
      <c r="W68">
        <v>2</v>
      </c>
      <c r="X68">
        <v>0.5</v>
      </c>
      <c r="Y68">
        <v>1</v>
      </c>
      <c r="Z68">
        <v>3</v>
      </c>
      <c r="AA68">
        <v>4</v>
      </c>
      <c r="AB68">
        <v>5</v>
      </c>
      <c r="AC68">
        <v>1</v>
      </c>
      <c r="AD68">
        <v>2</v>
      </c>
      <c r="AE68">
        <v>1</v>
      </c>
      <c r="AF68">
        <v>3</v>
      </c>
      <c r="AG68">
        <v>22</v>
      </c>
      <c r="AH68">
        <v>18.2</v>
      </c>
      <c r="AI68">
        <v>27</v>
      </c>
    </row>
    <row r="69" spans="1:35" ht="21" x14ac:dyDescent="0.3">
      <c r="A69" t="s">
        <v>556</v>
      </c>
      <c r="B69" s="11">
        <v>18</v>
      </c>
      <c r="D69">
        <v>68</v>
      </c>
      <c r="E69" s="4">
        <v>44633</v>
      </c>
      <c r="F69" t="s">
        <v>85</v>
      </c>
      <c r="H69" t="s">
        <v>110</v>
      </c>
      <c r="I69" t="s">
        <v>529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  <c r="O69" t="s">
        <v>91</v>
      </c>
      <c r="P69" t="s">
        <v>91</v>
      </c>
      <c r="Q69" t="s">
        <v>91</v>
      </c>
      <c r="R69" t="s">
        <v>91</v>
      </c>
      <c r="S69" t="s">
        <v>91</v>
      </c>
      <c r="T69" t="s">
        <v>91</v>
      </c>
      <c r="U69" t="s">
        <v>91</v>
      </c>
      <c r="V69" t="s">
        <v>91</v>
      </c>
      <c r="W69" t="s">
        <v>91</v>
      </c>
      <c r="X69" t="s">
        <v>91</v>
      </c>
      <c r="Y69" t="s">
        <v>91</v>
      </c>
      <c r="Z69" t="s">
        <v>91</v>
      </c>
      <c r="AA69" t="s">
        <v>91</v>
      </c>
      <c r="AB69" t="s">
        <v>91</v>
      </c>
      <c r="AC69" t="s">
        <v>91</v>
      </c>
      <c r="AD69" t="s">
        <v>91</v>
      </c>
      <c r="AE69" t="s">
        <v>91</v>
      </c>
      <c r="AF69" t="s">
        <v>91</v>
      </c>
      <c r="AG69" t="s">
        <v>91</v>
      </c>
      <c r="AH69" t="s">
        <v>91</v>
      </c>
      <c r="AI69" t="s">
        <v>91</v>
      </c>
    </row>
    <row r="70" spans="1:35" ht="21" x14ac:dyDescent="0.3">
      <c r="A70" t="s">
        <v>556</v>
      </c>
      <c r="B70" s="11">
        <v>19</v>
      </c>
      <c r="C70">
        <v>601</v>
      </c>
      <c r="D70">
        <v>69</v>
      </c>
      <c r="E70" s="4">
        <v>44635</v>
      </c>
      <c r="F70" t="s">
        <v>85</v>
      </c>
      <c r="G70" t="s">
        <v>37</v>
      </c>
      <c r="H70" t="s">
        <v>104</v>
      </c>
      <c r="I70" t="s">
        <v>530</v>
      </c>
      <c r="J70" t="s">
        <v>41</v>
      </c>
      <c r="K70" s="9">
        <v>1.4555555555555555</v>
      </c>
      <c r="L70">
        <v>20</v>
      </c>
      <c r="M70">
        <v>31</v>
      </c>
      <c r="N70">
        <v>0.64500000000000002</v>
      </c>
      <c r="O70">
        <v>8</v>
      </c>
      <c r="P70">
        <v>12</v>
      </c>
      <c r="Q70">
        <v>0.66700000000000004</v>
      </c>
      <c r="R70">
        <v>12</v>
      </c>
      <c r="S70">
        <v>19</v>
      </c>
      <c r="T70">
        <v>0.63200000000000001</v>
      </c>
      <c r="U70">
        <v>0.77400000000000002</v>
      </c>
      <c r="V70">
        <v>12</v>
      </c>
      <c r="W70">
        <v>13</v>
      </c>
      <c r="X70">
        <v>0.92300000000000004</v>
      </c>
      <c r="Y70">
        <v>2</v>
      </c>
      <c r="Z70">
        <v>4</v>
      </c>
      <c r="AA70">
        <v>6</v>
      </c>
      <c r="AB70">
        <v>4</v>
      </c>
      <c r="AC70">
        <v>4</v>
      </c>
      <c r="AD70">
        <v>1</v>
      </c>
      <c r="AE70">
        <v>1</v>
      </c>
      <c r="AF70">
        <v>3</v>
      </c>
      <c r="AG70">
        <v>60</v>
      </c>
      <c r="AH70">
        <v>53.8</v>
      </c>
      <c r="AI70">
        <v>36</v>
      </c>
    </row>
    <row r="71" spans="1:35" ht="21" x14ac:dyDescent="0.3">
      <c r="A71" t="s">
        <v>556</v>
      </c>
      <c r="B71" s="11">
        <v>19</v>
      </c>
      <c r="D71">
        <v>70</v>
      </c>
      <c r="E71" s="4">
        <v>44636</v>
      </c>
      <c r="F71" t="s">
        <v>85</v>
      </c>
      <c r="H71" t="s">
        <v>49</v>
      </c>
      <c r="I71" t="s">
        <v>531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  <c r="O71" t="s">
        <v>91</v>
      </c>
      <c r="P71" t="s">
        <v>91</v>
      </c>
      <c r="Q71" t="s">
        <v>91</v>
      </c>
      <c r="R71" t="s">
        <v>91</v>
      </c>
      <c r="S71" t="s">
        <v>91</v>
      </c>
      <c r="T71" t="s">
        <v>91</v>
      </c>
      <c r="U71" t="s">
        <v>91</v>
      </c>
      <c r="V71" t="s">
        <v>91</v>
      </c>
      <c r="W71" t="s">
        <v>91</v>
      </c>
      <c r="X71" t="s">
        <v>91</v>
      </c>
      <c r="Y71" t="s">
        <v>91</v>
      </c>
      <c r="Z71" t="s">
        <v>91</v>
      </c>
      <c r="AA71" t="s">
        <v>91</v>
      </c>
      <c r="AB71" t="s">
        <v>91</v>
      </c>
      <c r="AC71" t="s">
        <v>91</v>
      </c>
      <c r="AD71" t="s">
        <v>91</v>
      </c>
      <c r="AE71" t="s">
        <v>91</v>
      </c>
      <c r="AF71" t="s">
        <v>91</v>
      </c>
      <c r="AG71" t="s">
        <v>91</v>
      </c>
      <c r="AH71" t="s">
        <v>91</v>
      </c>
      <c r="AI71" t="s">
        <v>91</v>
      </c>
    </row>
    <row r="72" spans="1:35" ht="21" x14ac:dyDescent="0.3">
      <c r="A72" t="s">
        <v>556</v>
      </c>
      <c r="B72" s="11">
        <v>19</v>
      </c>
      <c r="D72">
        <v>71</v>
      </c>
      <c r="E72" s="4">
        <v>44638</v>
      </c>
      <c r="F72" t="s">
        <v>85</v>
      </c>
      <c r="H72" t="s">
        <v>96</v>
      </c>
      <c r="I72" t="s">
        <v>532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  <c r="O72" t="s">
        <v>91</v>
      </c>
      <c r="P72" t="s">
        <v>91</v>
      </c>
      <c r="Q72" t="s">
        <v>91</v>
      </c>
      <c r="R72" t="s">
        <v>91</v>
      </c>
      <c r="S72" t="s">
        <v>91</v>
      </c>
      <c r="T72" t="s">
        <v>91</v>
      </c>
      <c r="U72" t="s">
        <v>91</v>
      </c>
      <c r="V72" t="s">
        <v>91</v>
      </c>
      <c r="W72" t="s">
        <v>91</v>
      </c>
      <c r="X72" t="s">
        <v>91</v>
      </c>
      <c r="Y72" t="s">
        <v>91</v>
      </c>
      <c r="Z72" t="s">
        <v>91</v>
      </c>
      <c r="AA72" t="s">
        <v>91</v>
      </c>
      <c r="AB72" t="s">
        <v>91</v>
      </c>
      <c r="AC72" t="s">
        <v>91</v>
      </c>
      <c r="AD72" t="s">
        <v>91</v>
      </c>
      <c r="AE72" t="s">
        <v>91</v>
      </c>
      <c r="AF72" t="s">
        <v>91</v>
      </c>
      <c r="AG72" t="s">
        <v>91</v>
      </c>
      <c r="AH72" t="s">
        <v>91</v>
      </c>
      <c r="AI72" t="s">
        <v>91</v>
      </c>
    </row>
    <row r="73" spans="1:35" ht="21" x14ac:dyDescent="0.3">
      <c r="A73" t="s">
        <v>556</v>
      </c>
      <c r="B73" s="11">
        <v>19</v>
      </c>
      <c r="D73">
        <v>72</v>
      </c>
      <c r="E73" s="4">
        <v>44641</v>
      </c>
      <c r="F73" t="s">
        <v>85</v>
      </c>
      <c r="H73" t="s">
        <v>118</v>
      </c>
      <c r="I73" t="s">
        <v>203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  <c r="O73" t="s">
        <v>91</v>
      </c>
      <c r="P73" t="s">
        <v>91</v>
      </c>
      <c r="Q73" t="s">
        <v>91</v>
      </c>
      <c r="R73" t="s">
        <v>91</v>
      </c>
      <c r="S73" t="s">
        <v>91</v>
      </c>
      <c r="T73" t="s">
        <v>91</v>
      </c>
      <c r="U73" t="s">
        <v>91</v>
      </c>
      <c r="V73" t="s">
        <v>91</v>
      </c>
      <c r="W73" t="s">
        <v>91</v>
      </c>
      <c r="X73" t="s">
        <v>91</v>
      </c>
      <c r="Y73" t="s">
        <v>91</v>
      </c>
      <c r="Z73" t="s">
        <v>91</v>
      </c>
      <c r="AA73" t="s">
        <v>91</v>
      </c>
      <c r="AB73" t="s">
        <v>91</v>
      </c>
      <c r="AC73" t="s">
        <v>91</v>
      </c>
      <c r="AD73" t="s">
        <v>91</v>
      </c>
      <c r="AE73" t="s">
        <v>91</v>
      </c>
      <c r="AF73" t="s">
        <v>91</v>
      </c>
      <c r="AG73" t="s">
        <v>91</v>
      </c>
      <c r="AH73" t="s">
        <v>91</v>
      </c>
      <c r="AI73" t="s">
        <v>91</v>
      </c>
    </row>
    <row r="74" spans="1:35" ht="21" x14ac:dyDescent="0.3">
      <c r="A74" t="s">
        <v>556</v>
      </c>
      <c r="B74" s="11">
        <v>20</v>
      </c>
      <c r="C74">
        <v>602</v>
      </c>
      <c r="D74">
        <v>73</v>
      </c>
      <c r="E74" s="4">
        <v>44643</v>
      </c>
      <c r="F74" t="s">
        <v>85</v>
      </c>
      <c r="G74" t="s">
        <v>37</v>
      </c>
      <c r="H74" t="s">
        <v>42</v>
      </c>
      <c r="I74" t="s">
        <v>533</v>
      </c>
      <c r="J74" t="s">
        <v>41</v>
      </c>
      <c r="K74" s="9">
        <v>1.8256944444444445</v>
      </c>
      <c r="L74">
        <v>15</v>
      </c>
      <c r="M74">
        <v>27</v>
      </c>
      <c r="N74">
        <v>0.55600000000000005</v>
      </c>
      <c r="O74">
        <v>6</v>
      </c>
      <c r="P74">
        <v>11</v>
      </c>
      <c r="Q74">
        <v>0.54500000000000004</v>
      </c>
      <c r="R74">
        <v>9</v>
      </c>
      <c r="S74">
        <v>16</v>
      </c>
      <c r="T74">
        <v>0.56299999999999994</v>
      </c>
      <c r="U74">
        <v>0.66700000000000004</v>
      </c>
      <c r="V74">
        <v>7</v>
      </c>
      <c r="W74">
        <v>7</v>
      </c>
      <c r="X74">
        <v>1</v>
      </c>
      <c r="Y74">
        <v>0</v>
      </c>
      <c r="Z74">
        <v>2</v>
      </c>
      <c r="AA74">
        <v>2</v>
      </c>
      <c r="AB74">
        <v>8</v>
      </c>
      <c r="AC74">
        <v>1</v>
      </c>
      <c r="AD74">
        <v>1</v>
      </c>
      <c r="AE74">
        <v>3</v>
      </c>
      <c r="AF74">
        <v>5</v>
      </c>
      <c r="AG74">
        <v>43</v>
      </c>
      <c r="AH74">
        <v>33</v>
      </c>
      <c r="AI74">
        <v>-5</v>
      </c>
    </row>
    <row r="75" spans="1:35" ht="21" x14ac:dyDescent="0.3">
      <c r="A75" t="s">
        <v>556</v>
      </c>
      <c r="B75" s="11">
        <v>21</v>
      </c>
      <c r="C75">
        <v>603</v>
      </c>
      <c r="D75">
        <v>74</v>
      </c>
      <c r="E75" s="4">
        <v>44646</v>
      </c>
      <c r="F75" t="s">
        <v>85</v>
      </c>
      <c r="G75" t="s">
        <v>37</v>
      </c>
      <c r="H75" t="s">
        <v>120</v>
      </c>
      <c r="I75" t="s">
        <v>534</v>
      </c>
      <c r="J75" t="s">
        <v>41</v>
      </c>
      <c r="K75" s="9">
        <v>1.2625</v>
      </c>
      <c r="L75">
        <v>4</v>
      </c>
      <c r="M75">
        <v>11</v>
      </c>
      <c r="N75">
        <v>0.36399999999999999</v>
      </c>
      <c r="O75">
        <v>1</v>
      </c>
      <c r="P75">
        <v>5</v>
      </c>
      <c r="Q75">
        <v>0.2</v>
      </c>
      <c r="R75">
        <v>3</v>
      </c>
      <c r="S75">
        <v>6</v>
      </c>
      <c r="T75">
        <v>0.5</v>
      </c>
      <c r="U75">
        <v>0.40899999999999997</v>
      </c>
      <c r="V75">
        <v>2</v>
      </c>
      <c r="W75">
        <v>2</v>
      </c>
      <c r="X75">
        <v>1</v>
      </c>
      <c r="Y75">
        <v>0</v>
      </c>
      <c r="Z75">
        <v>4</v>
      </c>
      <c r="AA75">
        <v>4</v>
      </c>
      <c r="AB75">
        <v>6</v>
      </c>
      <c r="AC75">
        <v>2</v>
      </c>
      <c r="AD75">
        <v>0</v>
      </c>
      <c r="AE75">
        <v>1</v>
      </c>
      <c r="AF75">
        <v>2</v>
      </c>
      <c r="AG75">
        <v>11</v>
      </c>
      <c r="AH75">
        <v>10.5</v>
      </c>
      <c r="AI75">
        <v>20</v>
      </c>
    </row>
    <row r="76" spans="1:35" ht="21" x14ac:dyDescent="0.3">
      <c r="A76" t="s">
        <v>556</v>
      </c>
      <c r="B76" s="11">
        <v>22</v>
      </c>
      <c r="C76">
        <v>604</v>
      </c>
      <c r="D76">
        <v>75</v>
      </c>
      <c r="E76" s="4">
        <v>44647</v>
      </c>
      <c r="F76" t="s">
        <v>85</v>
      </c>
      <c r="H76" t="s">
        <v>72</v>
      </c>
      <c r="I76" t="s">
        <v>535</v>
      </c>
      <c r="J76" t="s">
        <v>41</v>
      </c>
      <c r="K76" s="9">
        <v>1.6881944444444446</v>
      </c>
      <c r="L76">
        <v>6</v>
      </c>
      <c r="M76">
        <v>22</v>
      </c>
      <c r="N76">
        <v>0.27300000000000002</v>
      </c>
      <c r="O76">
        <v>1</v>
      </c>
      <c r="P76">
        <v>9</v>
      </c>
      <c r="Q76">
        <v>0.111</v>
      </c>
      <c r="R76">
        <v>5</v>
      </c>
      <c r="S76">
        <v>13</v>
      </c>
      <c r="T76">
        <v>0.38500000000000001</v>
      </c>
      <c r="U76">
        <v>0.29499999999999998</v>
      </c>
      <c r="V76">
        <v>3</v>
      </c>
      <c r="W76">
        <v>4</v>
      </c>
      <c r="X76">
        <v>0.75</v>
      </c>
      <c r="Y76">
        <v>1</v>
      </c>
      <c r="Z76">
        <v>1</v>
      </c>
      <c r="AA76">
        <v>2</v>
      </c>
      <c r="AB76">
        <v>11</v>
      </c>
      <c r="AC76">
        <v>0</v>
      </c>
      <c r="AD76">
        <v>2</v>
      </c>
      <c r="AE76">
        <v>2</v>
      </c>
      <c r="AF76">
        <v>2</v>
      </c>
      <c r="AG76">
        <v>16</v>
      </c>
      <c r="AH76">
        <v>9.9</v>
      </c>
      <c r="AI76">
        <v>-15</v>
      </c>
    </row>
    <row r="77" spans="1:35" ht="21" x14ac:dyDescent="0.3">
      <c r="A77" t="s">
        <v>556</v>
      </c>
      <c r="B77" s="11">
        <v>23</v>
      </c>
      <c r="C77">
        <v>605</v>
      </c>
      <c r="D77">
        <v>76</v>
      </c>
      <c r="E77" s="4">
        <v>44649</v>
      </c>
      <c r="F77" t="s">
        <v>85</v>
      </c>
      <c r="H77" t="s">
        <v>89</v>
      </c>
      <c r="I77" t="s">
        <v>536</v>
      </c>
      <c r="J77" t="s">
        <v>41</v>
      </c>
      <c r="K77" s="9">
        <v>1.6506944444444445</v>
      </c>
      <c r="L77">
        <v>7</v>
      </c>
      <c r="M77">
        <v>18</v>
      </c>
      <c r="N77">
        <v>0.38900000000000001</v>
      </c>
      <c r="O77">
        <v>4</v>
      </c>
      <c r="P77">
        <v>8</v>
      </c>
      <c r="Q77">
        <v>0.5</v>
      </c>
      <c r="R77">
        <v>3</v>
      </c>
      <c r="S77">
        <v>10</v>
      </c>
      <c r="T77">
        <v>0.3</v>
      </c>
      <c r="U77">
        <v>0.5</v>
      </c>
      <c r="V77">
        <v>6</v>
      </c>
      <c r="W77">
        <v>6</v>
      </c>
      <c r="X77">
        <v>1</v>
      </c>
      <c r="Y77">
        <v>0</v>
      </c>
      <c r="Z77">
        <v>1</v>
      </c>
      <c r="AA77">
        <v>1</v>
      </c>
      <c r="AB77">
        <v>4</v>
      </c>
      <c r="AC77">
        <v>1</v>
      </c>
      <c r="AD77">
        <v>0</v>
      </c>
      <c r="AE77">
        <v>6</v>
      </c>
      <c r="AF77">
        <v>4</v>
      </c>
      <c r="AG77">
        <v>24</v>
      </c>
      <c r="AH77">
        <v>10.7</v>
      </c>
      <c r="AI77">
        <v>6</v>
      </c>
    </row>
    <row r="78" spans="1:35" ht="21" x14ac:dyDescent="0.3">
      <c r="A78" t="s">
        <v>556</v>
      </c>
      <c r="B78" s="11">
        <v>24</v>
      </c>
      <c r="C78">
        <v>606</v>
      </c>
      <c r="D78">
        <v>77</v>
      </c>
      <c r="E78" s="4">
        <v>44651</v>
      </c>
      <c r="F78" t="s">
        <v>85</v>
      </c>
      <c r="H78" t="s">
        <v>126</v>
      </c>
      <c r="I78" t="s">
        <v>537</v>
      </c>
      <c r="J78" t="s">
        <v>41</v>
      </c>
      <c r="K78" s="9">
        <v>1.8631944444444444</v>
      </c>
      <c r="L78">
        <v>9</v>
      </c>
      <c r="M78">
        <v>22</v>
      </c>
      <c r="N78">
        <v>0.40899999999999997</v>
      </c>
      <c r="O78">
        <v>4</v>
      </c>
      <c r="P78">
        <v>9</v>
      </c>
      <c r="Q78">
        <v>0.44400000000000001</v>
      </c>
      <c r="R78">
        <v>5</v>
      </c>
      <c r="S78">
        <v>13</v>
      </c>
      <c r="T78">
        <v>0.38500000000000001</v>
      </c>
      <c r="U78">
        <v>0.5</v>
      </c>
      <c r="V78">
        <v>3</v>
      </c>
      <c r="W78">
        <v>3</v>
      </c>
      <c r="X78">
        <v>1</v>
      </c>
      <c r="Y78">
        <v>0</v>
      </c>
      <c r="Z78">
        <v>3</v>
      </c>
      <c r="AA78">
        <v>3</v>
      </c>
      <c r="AB78">
        <v>5</v>
      </c>
      <c r="AC78">
        <v>2</v>
      </c>
      <c r="AD78">
        <v>0</v>
      </c>
      <c r="AE78">
        <v>3</v>
      </c>
      <c r="AF78">
        <v>2</v>
      </c>
      <c r="AG78">
        <v>25</v>
      </c>
      <c r="AH78">
        <v>15.8</v>
      </c>
      <c r="AI78">
        <v>-2</v>
      </c>
    </row>
    <row r="79" spans="1:35" ht="21" x14ac:dyDescent="0.3">
      <c r="A79" t="s">
        <v>556</v>
      </c>
      <c r="B79" s="11">
        <v>25</v>
      </c>
      <c r="C79">
        <v>607</v>
      </c>
      <c r="D79">
        <v>78</v>
      </c>
      <c r="E79" s="4">
        <v>44653</v>
      </c>
      <c r="F79" t="s">
        <v>85</v>
      </c>
      <c r="G79" t="s">
        <v>37</v>
      </c>
      <c r="H79" t="s">
        <v>78</v>
      </c>
      <c r="I79" t="s">
        <v>223</v>
      </c>
      <c r="J79" t="s">
        <v>41</v>
      </c>
      <c r="K79" s="9">
        <v>1.8534722222222222</v>
      </c>
      <c r="L79">
        <v>12</v>
      </c>
      <c r="M79">
        <v>32</v>
      </c>
      <c r="N79">
        <v>0.375</v>
      </c>
      <c r="O79">
        <v>7</v>
      </c>
      <c r="P79">
        <v>14</v>
      </c>
      <c r="Q79">
        <v>0.5</v>
      </c>
      <c r="R79">
        <v>5</v>
      </c>
      <c r="S79">
        <v>18</v>
      </c>
      <c r="T79">
        <v>0.27800000000000002</v>
      </c>
      <c r="U79">
        <v>0.48399999999999999</v>
      </c>
      <c r="V79">
        <v>0</v>
      </c>
      <c r="W79">
        <v>0</v>
      </c>
      <c r="Y79">
        <v>0</v>
      </c>
      <c r="Z79">
        <v>2</v>
      </c>
      <c r="AA79">
        <v>2</v>
      </c>
      <c r="AB79">
        <v>6</v>
      </c>
      <c r="AC79">
        <v>1</v>
      </c>
      <c r="AD79">
        <v>0</v>
      </c>
      <c r="AE79">
        <v>2</v>
      </c>
      <c r="AF79">
        <v>5</v>
      </c>
      <c r="AG79">
        <v>31</v>
      </c>
      <c r="AH79">
        <v>15.2</v>
      </c>
      <c r="AI79">
        <v>-6</v>
      </c>
    </row>
    <row r="80" spans="1:35" ht="21" x14ac:dyDescent="0.3">
      <c r="A80" t="s">
        <v>556</v>
      </c>
      <c r="B80" s="11">
        <v>26</v>
      </c>
      <c r="C80">
        <v>608</v>
      </c>
      <c r="D80">
        <v>79</v>
      </c>
      <c r="E80" s="4">
        <v>44656</v>
      </c>
      <c r="F80" t="s">
        <v>85</v>
      </c>
      <c r="H80" t="s">
        <v>76</v>
      </c>
      <c r="I80" t="s">
        <v>538</v>
      </c>
      <c r="J80" t="s">
        <v>41</v>
      </c>
      <c r="K80" s="9">
        <v>1.6777777777777778</v>
      </c>
      <c r="L80">
        <v>13</v>
      </c>
      <c r="M80">
        <v>24</v>
      </c>
      <c r="N80">
        <v>0.54200000000000004</v>
      </c>
      <c r="O80">
        <v>8</v>
      </c>
      <c r="P80">
        <v>16</v>
      </c>
      <c r="Q80">
        <v>0.5</v>
      </c>
      <c r="R80">
        <v>5</v>
      </c>
      <c r="S80">
        <v>8</v>
      </c>
      <c r="T80">
        <v>0.625</v>
      </c>
      <c r="U80">
        <v>0.70799999999999996</v>
      </c>
      <c r="V80">
        <v>8</v>
      </c>
      <c r="W80">
        <v>8</v>
      </c>
      <c r="X80">
        <v>1</v>
      </c>
      <c r="Y80">
        <v>0</v>
      </c>
      <c r="Z80">
        <v>3</v>
      </c>
      <c r="AA80">
        <v>3</v>
      </c>
      <c r="AB80">
        <v>6</v>
      </c>
      <c r="AC80">
        <v>2</v>
      </c>
      <c r="AD80">
        <v>1</v>
      </c>
      <c r="AE80">
        <v>4</v>
      </c>
      <c r="AF80">
        <v>2</v>
      </c>
      <c r="AG80">
        <v>42</v>
      </c>
      <c r="AH80">
        <v>33.4</v>
      </c>
      <c r="AI80">
        <v>21</v>
      </c>
    </row>
    <row r="81" spans="1:35" ht="21" x14ac:dyDescent="0.3">
      <c r="A81" t="s">
        <v>556</v>
      </c>
      <c r="B81" s="11">
        <v>27</v>
      </c>
      <c r="C81">
        <v>609</v>
      </c>
      <c r="D81">
        <v>80</v>
      </c>
      <c r="E81" s="4">
        <v>44657</v>
      </c>
      <c r="F81" t="s">
        <v>85</v>
      </c>
      <c r="G81" t="s">
        <v>37</v>
      </c>
      <c r="H81" t="s">
        <v>110</v>
      </c>
      <c r="I81" t="s">
        <v>140</v>
      </c>
      <c r="J81" t="s">
        <v>41</v>
      </c>
      <c r="K81" s="9">
        <v>1.7770833333333333</v>
      </c>
      <c r="L81">
        <v>9</v>
      </c>
      <c r="M81">
        <v>26</v>
      </c>
      <c r="N81">
        <v>0.34599999999999997</v>
      </c>
      <c r="O81">
        <v>3</v>
      </c>
      <c r="P81">
        <v>12</v>
      </c>
      <c r="Q81">
        <v>0.25</v>
      </c>
      <c r="R81">
        <v>6</v>
      </c>
      <c r="S81">
        <v>14</v>
      </c>
      <c r="T81">
        <v>0.42899999999999999</v>
      </c>
      <c r="U81">
        <v>0.40400000000000003</v>
      </c>
      <c r="V81">
        <v>3</v>
      </c>
      <c r="W81">
        <v>3</v>
      </c>
      <c r="X81">
        <v>1</v>
      </c>
      <c r="Y81">
        <v>2</v>
      </c>
      <c r="Z81">
        <v>6</v>
      </c>
      <c r="AA81">
        <v>8</v>
      </c>
      <c r="AB81">
        <v>7</v>
      </c>
      <c r="AC81">
        <v>3</v>
      </c>
      <c r="AD81">
        <v>0</v>
      </c>
      <c r="AE81">
        <v>3</v>
      </c>
      <c r="AF81">
        <v>3</v>
      </c>
      <c r="AG81">
        <v>24</v>
      </c>
      <c r="AH81">
        <v>16.3</v>
      </c>
      <c r="AI81">
        <v>17</v>
      </c>
    </row>
    <row r="82" spans="1:35" ht="21" x14ac:dyDescent="0.3">
      <c r="A82" t="s">
        <v>556</v>
      </c>
      <c r="B82" s="11">
        <v>28</v>
      </c>
      <c r="C82">
        <v>610</v>
      </c>
      <c r="D82">
        <v>81</v>
      </c>
      <c r="E82" s="4">
        <v>44659</v>
      </c>
      <c r="F82" t="s">
        <v>85</v>
      </c>
      <c r="H82" t="s">
        <v>87</v>
      </c>
      <c r="I82" t="s">
        <v>539</v>
      </c>
      <c r="J82" t="s">
        <v>41</v>
      </c>
      <c r="K82" s="9">
        <v>1.6444444444444444</v>
      </c>
      <c r="L82">
        <v>7</v>
      </c>
      <c r="M82">
        <v>22</v>
      </c>
      <c r="N82">
        <v>0.318</v>
      </c>
      <c r="O82">
        <v>1</v>
      </c>
      <c r="P82">
        <v>7</v>
      </c>
      <c r="Q82">
        <v>0.14299999999999999</v>
      </c>
      <c r="R82">
        <v>6</v>
      </c>
      <c r="S82">
        <v>15</v>
      </c>
      <c r="T82">
        <v>0.4</v>
      </c>
      <c r="U82">
        <v>0.34100000000000003</v>
      </c>
      <c r="V82">
        <v>3</v>
      </c>
      <c r="W82">
        <v>3</v>
      </c>
      <c r="X82">
        <v>1</v>
      </c>
      <c r="Y82">
        <v>0</v>
      </c>
      <c r="Z82">
        <v>6</v>
      </c>
      <c r="AA82">
        <v>6</v>
      </c>
      <c r="AB82">
        <v>8</v>
      </c>
      <c r="AC82">
        <v>2</v>
      </c>
      <c r="AD82">
        <v>0</v>
      </c>
      <c r="AE82">
        <v>2</v>
      </c>
      <c r="AF82">
        <v>4</v>
      </c>
      <c r="AG82">
        <v>18</v>
      </c>
      <c r="AH82">
        <v>11.2</v>
      </c>
      <c r="AI82">
        <v>11</v>
      </c>
    </row>
    <row r="83" spans="1:35" ht="21" x14ac:dyDescent="0.3">
      <c r="A83" t="s">
        <v>556</v>
      </c>
      <c r="B83" s="11">
        <v>29</v>
      </c>
      <c r="C83">
        <v>611</v>
      </c>
      <c r="D83">
        <v>82</v>
      </c>
      <c r="E83" s="4">
        <v>44661</v>
      </c>
      <c r="F83" t="s">
        <v>85</v>
      </c>
      <c r="H83" t="s">
        <v>108</v>
      </c>
      <c r="I83" t="s">
        <v>540</v>
      </c>
      <c r="J83" t="s">
        <v>41</v>
      </c>
      <c r="K83" s="9">
        <v>1.6611111111111112</v>
      </c>
      <c r="L83">
        <v>15</v>
      </c>
      <c r="M83">
        <v>20</v>
      </c>
      <c r="N83">
        <v>0.75</v>
      </c>
      <c r="O83">
        <v>4</v>
      </c>
      <c r="P83">
        <v>6</v>
      </c>
      <c r="Q83">
        <v>0.66700000000000004</v>
      </c>
      <c r="R83">
        <v>11</v>
      </c>
      <c r="S83">
        <v>14</v>
      </c>
      <c r="T83">
        <v>0.78600000000000003</v>
      </c>
      <c r="U83">
        <v>0.85</v>
      </c>
      <c r="V83">
        <v>1</v>
      </c>
      <c r="W83">
        <v>2</v>
      </c>
      <c r="X83">
        <v>0.5</v>
      </c>
      <c r="Y83">
        <v>1</v>
      </c>
      <c r="Z83">
        <v>6</v>
      </c>
      <c r="AA83">
        <v>7</v>
      </c>
      <c r="AB83">
        <v>5</v>
      </c>
      <c r="AC83">
        <v>1</v>
      </c>
      <c r="AD83">
        <v>0</v>
      </c>
      <c r="AE83">
        <v>3</v>
      </c>
      <c r="AF83">
        <v>2</v>
      </c>
      <c r="AG83">
        <v>35</v>
      </c>
      <c r="AH83">
        <v>29.8</v>
      </c>
      <c r="AI83">
        <v>3</v>
      </c>
    </row>
    <row r="84" spans="1:35" ht="21" x14ac:dyDescent="0.3">
      <c r="A84" t="s">
        <v>556</v>
      </c>
      <c r="B84" s="11">
        <v>1</v>
      </c>
      <c r="C84">
        <v>71</v>
      </c>
      <c r="D84">
        <v>1</v>
      </c>
      <c r="E84" s="4">
        <v>44668</v>
      </c>
      <c r="F84" t="s">
        <v>85</v>
      </c>
      <c r="G84" t="s">
        <v>37</v>
      </c>
      <c r="H84" t="s">
        <v>55</v>
      </c>
      <c r="I84" t="s">
        <v>541</v>
      </c>
      <c r="J84" t="s">
        <v>41</v>
      </c>
      <c r="K84" s="9">
        <v>1.7555555555555555</v>
      </c>
      <c r="L84">
        <v>12</v>
      </c>
      <c r="M84">
        <v>20</v>
      </c>
      <c r="N84">
        <v>0.6</v>
      </c>
      <c r="O84">
        <v>6</v>
      </c>
      <c r="P84">
        <v>10</v>
      </c>
      <c r="Q84">
        <v>0.6</v>
      </c>
      <c r="R84">
        <v>6</v>
      </c>
      <c r="S84">
        <v>10</v>
      </c>
      <c r="T84">
        <v>0.6</v>
      </c>
      <c r="U84">
        <v>0.75</v>
      </c>
      <c r="V84">
        <v>9</v>
      </c>
      <c r="W84">
        <v>9</v>
      </c>
      <c r="X84">
        <v>1</v>
      </c>
      <c r="Y84">
        <v>1</v>
      </c>
      <c r="Z84">
        <v>4</v>
      </c>
      <c r="AA84">
        <v>5</v>
      </c>
      <c r="AB84">
        <v>6</v>
      </c>
      <c r="AC84">
        <v>4</v>
      </c>
      <c r="AD84">
        <v>1</v>
      </c>
      <c r="AE84">
        <v>3</v>
      </c>
      <c r="AF84">
        <v>4</v>
      </c>
      <c r="AG84">
        <v>39</v>
      </c>
      <c r="AH84">
        <v>36</v>
      </c>
      <c r="AI84">
        <v>6</v>
      </c>
    </row>
    <row r="85" spans="1:35" ht="21" x14ac:dyDescent="0.3">
      <c r="A85" t="s">
        <v>556</v>
      </c>
      <c r="B85" s="11">
        <v>2</v>
      </c>
      <c r="C85">
        <v>72</v>
      </c>
      <c r="D85">
        <v>2</v>
      </c>
      <c r="E85" s="4">
        <v>44671</v>
      </c>
      <c r="F85" t="s">
        <v>85</v>
      </c>
      <c r="G85" t="s">
        <v>37</v>
      </c>
      <c r="H85" t="s">
        <v>55</v>
      </c>
      <c r="I85" t="s">
        <v>471</v>
      </c>
      <c r="J85" t="s">
        <v>41</v>
      </c>
      <c r="K85" s="9">
        <v>1.6812499999999999</v>
      </c>
      <c r="L85">
        <v>4</v>
      </c>
      <c r="M85">
        <v>13</v>
      </c>
      <c r="N85">
        <v>0.308</v>
      </c>
      <c r="O85">
        <v>0</v>
      </c>
      <c r="P85">
        <v>1</v>
      </c>
      <c r="Q85">
        <v>0</v>
      </c>
      <c r="R85">
        <v>4</v>
      </c>
      <c r="S85">
        <v>12</v>
      </c>
      <c r="T85">
        <v>0.33300000000000002</v>
      </c>
      <c r="U85">
        <v>0.308</v>
      </c>
      <c r="V85">
        <v>2</v>
      </c>
      <c r="W85">
        <v>2</v>
      </c>
      <c r="X85">
        <v>1</v>
      </c>
      <c r="Y85">
        <v>3</v>
      </c>
      <c r="Z85">
        <v>5</v>
      </c>
      <c r="AA85">
        <v>8</v>
      </c>
      <c r="AB85">
        <v>1</v>
      </c>
      <c r="AC85">
        <v>0</v>
      </c>
      <c r="AD85">
        <v>1</v>
      </c>
      <c r="AE85">
        <v>2</v>
      </c>
      <c r="AF85">
        <v>3</v>
      </c>
      <c r="AG85">
        <v>10</v>
      </c>
      <c r="AH85">
        <v>4.3</v>
      </c>
      <c r="AI85">
        <v>-9</v>
      </c>
    </row>
    <row r="86" spans="1:35" ht="21" x14ac:dyDescent="0.3">
      <c r="A86" t="s">
        <v>556</v>
      </c>
      <c r="B86" s="11">
        <v>3</v>
      </c>
      <c r="C86">
        <v>73</v>
      </c>
      <c r="D86">
        <v>3</v>
      </c>
      <c r="E86" s="4">
        <v>44674</v>
      </c>
      <c r="F86" t="s">
        <v>85</v>
      </c>
      <c r="H86" t="s">
        <v>55</v>
      </c>
      <c r="I86" t="s">
        <v>542</v>
      </c>
      <c r="J86" t="s">
        <v>41</v>
      </c>
      <c r="K86" s="9">
        <v>1.8006944444444444</v>
      </c>
      <c r="L86">
        <v>6</v>
      </c>
      <c r="M86">
        <v>17</v>
      </c>
      <c r="N86">
        <v>0.35299999999999998</v>
      </c>
      <c r="O86">
        <v>0</v>
      </c>
      <c r="P86">
        <v>7</v>
      </c>
      <c r="Q86">
        <v>0</v>
      </c>
      <c r="R86">
        <v>6</v>
      </c>
      <c r="S86">
        <v>10</v>
      </c>
      <c r="T86">
        <v>0.6</v>
      </c>
      <c r="U86">
        <v>0.35299999999999998</v>
      </c>
      <c r="V86">
        <v>4</v>
      </c>
      <c r="W86">
        <v>4</v>
      </c>
      <c r="X86">
        <v>1</v>
      </c>
      <c r="Y86">
        <v>1</v>
      </c>
      <c r="Z86">
        <v>2</v>
      </c>
      <c r="AA86">
        <v>3</v>
      </c>
      <c r="AB86">
        <v>9</v>
      </c>
      <c r="AC86">
        <v>3</v>
      </c>
      <c r="AD86">
        <v>1</v>
      </c>
      <c r="AE86">
        <v>2</v>
      </c>
      <c r="AF86">
        <v>5</v>
      </c>
      <c r="AG86">
        <v>16</v>
      </c>
      <c r="AH86">
        <v>13.8</v>
      </c>
      <c r="AI86">
        <v>-3</v>
      </c>
    </row>
    <row r="87" spans="1:35" ht="21" x14ac:dyDescent="0.3">
      <c r="A87" t="s">
        <v>556</v>
      </c>
      <c r="B87" s="11">
        <v>4</v>
      </c>
      <c r="C87">
        <v>74</v>
      </c>
      <c r="D87">
        <v>4</v>
      </c>
      <c r="E87" s="4">
        <v>44676</v>
      </c>
      <c r="F87" t="s">
        <v>85</v>
      </c>
      <c r="H87" t="s">
        <v>55</v>
      </c>
      <c r="I87" t="s">
        <v>543</v>
      </c>
      <c r="J87" t="s">
        <v>41</v>
      </c>
      <c r="K87" s="9">
        <v>1.8652777777777778</v>
      </c>
      <c r="L87">
        <v>6</v>
      </c>
      <c r="M87">
        <v>13</v>
      </c>
      <c r="N87">
        <v>0.46200000000000002</v>
      </c>
      <c r="O87">
        <v>2</v>
      </c>
      <c r="P87">
        <v>3</v>
      </c>
      <c r="Q87">
        <v>0.66700000000000004</v>
      </c>
      <c r="R87">
        <v>4</v>
      </c>
      <c r="S87">
        <v>10</v>
      </c>
      <c r="T87">
        <v>0.4</v>
      </c>
      <c r="U87">
        <v>0.53800000000000003</v>
      </c>
      <c r="V87">
        <v>6</v>
      </c>
      <c r="W87">
        <v>6</v>
      </c>
      <c r="X87">
        <v>1</v>
      </c>
      <c r="Y87">
        <v>1</v>
      </c>
      <c r="Z87">
        <v>4</v>
      </c>
      <c r="AA87">
        <v>5</v>
      </c>
      <c r="AB87">
        <v>5</v>
      </c>
      <c r="AC87">
        <v>0</v>
      </c>
      <c r="AD87">
        <v>2</v>
      </c>
      <c r="AE87">
        <v>2</v>
      </c>
      <c r="AF87">
        <v>1</v>
      </c>
      <c r="AG87">
        <v>20</v>
      </c>
      <c r="AH87">
        <v>17.7</v>
      </c>
      <c r="AI87">
        <v>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098F-132F-8944-ACA7-4EECD7968586}">
  <dimension ref="A1:AI82"/>
  <sheetViews>
    <sheetView workbookViewId="0">
      <selection activeCell="H2" sqref="H2:H82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557</v>
      </c>
      <c r="B2" s="11">
        <v>1</v>
      </c>
      <c r="C2">
        <v>1311</v>
      </c>
      <c r="D2">
        <v>1</v>
      </c>
      <c r="E2" s="4">
        <v>44488</v>
      </c>
      <c r="F2" t="s">
        <v>62</v>
      </c>
      <c r="H2" t="s">
        <v>33</v>
      </c>
      <c r="I2" t="s">
        <v>191</v>
      </c>
      <c r="J2" t="s">
        <v>41</v>
      </c>
      <c r="K2" s="9">
        <v>1.5305555555555554</v>
      </c>
      <c r="L2">
        <v>13</v>
      </c>
      <c r="M2">
        <v>23</v>
      </c>
      <c r="N2">
        <v>0.56499999999999995</v>
      </c>
      <c r="O2">
        <v>5</v>
      </c>
      <c r="P2">
        <v>11</v>
      </c>
      <c r="Q2">
        <v>0.45500000000000002</v>
      </c>
      <c r="R2">
        <v>8</v>
      </c>
      <c r="S2">
        <v>12</v>
      </c>
      <c r="T2">
        <v>0.66700000000000004</v>
      </c>
      <c r="U2">
        <v>0.67400000000000004</v>
      </c>
      <c r="V2">
        <v>3</v>
      </c>
      <c r="W2">
        <v>6</v>
      </c>
      <c r="X2">
        <v>0.5</v>
      </c>
      <c r="Y2">
        <v>1</v>
      </c>
      <c r="Z2">
        <v>10</v>
      </c>
      <c r="AA2">
        <v>11</v>
      </c>
      <c r="AB2">
        <v>5</v>
      </c>
      <c r="AC2">
        <v>1</v>
      </c>
      <c r="AD2">
        <v>1</v>
      </c>
      <c r="AE2">
        <v>4</v>
      </c>
      <c r="AF2">
        <v>5</v>
      </c>
      <c r="AG2">
        <v>34</v>
      </c>
      <c r="AH2">
        <v>24.8</v>
      </c>
      <c r="AI2">
        <v>-2</v>
      </c>
    </row>
    <row r="3" spans="1:35" ht="21" x14ac:dyDescent="0.3">
      <c r="A3" t="s">
        <v>557</v>
      </c>
      <c r="B3" s="11">
        <v>2</v>
      </c>
      <c r="C3">
        <v>1312</v>
      </c>
      <c r="D3">
        <v>2</v>
      </c>
      <c r="E3" s="4">
        <v>44491</v>
      </c>
      <c r="F3" t="s">
        <v>62</v>
      </c>
      <c r="H3" t="s">
        <v>99</v>
      </c>
      <c r="I3" t="s">
        <v>192</v>
      </c>
      <c r="J3" t="s">
        <v>41</v>
      </c>
      <c r="K3" s="9">
        <v>1.5222222222222221</v>
      </c>
      <c r="L3">
        <v>8</v>
      </c>
      <c r="M3">
        <v>18</v>
      </c>
      <c r="N3">
        <v>0.44400000000000001</v>
      </c>
      <c r="O3">
        <v>5</v>
      </c>
      <c r="P3">
        <v>9</v>
      </c>
      <c r="Q3">
        <v>0.55600000000000005</v>
      </c>
      <c r="R3">
        <v>3</v>
      </c>
      <c r="S3">
        <v>9</v>
      </c>
      <c r="T3">
        <v>0.33300000000000002</v>
      </c>
      <c r="U3">
        <v>0.58299999999999996</v>
      </c>
      <c r="V3">
        <v>4</v>
      </c>
      <c r="W3">
        <v>4</v>
      </c>
      <c r="X3">
        <v>1</v>
      </c>
      <c r="Y3">
        <v>0</v>
      </c>
      <c r="Z3">
        <v>2</v>
      </c>
      <c r="AA3">
        <v>2</v>
      </c>
      <c r="AB3">
        <v>5</v>
      </c>
      <c r="AC3">
        <v>2</v>
      </c>
      <c r="AD3">
        <v>0</v>
      </c>
      <c r="AE3">
        <v>5</v>
      </c>
      <c r="AF3">
        <v>4</v>
      </c>
      <c r="AG3">
        <v>25</v>
      </c>
      <c r="AH3">
        <v>15.1</v>
      </c>
      <c r="AI3">
        <v>-6</v>
      </c>
    </row>
    <row r="4" spans="1:35" ht="21" x14ac:dyDescent="0.3">
      <c r="A4" t="s">
        <v>557</v>
      </c>
      <c r="B4" s="11">
        <v>3</v>
      </c>
      <c r="C4">
        <v>1313</v>
      </c>
      <c r="D4">
        <v>3</v>
      </c>
      <c r="E4" s="4">
        <v>44493</v>
      </c>
      <c r="F4" t="s">
        <v>62</v>
      </c>
      <c r="H4" t="s">
        <v>42</v>
      </c>
      <c r="I4" t="s">
        <v>193</v>
      </c>
      <c r="J4" t="s">
        <v>41</v>
      </c>
      <c r="K4" s="9">
        <v>1.6791666666666667</v>
      </c>
      <c r="L4">
        <v>7</v>
      </c>
      <c r="M4">
        <v>19</v>
      </c>
      <c r="N4">
        <v>0.36799999999999999</v>
      </c>
      <c r="O4">
        <v>4</v>
      </c>
      <c r="P4">
        <v>9</v>
      </c>
      <c r="Q4">
        <v>0.44400000000000001</v>
      </c>
      <c r="R4">
        <v>3</v>
      </c>
      <c r="S4">
        <v>10</v>
      </c>
      <c r="T4">
        <v>0.3</v>
      </c>
      <c r="U4">
        <v>0.47399999999999998</v>
      </c>
      <c r="V4">
        <v>1</v>
      </c>
      <c r="W4">
        <v>2</v>
      </c>
      <c r="X4">
        <v>0.5</v>
      </c>
      <c r="Y4">
        <v>0</v>
      </c>
      <c r="Z4">
        <v>6</v>
      </c>
      <c r="AA4">
        <v>6</v>
      </c>
      <c r="AB4">
        <v>6</v>
      </c>
      <c r="AC4">
        <v>2</v>
      </c>
      <c r="AD4">
        <v>2</v>
      </c>
      <c r="AE4">
        <v>3</v>
      </c>
      <c r="AF4">
        <v>1</v>
      </c>
      <c r="AG4">
        <v>19</v>
      </c>
      <c r="AH4">
        <v>14.1</v>
      </c>
      <c r="AI4">
        <v>-1</v>
      </c>
    </row>
    <row r="5" spans="1:35" ht="21" x14ac:dyDescent="0.3">
      <c r="A5" t="s">
        <v>557</v>
      </c>
      <c r="B5" s="11">
        <v>3</v>
      </c>
      <c r="D5">
        <v>4</v>
      </c>
      <c r="E5" s="4">
        <v>44495</v>
      </c>
      <c r="F5" t="s">
        <v>62</v>
      </c>
      <c r="G5" t="s">
        <v>37</v>
      </c>
      <c r="H5" t="s">
        <v>102</v>
      </c>
      <c r="I5" t="s">
        <v>194</v>
      </c>
      <c r="J5" t="s">
        <v>210</v>
      </c>
      <c r="K5" t="s">
        <v>210</v>
      </c>
      <c r="L5" t="s">
        <v>210</v>
      </c>
      <c r="M5" t="s">
        <v>210</v>
      </c>
      <c r="N5" t="s">
        <v>210</v>
      </c>
      <c r="O5" t="s">
        <v>210</v>
      </c>
      <c r="P5" t="s">
        <v>210</v>
      </c>
      <c r="Q5" t="s">
        <v>210</v>
      </c>
      <c r="R5" t="s">
        <v>210</v>
      </c>
      <c r="S5" t="s">
        <v>210</v>
      </c>
      <c r="T5" t="s">
        <v>210</v>
      </c>
      <c r="U5" t="s">
        <v>210</v>
      </c>
      <c r="V5" t="s">
        <v>210</v>
      </c>
      <c r="W5" t="s">
        <v>210</v>
      </c>
      <c r="X5" t="s">
        <v>210</v>
      </c>
      <c r="Y5" t="s">
        <v>210</v>
      </c>
      <c r="Z5" t="s">
        <v>210</v>
      </c>
      <c r="AA5" t="s">
        <v>210</v>
      </c>
      <c r="AB5" t="s">
        <v>210</v>
      </c>
      <c r="AC5" t="s">
        <v>210</v>
      </c>
      <c r="AD5" t="s">
        <v>210</v>
      </c>
      <c r="AE5" t="s">
        <v>210</v>
      </c>
      <c r="AF5" t="s">
        <v>210</v>
      </c>
      <c r="AG5" t="s">
        <v>210</v>
      </c>
      <c r="AH5" t="s">
        <v>210</v>
      </c>
      <c r="AI5" t="s">
        <v>210</v>
      </c>
    </row>
    <row r="6" spans="1:35" ht="21" x14ac:dyDescent="0.3">
      <c r="A6" t="s">
        <v>557</v>
      </c>
      <c r="B6" s="11">
        <v>3</v>
      </c>
      <c r="D6">
        <v>5</v>
      </c>
      <c r="E6" s="4">
        <v>44496</v>
      </c>
      <c r="F6" t="s">
        <v>62</v>
      </c>
      <c r="G6" t="s">
        <v>37</v>
      </c>
      <c r="H6" t="s">
        <v>68</v>
      </c>
      <c r="I6" t="s">
        <v>162</v>
      </c>
      <c r="J6" t="s">
        <v>210</v>
      </c>
      <c r="K6" t="s">
        <v>210</v>
      </c>
      <c r="L6" t="s">
        <v>210</v>
      </c>
      <c r="M6" t="s">
        <v>210</v>
      </c>
      <c r="N6" t="s">
        <v>210</v>
      </c>
      <c r="O6" t="s">
        <v>210</v>
      </c>
      <c r="P6" t="s">
        <v>210</v>
      </c>
      <c r="Q6" t="s">
        <v>210</v>
      </c>
      <c r="R6" t="s">
        <v>210</v>
      </c>
      <c r="S6" t="s">
        <v>210</v>
      </c>
      <c r="T6" t="s">
        <v>210</v>
      </c>
      <c r="U6" t="s">
        <v>210</v>
      </c>
      <c r="V6" t="s">
        <v>210</v>
      </c>
      <c r="W6" t="s">
        <v>210</v>
      </c>
      <c r="X6" t="s">
        <v>210</v>
      </c>
      <c r="Y6" t="s">
        <v>210</v>
      </c>
      <c r="Z6" t="s">
        <v>210</v>
      </c>
      <c r="AA6" t="s">
        <v>210</v>
      </c>
      <c r="AB6" t="s">
        <v>210</v>
      </c>
      <c r="AC6" t="s">
        <v>210</v>
      </c>
      <c r="AD6" t="s">
        <v>210</v>
      </c>
      <c r="AE6" t="s">
        <v>210</v>
      </c>
      <c r="AF6" t="s">
        <v>210</v>
      </c>
      <c r="AG6" t="s">
        <v>210</v>
      </c>
      <c r="AH6" t="s">
        <v>210</v>
      </c>
      <c r="AI6" t="s">
        <v>210</v>
      </c>
    </row>
    <row r="7" spans="1:35" ht="21" x14ac:dyDescent="0.3">
      <c r="A7" t="s">
        <v>557</v>
      </c>
      <c r="B7" s="11">
        <v>4</v>
      </c>
      <c r="C7">
        <v>1314</v>
      </c>
      <c r="D7">
        <v>6</v>
      </c>
      <c r="E7" s="4">
        <v>44498</v>
      </c>
      <c r="F7" t="s">
        <v>62</v>
      </c>
      <c r="H7" t="s">
        <v>87</v>
      </c>
      <c r="I7" t="s">
        <v>195</v>
      </c>
      <c r="J7" t="s">
        <v>41</v>
      </c>
      <c r="K7" s="9">
        <v>1.58125</v>
      </c>
      <c r="L7">
        <v>10</v>
      </c>
      <c r="M7">
        <v>22</v>
      </c>
      <c r="N7">
        <v>0.45500000000000002</v>
      </c>
      <c r="O7">
        <v>1</v>
      </c>
      <c r="P7">
        <v>10</v>
      </c>
      <c r="Q7">
        <v>0.1</v>
      </c>
      <c r="R7">
        <v>9</v>
      </c>
      <c r="S7">
        <v>12</v>
      </c>
      <c r="T7">
        <v>0.75</v>
      </c>
      <c r="U7">
        <v>0.47699999999999998</v>
      </c>
      <c r="V7">
        <v>5</v>
      </c>
      <c r="W7">
        <v>5</v>
      </c>
      <c r="X7">
        <v>1</v>
      </c>
      <c r="Y7">
        <v>1</v>
      </c>
      <c r="Z7">
        <v>2</v>
      </c>
      <c r="AA7">
        <v>3</v>
      </c>
      <c r="AB7">
        <v>8</v>
      </c>
      <c r="AC7">
        <v>3</v>
      </c>
      <c r="AD7">
        <v>1</v>
      </c>
      <c r="AE7">
        <v>7</v>
      </c>
      <c r="AF7">
        <v>1</v>
      </c>
      <c r="AG7">
        <v>26</v>
      </c>
      <c r="AH7">
        <v>17.8</v>
      </c>
      <c r="AI7">
        <v>9</v>
      </c>
    </row>
    <row r="8" spans="1:35" ht="21" x14ac:dyDescent="0.3">
      <c r="A8" t="s">
        <v>557</v>
      </c>
      <c r="B8" s="11">
        <v>5</v>
      </c>
      <c r="C8">
        <v>1315</v>
      </c>
      <c r="D8">
        <v>7</v>
      </c>
      <c r="E8" s="4">
        <v>44500</v>
      </c>
      <c r="F8" t="s">
        <v>62</v>
      </c>
      <c r="H8" t="s">
        <v>76</v>
      </c>
      <c r="I8" t="s">
        <v>196</v>
      </c>
      <c r="J8" t="s">
        <v>41</v>
      </c>
      <c r="K8" s="9">
        <v>1.4388888888888889</v>
      </c>
      <c r="L8">
        <v>6</v>
      </c>
      <c r="M8">
        <v>19</v>
      </c>
      <c r="N8">
        <v>0.316</v>
      </c>
      <c r="O8">
        <v>0</v>
      </c>
      <c r="P8">
        <v>6</v>
      </c>
      <c r="Q8">
        <v>0</v>
      </c>
      <c r="R8">
        <v>6</v>
      </c>
      <c r="S8">
        <v>13</v>
      </c>
      <c r="T8">
        <v>0.46200000000000002</v>
      </c>
      <c r="U8">
        <v>0.316</v>
      </c>
      <c r="V8">
        <v>3</v>
      </c>
      <c r="W8">
        <v>4</v>
      </c>
      <c r="X8">
        <v>0.75</v>
      </c>
      <c r="Y8">
        <v>1</v>
      </c>
      <c r="Z8">
        <v>6</v>
      </c>
      <c r="AA8">
        <v>7</v>
      </c>
      <c r="AB8">
        <v>8</v>
      </c>
      <c r="AC8">
        <v>4</v>
      </c>
      <c r="AD8">
        <v>1</v>
      </c>
      <c r="AE8">
        <v>2</v>
      </c>
      <c r="AF8">
        <v>0</v>
      </c>
      <c r="AG8">
        <v>15</v>
      </c>
      <c r="AH8">
        <v>14.5</v>
      </c>
      <c r="AI8">
        <v>7</v>
      </c>
    </row>
    <row r="9" spans="1:35" ht="21" x14ac:dyDescent="0.3">
      <c r="A9" t="s">
        <v>557</v>
      </c>
      <c r="B9" s="11">
        <v>6</v>
      </c>
      <c r="C9">
        <v>1316</v>
      </c>
      <c r="D9">
        <v>8</v>
      </c>
      <c r="E9" s="4">
        <v>44502</v>
      </c>
      <c r="F9" t="s">
        <v>62</v>
      </c>
      <c r="H9" t="s">
        <v>76</v>
      </c>
      <c r="I9" t="s">
        <v>197</v>
      </c>
      <c r="J9" t="s">
        <v>41</v>
      </c>
      <c r="K9" s="9">
        <v>1.5111111111111111</v>
      </c>
      <c r="L9">
        <v>13</v>
      </c>
      <c r="M9">
        <v>21</v>
      </c>
      <c r="N9">
        <v>0.61899999999999999</v>
      </c>
      <c r="O9">
        <v>2</v>
      </c>
      <c r="P9">
        <v>4</v>
      </c>
      <c r="Q9">
        <v>0.5</v>
      </c>
      <c r="R9">
        <v>11</v>
      </c>
      <c r="S9">
        <v>17</v>
      </c>
      <c r="T9">
        <v>0.64700000000000002</v>
      </c>
      <c r="U9">
        <v>0.66700000000000004</v>
      </c>
      <c r="V9">
        <v>2</v>
      </c>
      <c r="W9">
        <v>2</v>
      </c>
      <c r="X9">
        <v>1</v>
      </c>
      <c r="Y9">
        <v>0</v>
      </c>
      <c r="Z9">
        <v>4</v>
      </c>
      <c r="AA9">
        <v>4</v>
      </c>
      <c r="AB9">
        <v>10</v>
      </c>
      <c r="AC9">
        <v>2</v>
      </c>
      <c r="AD9">
        <v>0</v>
      </c>
      <c r="AE9">
        <v>4</v>
      </c>
      <c r="AF9">
        <v>3</v>
      </c>
      <c r="AG9">
        <v>30</v>
      </c>
      <c r="AH9">
        <v>25.5</v>
      </c>
      <c r="AI9">
        <v>8</v>
      </c>
    </row>
    <row r="10" spans="1:35" ht="21" x14ac:dyDescent="0.3">
      <c r="A10" t="s">
        <v>557</v>
      </c>
      <c r="B10" s="11">
        <v>6</v>
      </c>
      <c r="D10">
        <v>9</v>
      </c>
      <c r="E10" s="4">
        <v>44504</v>
      </c>
      <c r="F10" t="s">
        <v>62</v>
      </c>
      <c r="H10" t="s">
        <v>68</v>
      </c>
      <c r="I10" t="s">
        <v>198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</row>
    <row r="11" spans="1:35" ht="21" x14ac:dyDescent="0.3">
      <c r="A11" t="s">
        <v>557</v>
      </c>
      <c r="B11" s="11">
        <v>6</v>
      </c>
      <c r="D11">
        <v>10</v>
      </c>
      <c r="E11" s="4">
        <v>44506</v>
      </c>
      <c r="F11" t="s">
        <v>62</v>
      </c>
      <c r="G11" t="s">
        <v>37</v>
      </c>
      <c r="H11" t="s">
        <v>96</v>
      </c>
      <c r="I11" t="s">
        <v>199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</row>
    <row r="12" spans="1:35" ht="21" x14ac:dyDescent="0.3">
      <c r="A12" t="s">
        <v>557</v>
      </c>
      <c r="B12" s="11">
        <v>6</v>
      </c>
      <c r="D12">
        <v>11</v>
      </c>
      <c r="E12" s="4">
        <v>44508</v>
      </c>
      <c r="F12" t="s">
        <v>62</v>
      </c>
      <c r="H12" t="s">
        <v>72</v>
      </c>
      <c r="I12" t="s">
        <v>200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</row>
    <row r="13" spans="1:35" ht="21" x14ac:dyDescent="0.3">
      <c r="A13" t="s">
        <v>557</v>
      </c>
      <c r="B13" s="11">
        <v>6</v>
      </c>
      <c r="D13">
        <v>12</v>
      </c>
      <c r="E13" s="4">
        <v>44510</v>
      </c>
      <c r="F13" t="s">
        <v>62</v>
      </c>
      <c r="H13" t="s">
        <v>120</v>
      </c>
      <c r="I13" t="s">
        <v>201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91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</row>
    <row r="14" spans="1:35" ht="21" x14ac:dyDescent="0.3">
      <c r="A14" t="s">
        <v>557</v>
      </c>
      <c r="B14" s="11">
        <v>6</v>
      </c>
      <c r="D14">
        <v>13</v>
      </c>
      <c r="E14" s="4">
        <v>44512</v>
      </c>
      <c r="F14" t="s">
        <v>62</v>
      </c>
      <c r="H14" t="s">
        <v>80</v>
      </c>
      <c r="I14" t="s">
        <v>202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</row>
    <row r="15" spans="1:35" ht="21" x14ac:dyDescent="0.3">
      <c r="A15" t="s">
        <v>557</v>
      </c>
      <c r="B15" s="11">
        <v>6</v>
      </c>
      <c r="D15">
        <v>14</v>
      </c>
      <c r="E15" s="4">
        <v>44514</v>
      </c>
      <c r="F15" t="s">
        <v>62</v>
      </c>
      <c r="H15" t="s">
        <v>102</v>
      </c>
      <c r="I15" t="s">
        <v>203</v>
      </c>
      <c r="J15" t="s">
        <v>91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</row>
    <row r="16" spans="1:35" ht="21" x14ac:dyDescent="0.3">
      <c r="A16" t="s">
        <v>557</v>
      </c>
      <c r="B16" s="11">
        <v>6</v>
      </c>
      <c r="D16">
        <v>15</v>
      </c>
      <c r="E16" s="4">
        <v>44515</v>
      </c>
      <c r="F16" t="s">
        <v>62</v>
      </c>
      <c r="H16" t="s">
        <v>82</v>
      </c>
      <c r="I16" t="s">
        <v>204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</row>
    <row r="17" spans="1:35" ht="21" x14ac:dyDescent="0.3">
      <c r="A17" t="s">
        <v>557</v>
      </c>
      <c r="B17" s="11">
        <v>6</v>
      </c>
      <c r="D17">
        <v>16</v>
      </c>
      <c r="E17" s="4">
        <v>44517</v>
      </c>
      <c r="F17" t="s">
        <v>62</v>
      </c>
      <c r="G17" t="s">
        <v>37</v>
      </c>
      <c r="H17" t="s">
        <v>126</v>
      </c>
      <c r="I17" t="s">
        <v>205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</row>
    <row r="18" spans="1:35" ht="21" x14ac:dyDescent="0.3">
      <c r="A18" t="s">
        <v>557</v>
      </c>
      <c r="B18" s="11">
        <v>7</v>
      </c>
      <c r="C18">
        <v>1317</v>
      </c>
      <c r="D18">
        <v>17</v>
      </c>
      <c r="E18" s="4">
        <v>44519</v>
      </c>
      <c r="F18" t="s">
        <v>62</v>
      </c>
      <c r="G18" t="s">
        <v>37</v>
      </c>
      <c r="H18" t="s">
        <v>55</v>
      </c>
      <c r="I18" t="s">
        <v>206</v>
      </c>
      <c r="J18" t="s">
        <v>41</v>
      </c>
      <c r="K18" s="9">
        <v>1.336111111111111</v>
      </c>
      <c r="L18">
        <v>10</v>
      </c>
      <c r="M18">
        <v>16</v>
      </c>
      <c r="N18">
        <v>0.625</v>
      </c>
      <c r="O18">
        <v>3</v>
      </c>
      <c r="P18">
        <v>7</v>
      </c>
      <c r="Q18">
        <v>0.42899999999999999</v>
      </c>
      <c r="R18">
        <v>7</v>
      </c>
      <c r="S18">
        <v>9</v>
      </c>
      <c r="T18">
        <v>0.77800000000000002</v>
      </c>
      <c r="U18">
        <v>0.71899999999999997</v>
      </c>
      <c r="V18">
        <v>0</v>
      </c>
      <c r="W18">
        <v>1</v>
      </c>
      <c r="X18">
        <v>0</v>
      </c>
      <c r="Y18">
        <v>1</v>
      </c>
      <c r="Z18">
        <v>5</v>
      </c>
      <c r="AA18">
        <v>6</v>
      </c>
      <c r="AB18">
        <v>2</v>
      </c>
      <c r="AC18">
        <v>2</v>
      </c>
      <c r="AD18">
        <v>0</v>
      </c>
      <c r="AE18">
        <v>3</v>
      </c>
      <c r="AF18">
        <v>3</v>
      </c>
      <c r="AG18">
        <v>23</v>
      </c>
      <c r="AH18">
        <v>16.8</v>
      </c>
      <c r="AI18">
        <v>-4</v>
      </c>
    </row>
    <row r="19" spans="1:35" ht="21" x14ac:dyDescent="0.3">
      <c r="A19" t="s">
        <v>557</v>
      </c>
      <c r="B19" s="11">
        <v>8</v>
      </c>
      <c r="C19">
        <v>1318</v>
      </c>
      <c r="D19">
        <v>18</v>
      </c>
      <c r="E19" s="4">
        <v>44521</v>
      </c>
      <c r="F19" t="s">
        <v>62</v>
      </c>
      <c r="G19" t="s">
        <v>37</v>
      </c>
      <c r="H19" t="s">
        <v>89</v>
      </c>
      <c r="I19" t="s">
        <v>207</v>
      </c>
      <c r="J19" t="s">
        <v>41</v>
      </c>
      <c r="K19" s="7">
        <v>0.8930555555555556</v>
      </c>
      <c r="L19">
        <v>4</v>
      </c>
      <c r="M19">
        <v>7</v>
      </c>
      <c r="N19">
        <v>0.57099999999999995</v>
      </c>
      <c r="O19">
        <v>1</v>
      </c>
      <c r="P19">
        <v>3</v>
      </c>
      <c r="Q19">
        <v>0.33300000000000002</v>
      </c>
      <c r="R19">
        <v>3</v>
      </c>
      <c r="S19">
        <v>4</v>
      </c>
      <c r="T19">
        <v>0.75</v>
      </c>
      <c r="U19">
        <v>0.64300000000000002</v>
      </c>
      <c r="V19">
        <v>1</v>
      </c>
      <c r="W19">
        <v>1</v>
      </c>
      <c r="X19">
        <v>1</v>
      </c>
      <c r="Y19">
        <v>0</v>
      </c>
      <c r="Z19">
        <v>1</v>
      </c>
      <c r="AA19">
        <v>1</v>
      </c>
      <c r="AB19">
        <v>5</v>
      </c>
      <c r="AC19">
        <v>0</v>
      </c>
      <c r="AD19">
        <v>0</v>
      </c>
      <c r="AE19">
        <v>2</v>
      </c>
      <c r="AF19">
        <v>1</v>
      </c>
      <c r="AG19">
        <v>10</v>
      </c>
      <c r="AH19">
        <v>8.1</v>
      </c>
      <c r="AI19">
        <v>-15</v>
      </c>
    </row>
    <row r="20" spans="1:35" ht="21" x14ac:dyDescent="0.3">
      <c r="A20" t="s">
        <v>557</v>
      </c>
      <c r="B20" s="11">
        <v>8</v>
      </c>
      <c r="D20">
        <v>19</v>
      </c>
      <c r="E20" s="4">
        <v>44523</v>
      </c>
      <c r="F20" t="s">
        <v>62</v>
      </c>
      <c r="G20" t="s">
        <v>37</v>
      </c>
      <c r="H20" t="s">
        <v>110</v>
      </c>
      <c r="I20" t="s">
        <v>208</v>
      </c>
      <c r="J20" t="s">
        <v>169</v>
      </c>
      <c r="K20" t="s">
        <v>169</v>
      </c>
      <c r="L20" t="s">
        <v>169</v>
      </c>
      <c r="M20" t="s">
        <v>169</v>
      </c>
      <c r="N20" t="s">
        <v>169</v>
      </c>
      <c r="O20" t="s">
        <v>169</v>
      </c>
      <c r="P20" t="s">
        <v>169</v>
      </c>
      <c r="Q20" t="s">
        <v>169</v>
      </c>
      <c r="R20" t="s">
        <v>169</v>
      </c>
      <c r="S20" t="s">
        <v>169</v>
      </c>
      <c r="T20" t="s">
        <v>169</v>
      </c>
      <c r="U20" t="s">
        <v>169</v>
      </c>
      <c r="V20" t="s">
        <v>169</v>
      </c>
      <c r="W20" t="s">
        <v>169</v>
      </c>
      <c r="X20" t="s">
        <v>169</v>
      </c>
      <c r="Y20" t="s">
        <v>169</v>
      </c>
      <c r="Z20" t="s">
        <v>169</v>
      </c>
      <c r="AA20" t="s">
        <v>169</v>
      </c>
      <c r="AB20" t="s">
        <v>169</v>
      </c>
      <c r="AC20" t="s">
        <v>169</v>
      </c>
      <c r="AD20" t="s">
        <v>169</v>
      </c>
      <c r="AE20" t="s">
        <v>169</v>
      </c>
      <c r="AF20" t="s">
        <v>169</v>
      </c>
      <c r="AG20" t="s">
        <v>169</v>
      </c>
      <c r="AH20" t="s">
        <v>169</v>
      </c>
      <c r="AI20" t="s">
        <v>169</v>
      </c>
    </row>
    <row r="21" spans="1:35" ht="21" x14ac:dyDescent="0.3">
      <c r="A21" t="s">
        <v>557</v>
      </c>
      <c r="B21" s="11">
        <v>9</v>
      </c>
      <c r="C21">
        <v>1319</v>
      </c>
      <c r="D21">
        <v>20</v>
      </c>
      <c r="E21" s="4">
        <v>44524</v>
      </c>
      <c r="F21" t="s">
        <v>62</v>
      </c>
      <c r="G21" t="s">
        <v>37</v>
      </c>
      <c r="H21" t="s">
        <v>108</v>
      </c>
      <c r="I21" t="s">
        <v>209</v>
      </c>
      <c r="J21" t="s">
        <v>41</v>
      </c>
      <c r="K21" s="9">
        <v>1.8111111111111111</v>
      </c>
      <c r="L21">
        <v>13</v>
      </c>
      <c r="M21">
        <v>29</v>
      </c>
      <c r="N21">
        <v>0.44800000000000001</v>
      </c>
      <c r="O21">
        <v>5</v>
      </c>
      <c r="P21">
        <v>12</v>
      </c>
      <c r="Q21">
        <v>0.41699999999999998</v>
      </c>
      <c r="R21">
        <v>8</v>
      </c>
      <c r="S21">
        <v>17</v>
      </c>
      <c r="T21">
        <v>0.47099999999999997</v>
      </c>
      <c r="U21">
        <v>0.53400000000000003</v>
      </c>
      <c r="V21">
        <v>8</v>
      </c>
      <c r="W21">
        <v>9</v>
      </c>
      <c r="X21">
        <v>0.88900000000000001</v>
      </c>
      <c r="Y21">
        <v>0</v>
      </c>
      <c r="Z21">
        <v>5</v>
      </c>
      <c r="AA21">
        <v>5</v>
      </c>
      <c r="AB21">
        <v>6</v>
      </c>
      <c r="AC21">
        <v>1</v>
      </c>
      <c r="AD21">
        <v>2</v>
      </c>
      <c r="AE21">
        <v>2</v>
      </c>
      <c r="AF21">
        <v>2</v>
      </c>
      <c r="AG21">
        <v>39</v>
      </c>
      <c r="AH21">
        <v>28.8</v>
      </c>
      <c r="AI21">
        <v>-3</v>
      </c>
    </row>
    <row r="22" spans="1:35" ht="21" x14ac:dyDescent="0.3">
      <c r="A22" t="s">
        <v>557</v>
      </c>
      <c r="B22" s="11">
        <v>10</v>
      </c>
      <c r="C22">
        <v>1320</v>
      </c>
      <c r="D22">
        <v>21</v>
      </c>
      <c r="E22" s="4">
        <v>44526</v>
      </c>
      <c r="F22" t="s">
        <v>62</v>
      </c>
      <c r="H22" t="s">
        <v>66</v>
      </c>
      <c r="I22" t="s">
        <v>211</v>
      </c>
      <c r="J22" t="s">
        <v>41</v>
      </c>
      <c r="K22" s="9">
        <v>2.0729166666666665</v>
      </c>
      <c r="L22">
        <v>10</v>
      </c>
      <c r="M22">
        <v>25</v>
      </c>
      <c r="N22">
        <v>0.4</v>
      </c>
      <c r="O22">
        <v>2</v>
      </c>
      <c r="P22">
        <v>13</v>
      </c>
      <c r="Q22">
        <v>0.154</v>
      </c>
      <c r="R22">
        <v>8</v>
      </c>
      <c r="S22">
        <v>12</v>
      </c>
      <c r="T22">
        <v>0.66700000000000004</v>
      </c>
      <c r="U22">
        <v>0.44</v>
      </c>
      <c r="V22">
        <v>8</v>
      </c>
      <c r="W22">
        <v>11</v>
      </c>
      <c r="X22">
        <v>0.72699999999999998</v>
      </c>
      <c r="Y22">
        <v>1</v>
      </c>
      <c r="Z22">
        <v>6</v>
      </c>
      <c r="AA22">
        <v>7</v>
      </c>
      <c r="AB22">
        <v>11</v>
      </c>
      <c r="AC22">
        <v>1</v>
      </c>
      <c r="AD22">
        <v>0</v>
      </c>
      <c r="AE22">
        <v>7</v>
      </c>
      <c r="AF22">
        <v>4</v>
      </c>
      <c r="AG22">
        <v>30</v>
      </c>
      <c r="AH22">
        <v>17.899999999999999</v>
      </c>
      <c r="AI22">
        <v>-7</v>
      </c>
    </row>
    <row r="23" spans="1:35" ht="21" x14ac:dyDescent="0.3">
      <c r="A23" t="s">
        <v>557</v>
      </c>
      <c r="B23" s="11">
        <v>11</v>
      </c>
      <c r="C23">
        <v>1321</v>
      </c>
      <c r="D23">
        <v>22</v>
      </c>
      <c r="E23" s="4">
        <v>44528</v>
      </c>
      <c r="F23" t="s">
        <v>62</v>
      </c>
      <c r="H23" t="s">
        <v>89</v>
      </c>
      <c r="I23" t="s">
        <v>136</v>
      </c>
      <c r="J23" t="s">
        <v>41</v>
      </c>
      <c r="K23" s="9">
        <v>1.5583333333333333</v>
      </c>
      <c r="L23">
        <v>12</v>
      </c>
      <c r="M23">
        <v>20</v>
      </c>
      <c r="N23">
        <v>0.6</v>
      </c>
      <c r="O23">
        <v>4</v>
      </c>
      <c r="P23">
        <v>9</v>
      </c>
      <c r="Q23">
        <v>0.44400000000000001</v>
      </c>
      <c r="R23">
        <v>8</v>
      </c>
      <c r="S23">
        <v>11</v>
      </c>
      <c r="T23">
        <v>0.72699999999999998</v>
      </c>
      <c r="U23">
        <v>0.7</v>
      </c>
      <c r="V23">
        <v>5</v>
      </c>
      <c r="W23">
        <v>8</v>
      </c>
      <c r="X23">
        <v>0.625</v>
      </c>
      <c r="Y23">
        <v>0</v>
      </c>
      <c r="Z23">
        <v>5</v>
      </c>
      <c r="AA23">
        <v>5</v>
      </c>
      <c r="AB23">
        <v>9</v>
      </c>
      <c r="AC23">
        <v>2</v>
      </c>
      <c r="AD23">
        <v>1</v>
      </c>
      <c r="AE23">
        <v>2</v>
      </c>
      <c r="AF23">
        <v>1</v>
      </c>
      <c r="AG23">
        <v>33</v>
      </c>
      <c r="AH23">
        <v>30.7</v>
      </c>
      <c r="AI23">
        <v>14</v>
      </c>
    </row>
    <row r="24" spans="1:35" ht="21" x14ac:dyDescent="0.3">
      <c r="A24" t="s">
        <v>557</v>
      </c>
      <c r="B24" s="11">
        <v>11</v>
      </c>
      <c r="D24">
        <v>23</v>
      </c>
      <c r="E24" s="4">
        <v>44530</v>
      </c>
      <c r="F24" t="s">
        <v>62</v>
      </c>
      <c r="G24" t="s">
        <v>37</v>
      </c>
      <c r="H24" t="s">
        <v>66</v>
      </c>
      <c r="I24" t="s">
        <v>212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  <c r="O24" t="s">
        <v>91</v>
      </c>
      <c r="P24" t="s">
        <v>91</v>
      </c>
      <c r="Q24" t="s">
        <v>91</v>
      </c>
      <c r="R24" t="s">
        <v>91</v>
      </c>
      <c r="S24" t="s">
        <v>91</v>
      </c>
      <c r="T24" t="s">
        <v>91</v>
      </c>
      <c r="U24" t="s">
        <v>91</v>
      </c>
      <c r="V24" t="s">
        <v>91</v>
      </c>
      <c r="W24" t="s">
        <v>91</v>
      </c>
      <c r="X24" t="s">
        <v>91</v>
      </c>
      <c r="Y24" t="s">
        <v>91</v>
      </c>
      <c r="Z24" t="s">
        <v>91</v>
      </c>
      <c r="AA24" t="s">
        <v>91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</row>
    <row r="25" spans="1:35" ht="21" x14ac:dyDescent="0.3">
      <c r="A25" t="s">
        <v>557</v>
      </c>
      <c r="B25" s="11">
        <v>12</v>
      </c>
      <c r="C25">
        <v>1322</v>
      </c>
      <c r="D25">
        <v>24</v>
      </c>
      <c r="E25" s="4">
        <v>44533</v>
      </c>
      <c r="F25" t="s">
        <v>62</v>
      </c>
      <c r="H25" t="s">
        <v>64</v>
      </c>
      <c r="I25" t="s">
        <v>213</v>
      </c>
      <c r="J25" t="s">
        <v>41</v>
      </c>
      <c r="K25" s="9">
        <v>1.5104166666666667</v>
      </c>
      <c r="L25">
        <v>9</v>
      </c>
      <c r="M25">
        <v>23</v>
      </c>
      <c r="N25">
        <v>0.39100000000000001</v>
      </c>
      <c r="O25">
        <v>2</v>
      </c>
      <c r="P25">
        <v>8</v>
      </c>
      <c r="Q25">
        <v>0.25</v>
      </c>
      <c r="R25">
        <v>7</v>
      </c>
      <c r="S25">
        <v>15</v>
      </c>
      <c r="T25">
        <v>0.46700000000000003</v>
      </c>
      <c r="U25">
        <v>0.435</v>
      </c>
      <c r="V25">
        <v>3</v>
      </c>
      <c r="W25">
        <v>5</v>
      </c>
      <c r="X25">
        <v>0.6</v>
      </c>
      <c r="Y25">
        <v>3</v>
      </c>
      <c r="Z25">
        <v>8</v>
      </c>
      <c r="AA25">
        <v>11</v>
      </c>
      <c r="AB25">
        <v>6</v>
      </c>
      <c r="AC25">
        <v>2</v>
      </c>
      <c r="AD25">
        <v>0</v>
      </c>
      <c r="AE25">
        <v>3</v>
      </c>
      <c r="AF25">
        <v>2</v>
      </c>
      <c r="AG25">
        <v>23</v>
      </c>
      <c r="AH25">
        <v>16.600000000000001</v>
      </c>
      <c r="AI25">
        <v>-5</v>
      </c>
    </row>
    <row r="26" spans="1:35" ht="21" x14ac:dyDescent="0.3">
      <c r="A26" t="s">
        <v>557</v>
      </c>
      <c r="B26" s="11">
        <v>13</v>
      </c>
      <c r="C26">
        <v>1323</v>
      </c>
      <c r="D26">
        <v>25</v>
      </c>
      <c r="E26" s="4">
        <v>44537</v>
      </c>
      <c r="F26" t="s">
        <v>62</v>
      </c>
      <c r="H26" t="s">
        <v>55</v>
      </c>
      <c r="I26" t="s">
        <v>214</v>
      </c>
      <c r="J26" t="s">
        <v>41</v>
      </c>
      <c r="K26" s="9">
        <v>1.5111111111111111</v>
      </c>
      <c r="L26">
        <v>13</v>
      </c>
      <c r="M26">
        <v>19</v>
      </c>
      <c r="N26">
        <v>0.68400000000000005</v>
      </c>
      <c r="O26">
        <v>2</v>
      </c>
      <c r="P26">
        <v>5</v>
      </c>
      <c r="Q26">
        <v>0.4</v>
      </c>
      <c r="R26">
        <v>11</v>
      </c>
      <c r="S26">
        <v>14</v>
      </c>
      <c r="T26">
        <v>0.78600000000000003</v>
      </c>
      <c r="U26">
        <v>0.73699999999999999</v>
      </c>
      <c r="V26">
        <v>2</v>
      </c>
      <c r="W26">
        <v>2</v>
      </c>
      <c r="X26">
        <v>1</v>
      </c>
      <c r="Y26">
        <v>2</v>
      </c>
      <c r="Z26">
        <v>2</v>
      </c>
      <c r="AA26">
        <v>4</v>
      </c>
      <c r="AB26">
        <v>5</v>
      </c>
      <c r="AC26">
        <v>0</v>
      </c>
      <c r="AD26">
        <v>0</v>
      </c>
      <c r="AE26">
        <v>3</v>
      </c>
      <c r="AF26">
        <v>2</v>
      </c>
      <c r="AG26">
        <v>30</v>
      </c>
      <c r="AH26">
        <v>23.6</v>
      </c>
      <c r="AI26">
        <v>18</v>
      </c>
    </row>
    <row r="27" spans="1:35" ht="21" x14ac:dyDescent="0.3">
      <c r="A27" t="s">
        <v>557</v>
      </c>
      <c r="B27" s="11">
        <v>14</v>
      </c>
      <c r="C27">
        <v>1324</v>
      </c>
      <c r="D27">
        <v>26</v>
      </c>
      <c r="E27" s="4">
        <v>44539</v>
      </c>
      <c r="F27" t="s">
        <v>62</v>
      </c>
      <c r="G27" t="s">
        <v>37</v>
      </c>
      <c r="H27" t="s">
        <v>42</v>
      </c>
      <c r="I27" t="s">
        <v>215</v>
      </c>
      <c r="J27" t="s">
        <v>41</v>
      </c>
      <c r="K27" s="9">
        <v>1.5583333333333333</v>
      </c>
      <c r="L27">
        <v>7</v>
      </c>
      <c r="M27">
        <v>15</v>
      </c>
      <c r="N27">
        <v>0.46700000000000003</v>
      </c>
      <c r="O27">
        <v>1</v>
      </c>
      <c r="P27">
        <v>6</v>
      </c>
      <c r="Q27">
        <v>0.16700000000000001</v>
      </c>
      <c r="R27">
        <v>6</v>
      </c>
      <c r="S27">
        <v>9</v>
      </c>
      <c r="T27">
        <v>0.66700000000000004</v>
      </c>
      <c r="U27">
        <v>0.5</v>
      </c>
      <c r="V27">
        <v>5</v>
      </c>
      <c r="W27">
        <v>5</v>
      </c>
      <c r="X27">
        <v>1</v>
      </c>
      <c r="Y27">
        <v>0</v>
      </c>
      <c r="Z27">
        <v>10</v>
      </c>
      <c r="AA27">
        <v>10</v>
      </c>
      <c r="AB27">
        <v>11</v>
      </c>
      <c r="AC27">
        <v>4</v>
      </c>
      <c r="AD27">
        <v>2</v>
      </c>
      <c r="AE27">
        <v>5</v>
      </c>
      <c r="AF27">
        <v>1</v>
      </c>
      <c r="AG27">
        <v>20</v>
      </c>
      <c r="AH27">
        <v>23</v>
      </c>
      <c r="AI27">
        <v>2</v>
      </c>
    </row>
    <row r="28" spans="1:35" ht="21" x14ac:dyDescent="0.3">
      <c r="A28" t="s">
        <v>557</v>
      </c>
      <c r="B28" s="11">
        <v>15</v>
      </c>
      <c r="C28">
        <v>1325</v>
      </c>
      <c r="D28">
        <v>27</v>
      </c>
      <c r="E28" s="4">
        <v>44540</v>
      </c>
      <c r="F28" t="s">
        <v>62</v>
      </c>
      <c r="G28" t="s">
        <v>37</v>
      </c>
      <c r="H28" t="s">
        <v>68</v>
      </c>
      <c r="I28" t="s">
        <v>216</v>
      </c>
      <c r="J28" t="s">
        <v>41</v>
      </c>
      <c r="K28" s="9">
        <v>1.445138888888889</v>
      </c>
      <c r="L28">
        <v>13</v>
      </c>
      <c r="M28">
        <v>20</v>
      </c>
      <c r="N28">
        <v>0.65</v>
      </c>
      <c r="O28">
        <v>4</v>
      </c>
      <c r="P28">
        <v>6</v>
      </c>
      <c r="Q28">
        <v>0.66700000000000004</v>
      </c>
      <c r="R28">
        <v>9</v>
      </c>
      <c r="S28">
        <v>14</v>
      </c>
      <c r="T28">
        <v>0.64300000000000002</v>
      </c>
      <c r="U28">
        <v>0.75</v>
      </c>
      <c r="V28">
        <v>3</v>
      </c>
      <c r="W28">
        <v>4</v>
      </c>
      <c r="X28">
        <v>0.75</v>
      </c>
      <c r="Y28">
        <v>0</v>
      </c>
      <c r="Z28">
        <v>5</v>
      </c>
      <c r="AA28">
        <v>5</v>
      </c>
      <c r="AB28">
        <v>6</v>
      </c>
      <c r="AC28">
        <v>3</v>
      </c>
      <c r="AD28">
        <v>2</v>
      </c>
      <c r="AE28">
        <v>2</v>
      </c>
      <c r="AF28">
        <v>2</v>
      </c>
      <c r="AG28">
        <v>33</v>
      </c>
      <c r="AH28">
        <v>31.1</v>
      </c>
      <c r="AI28">
        <v>19</v>
      </c>
    </row>
    <row r="29" spans="1:35" ht="21" x14ac:dyDescent="0.3">
      <c r="A29" t="s">
        <v>557</v>
      </c>
      <c r="B29" s="11">
        <v>16</v>
      </c>
      <c r="C29">
        <v>1326</v>
      </c>
      <c r="D29">
        <v>28</v>
      </c>
      <c r="E29" s="4">
        <v>44542</v>
      </c>
      <c r="F29" t="s">
        <v>62</v>
      </c>
      <c r="H29" t="s">
        <v>104</v>
      </c>
      <c r="I29" t="s">
        <v>217</v>
      </c>
      <c r="J29" t="s">
        <v>41</v>
      </c>
      <c r="K29" s="9">
        <v>1.5493055555555555</v>
      </c>
      <c r="L29">
        <v>12</v>
      </c>
      <c r="M29">
        <v>20</v>
      </c>
      <c r="N29">
        <v>0.6</v>
      </c>
      <c r="O29">
        <v>3</v>
      </c>
      <c r="P29">
        <v>7</v>
      </c>
      <c r="Q29">
        <v>0.42899999999999999</v>
      </c>
      <c r="R29">
        <v>9</v>
      </c>
      <c r="S29">
        <v>13</v>
      </c>
      <c r="T29">
        <v>0.69199999999999995</v>
      </c>
      <c r="U29">
        <v>0.67500000000000004</v>
      </c>
      <c r="V29">
        <v>3</v>
      </c>
      <c r="W29">
        <v>4</v>
      </c>
      <c r="X29">
        <v>0.75</v>
      </c>
      <c r="Y29">
        <v>1</v>
      </c>
      <c r="Z29">
        <v>10</v>
      </c>
      <c r="AA29">
        <v>11</v>
      </c>
      <c r="AB29">
        <v>10</v>
      </c>
      <c r="AC29">
        <v>0</v>
      </c>
      <c r="AD29">
        <v>3</v>
      </c>
      <c r="AE29">
        <v>6</v>
      </c>
      <c r="AF29">
        <v>2</v>
      </c>
      <c r="AG29">
        <v>30</v>
      </c>
      <c r="AH29">
        <v>26.4</v>
      </c>
      <c r="AI29">
        <v>14</v>
      </c>
    </row>
    <row r="30" spans="1:35" ht="21" x14ac:dyDescent="0.3">
      <c r="A30" t="s">
        <v>557</v>
      </c>
      <c r="B30" s="11">
        <v>17</v>
      </c>
      <c r="C30">
        <v>1327</v>
      </c>
      <c r="D30">
        <v>29</v>
      </c>
      <c r="E30" s="4">
        <v>44545</v>
      </c>
      <c r="F30" t="s">
        <v>62</v>
      </c>
      <c r="G30" t="s">
        <v>37</v>
      </c>
      <c r="H30" t="s">
        <v>49</v>
      </c>
      <c r="I30" t="s">
        <v>218</v>
      </c>
      <c r="J30" t="s">
        <v>41</v>
      </c>
      <c r="K30" s="9">
        <v>1.7902777777777779</v>
      </c>
      <c r="L30">
        <v>9</v>
      </c>
      <c r="M30">
        <v>19</v>
      </c>
      <c r="N30">
        <v>0.47399999999999998</v>
      </c>
      <c r="O30">
        <v>4</v>
      </c>
      <c r="P30">
        <v>9</v>
      </c>
      <c r="Q30">
        <v>0.44400000000000001</v>
      </c>
      <c r="R30">
        <v>5</v>
      </c>
      <c r="S30">
        <v>10</v>
      </c>
      <c r="T30">
        <v>0.5</v>
      </c>
      <c r="U30">
        <v>0.57899999999999996</v>
      </c>
      <c r="V30">
        <v>2</v>
      </c>
      <c r="W30">
        <v>3</v>
      </c>
      <c r="X30">
        <v>0.66700000000000004</v>
      </c>
      <c r="Y30">
        <v>0</v>
      </c>
      <c r="Z30">
        <v>3</v>
      </c>
      <c r="AA30">
        <v>3</v>
      </c>
      <c r="AB30">
        <v>5</v>
      </c>
      <c r="AC30">
        <v>1</v>
      </c>
      <c r="AD30">
        <v>0</v>
      </c>
      <c r="AE30">
        <v>2</v>
      </c>
      <c r="AF30">
        <v>1</v>
      </c>
      <c r="AG30">
        <v>24</v>
      </c>
      <c r="AH30">
        <v>16.899999999999999</v>
      </c>
      <c r="AI30">
        <v>-6</v>
      </c>
    </row>
    <row r="31" spans="1:35" ht="21" x14ac:dyDescent="0.3">
      <c r="A31" t="s">
        <v>557</v>
      </c>
      <c r="B31" s="11">
        <v>18</v>
      </c>
      <c r="C31">
        <v>1328</v>
      </c>
      <c r="D31">
        <v>30</v>
      </c>
      <c r="E31" s="4">
        <v>44547</v>
      </c>
      <c r="F31" t="s">
        <v>62</v>
      </c>
      <c r="G31" t="s">
        <v>37</v>
      </c>
      <c r="H31" t="s">
        <v>80</v>
      </c>
      <c r="I31" t="s">
        <v>219</v>
      </c>
      <c r="J31" t="s">
        <v>41</v>
      </c>
      <c r="K31" s="9">
        <v>1.4791666666666667</v>
      </c>
      <c r="L31">
        <v>5</v>
      </c>
      <c r="M31">
        <v>13</v>
      </c>
      <c r="N31">
        <v>0.38500000000000001</v>
      </c>
      <c r="O31">
        <v>2</v>
      </c>
      <c r="P31">
        <v>6</v>
      </c>
      <c r="Q31">
        <v>0.33300000000000002</v>
      </c>
      <c r="R31">
        <v>3</v>
      </c>
      <c r="S31">
        <v>7</v>
      </c>
      <c r="T31">
        <v>0.42899999999999999</v>
      </c>
      <c r="U31">
        <v>0.46200000000000002</v>
      </c>
      <c r="V31">
        <v>6</v>
      </c>
      <c r="W31">
        <v>8</v>
      </c>
      <c r="X31">
        <v>0.75</v>
      </c>
      <c r="Y31">
        <v>1</v>
      </c>
      <c r="Z31">
        <v>9</v>
      </c>
      <c r="AA31">
        <v>10</v>
      </c>
      <c r="AB31">
        <v>5</v>
      </c>
      <c r="AC31">
        <v>1</v>
      </c>
      <c r="AD31">
        <v>2</v>
      </c>
      <c r="AE31">
        <v>4</v>
      </c>
      <c r="AF31">
        <v>5</v>
      </c>
      <c r="AG31">
        <v>18</v>
      </c>
      <c r="AH31">
        <v>13.4</v>
      </c>
      <c r="AI31">
        <v>-11</v>
      </c>
    </row>
    <row r="32" spans="1:35" ht="21" x14ac:dyDescent="0.3">
      <c r="A32" t="s">
        <v>557</v>
      </c>
      <c r="B32" s="11">
        <v>19</v>
      </c>
      <c r="C32">
        <v>1329</v>
      </c>
      <c r="D32">
        <v>31</v>
      </c>
      <c r="E32" s="4">
        <v>44549</v>
      </c>
      <c r="F32" t="s">
        <v>62</v>
      </c>
      <c r="G32" t="s">
        <v>37</v>
      </c>
      <c r="H32" t="s">
        <v>82</v>
      </c>
      <c r="I32" t="s">
        <v>220</v>
      </c>
      <c r="J32" t="s">
        <v>41</v>
      </c>
      <c r="K32" s="9">
        <v>1.6416666666666666</v>
      </c>
      <c r="L32">
        <v>11</v>
      </c>
      <c r="M32">
        <v>21</v>
      </c>
      <c r="N32">
        <v>0.52400000000000002</v>
      </c>
      <c r="O32">
        <v>1</v>
      </c>
      <c r="P32">
        <v>7</v>
      </c>
      <c r="Q32">
        <v>0.14299999999999999</v>
      </c>
      <c r="R32">
        <v>10</v>
      </c>
      <c r="S32">
        <v>14</v>
      </c>
      <c r="T32">
        <v>0.71399999999999997</v>
      </c>
      <c r="U32">
        <v>0.54800000000000004</v>
      </c>
      <c r="V32">
        <v>8</v>
      </c>
      <c r="W32">
        <v>11</v>
      </c>
      <c r="X32">
        <v>0.72699999999999998</v>
      </c>
      <c r="Y32">
        <v>1</v>
      </c>
      <c r="Z32">
        <v>13</v>
      </c>
      <c r="AA32">
        <v>14</v>
      </c>
      <c r="AB32">
        <v>6</v>
      </c>
      <c r="AC32">
        <v>1</v>
      </c>
      <c r="AD32">
        <v>2</v>
      </c>
      <c r="AE32">
        <v>4</v>
      </c>
      <c r="AF32">
        <v>5</v>
      </c>
      <c r="AG32">
        <v>31</v>
      </c>
      <c r="AH32">
        <v>24.7</v>
      </c>
      <c r="AI32">
        <v>-1</v>
      </c>
    </row>
    <row r="33" spans="1:35" ht="21" x14ac:dyDescent="0.3">
      <c r="A33" t="s">
        <v>557</v>
      </c>
      <c r="B33" s="11">
        <v>20</v>
      </c>
      <c r="C33">
        <v>1330</v>
      </c>
      <c r="D33">
        <v>32</v>
      </c>
      <c r="E33" s="4">
        <v>44551</v>
      </c>
      <c r="F33" t="s">
        <v>62</v>
      </c>
      <c r="H33" t="s">
        <v>99</v>
      </c>
      <c r="I33" t="s">
        <v>221</v>
      </c>
      <c r="J33" t="s">
        <v>41</v>
      </c>
      <c r="K33" s="9">
        <v>1.4166666666666667</v>
      </c>
      <c r="L33">
        <v>13</v>
      </c>
      <c r="M33">
        <v>19</v>
      </c>
      <c r="N33">
        <v>0.68400000000000005</v>
      </c>
      <c r="O33">
        <v>2</v>
      </c>
      <c r="P33">
        <v>5</v>
      </c>
      <c r="Q33">
        <v>0.4</v>
      </c>
      <c r="R33">
        <v>11</v>
      </c>
      <c r="S33">
        <v>14</v>
      </c>
      <c r="T33">
        <v>0.78600000000000003</v>
      </c>
      <c r="U33">
        <v>0.73699999999999999</v>
      </c>
      <c r="V33">
        <v>6</v>
      </c>
      <c r="W33">
        <v>6</v>
      </c>
      <c r="X33">
        <v>1</v>
      </c>
      <c r="Y33">
        <v>0</v>
      </c>
      <c r="Z33">
        <v>7</v>
      </c>
      <c r="AA33">
        <v>7</v>
      </c>
      <c r="AB33">
        <v>2</v>
      </c>
      <c r="AC33">
        <v>2</v>
      </c>
      <c r="AD33">
        <v>0</v>
      </c>
      <c r="AE33">
        <v>2</v>
      </c>
      <c r="AF33">
        <v>1</v>
      </c>
      <c r="AG33">
        <v>34</v>
      </c>
      <c r="AH33">
        <v>29</v>
      </c>
      <c r="AI33">
        <v>0</v>
      </c>
    </row>
    <row r="34" spans="1:35" ht="21" x14ac:dyDescent="0.3">
      <c r="A34" t="s">
        <v>557</v>
      </c>
      <c r="B34" s="11">
        <v>21</v>
      </c>
      <c r="C34">
        <v>1331</v>
      </c>
      <c r="D34">
        <v>33</v>
      </c>
      <c r="E34" s="4">
        <v>44553</v>
      </c>
      <c r="F34" t="s">
        <v>62</v>
      </c>
      <c r="H34" t="s">
        <v>102</v>
      </c>
      <c r="I34" t="s">
        <v>222</v>
      </c>
      <c r="J34" t="s">
        <v>41</v>
      </c>
      <c r="K34" s="9">
        <v>1.4444444444444444</v>
      </c>
      <c r="L34">
        <v>15</v>
      </c>
      <c r="M34">
        <v>26</v>
      </c>
      <c r="N34">
        <v>0.57699999999999996</v>
      </c>
      <c r="O34">
        <v>2</v>
      </c>
      <c r="P34">
        <v>7</v>
      </c>
      <c r="Q34">
        <v>0.28599999999999998</v>
      </c>
      <c r="R34">
        <v>13</v>
      </c>
      <c r="S34">
        <v>19</v>
      </c>
      <c r="T34">
        <v>0.68400000000000005</v>
      </c>
      <c r="U34">
        <v>0.61499999999999999</v>
      </c>
      <c r="V34">
        <v>4</v>
      </c>
      <c r="W34">
        <v>6</v>
      </c>
      <c r="X34">
        <v>0.66700000000000004</v>
      </c>
      <c r="Y34">
        <v>2</v>
      </c>
      <c r="Z34">
        <v>7</v>
      </c>
      <c r="AA34">
        <v>9</v>
      </c>
      <c r="AB34">
        <v>6</v>
      </c>
      <c r="AC34">
        <v>1</v>
      </c>
      <c r="AD34">
        <v>2</v>
      </c>
      <c r="AE34">
        <v>3</v>
      </c>
      <c r="AF34">
        <v>2</v>
      </c>
      <c r="AG34">
        <v>36</v>
      </c>
      <c r="AH34">
        <v>29.3</v>
      </c>
      <c r="AI34">
        <v>-23</v>
      </c>
    </row>
    <row r="35" spans="1:35" ht="21" x14ac:dyDescent="0.3">
      <c r="A35" t="s">
        <v>557</v>
      </c>
      <c r="B35" s="11">
        <v>22</v>
      </c>
      <c r="C35">
        <v>1332</v>
      </c>
      <c r="D35">
        <v>34</v>
      </c>
      <c r="E35" s="4">
        <v>44555</v>
      </c>
      <c r="F35" t="s">
        <v>62</v>
      </c>
      <c r="H35" t="s">
        <v>85</v>
      </c>
      <c r="I35" t="s">
        <v>223</v>
      </c>
      <c r="J35" t="s">
        <v>41</v>
      </c>
      <c r="K35" s="9">
        <v>1.6618055555555555</v>
      </c>
      <c r="L35">
        <v>14</v>
      </c>
      <c r="M35">
        <v>25</v>
      </c>
      <c r="N35">
        <v>0.56000000000000005</v>
      </c>
      <c r="O35">
        <v>3</v>
      </c>
      <c r="P35">
        <v>9</v>
      </c>
      <c r="Q35">
        <v>0.33300000000000002</v>
      </c>
      <c r="R35">
        <v>11</v>
      </c>
      <c r="S35">
        <v>16</v>
      </c>
      <c r="T35">
        <v>0.68799999999999994</v>
      </c>
      <c r="U35">
        <v>0.62</v>
      </c>
      <c r="V35">
        <v>8</v>
      </c>
      <c r="W35">
        <v>9</v>
      </c>
      <c r="X35">
        <v>0.88900000000000001</v>
      </c>
      <c r="Y35">
        <v>1</v>
      </c>
      <c r="Z35">
        <v>8</v>
      </c>
      <c r="AA35">
        <v>9</v>
      </c>
      <c r="AB35">
        <v>7</v>
      </c>
      <c r="AC35">
        <v>3</v>
      </c>
      <c r="AD35">
        <v>1</v>
      </c>
      <c r="AE35">
        <v>3</v>
      </c>
      <c r="AF35">
        <v>2</v>
      </c>
      <c r="AG35">
        <v>39</v>
      </c>
      <c r="AH35">
        <v>34.6</v>
      </c>
      <c r="AI35">
        <v>9</v>
      </c>
    </row>
    <row r="36" spans="1:35" ht="21" x14ac:dyDescent="0.3">
      <c r="A36" t="s">
        <v>557</v>
      </c>
      <c r="B36" s="11">
        <v>23</v>
      </c>
      <c r="C36">
        <v>1333</v>
      </c>
      <c r="D36">
        <v>35</v>
      </c>
      <c r="E36" s="4">
        <v>44558</v>
      </c>
      <c r="F36" t="s">
        <v>62</v>
      </c>
      <c r="G36" t="s">
        <v>37</v>
      </c>
      <c r="H36" t="s">
        <v>76</v>
      </c>
      <c r="I36" t="s">
        <v>224</v>
      </c>
      <c r="J36" t="s">
        <v>41</v>
      </c>
      <c r="K36" s="9">
        <v>1.64375</v>
      </c>
      <c r="L36">
        <v>11</v>
      </c>
      <c r="M36">
        <v>19</v>
      </c>
      <c r="N36">
        <v>0.57899999999999996</v>
      </c>
      <c r="O36">
        <v>3</v>
      </c>
      <c r="P36">
        <v>5</v>
      </c>
      <c r="Q36">
        <v>0.6</v>
      </c>
      <c r="R36">
        <v>8</v>
      </c>
      <c r="S36">
        <v>14</v>
      </c>
      <c r="T36">
        <v>0.57099999999999995</v>
      </c>
      <c r="U36">
        <v>0.65800000000000003</v>
      </c>
      <c r="V36">
        <v>7</v>
      </c>
      <c r="W36">
        <v>9</v>
      </c>
      <c r="X36">
        <v>0.77800000000000002</v>
      </c>
      <c r="Y36">
        <v>4</v>
      </c>
      <c r="Z36">
        <v>6</v>
      </c>
      <c r="AA36">
        <v>10</v>
      </c>
      <c r="AB36">
        <v>11</v>
      </c>
      <c r="AC36">
        <v>1</v>
      </c>
      <c r="AD36">
        <v>2</v>
      </c>
      <c r="AE36">
        <v>3</v>
      </c>
      <c r="AF36">
        <v>3</v>
      </c>
      <c r="AG36">
        <v>32</v>
      </c>
      <c r="AH36">
        <v>32.799999999999997</v>
      </c>
      <c r="AI36">
        <v>6</v>
      </c>
    </row>
    <row r="37" spans="1:35" ht="21" x14ac:dyDescent="0.3">
      <c r="A37" t="s">
        <v>557</v>
      </c>
      <c r="B37" s="11">
        <v>24</v>
      </c>
      <c r="C37">
        <v>1334</v>
      </c>
      <c r="D37">
        <v>36</v>
      </c>
      <c r="E37" s="4">
        <v>44559</v>
      </c>
      <c r="F37" t="s">
        <v>62</v>
      </c>
      <c r="G37" t="s">
        <v>37</v>
      </c>
      <c r="H37" t="s">
        <v>42</v>
      </c>
      <c r="I37" t="s">
        <v>225</v>
      </c>
      <c r="J37" t="s">
        <v>41</v>
      </c>
      <c r="K37" s="9">
        <v>1.58125</v>
      </c>
      <c r="L37">
        <v>13</v>
      </c>
      <c r="M37">
        <v>25</v>
      </c>
      <c r="N37">
        <v>0.52</v>
      </c>
      <c r="O37">
        <v>8</v>
      </c>
      <c r="P37">
        <v>14</v>
      </c>
      <c r="Q37">
        <v>0.57099999999999995</v>
      </c>
      <c r="R37">
        <v>5</v>
      </c>
      <c r="S37">
        <v>11</v>
      </c>
      <c r="T37">
        <v>0.45500000000000002</v>
      </c>
      <c r="U37">
        <v>0.68</v>
      </c>
      <c r="V37">
        <v>3</v>
      </c>
      <c r="W37">
        <v>3</v>
      </c>
      <c r="X37">
        <v>1</v>
      </c>
      <c r="Y37">
        <v>2</v>
      </c>
      <c r="Z37">
        <v>11</v>
      </c>
      <c r="AA37">
        <v>13</v>
      </c>
      <c r="AB37">
        <v>7</v>
      </c>
      <c r="AC37">
        <v>2</v>
      </c>
      <c r="AD37">
        <v>2</v>
      </c>
      <c r="AE37">
        <v>5</v>
      </c>
      <c r="AF37">
        <v>1</v>
      </c>
      <c r="AG37">
        <v>37</v>
      </c>
      <c r="AH37">
        <v>32.299999999999997</v>
      </c>
      <c r="AI37">
        <v>0</v>
      </c>
    </row>
    <row r="38" spans="1:35" ht="21" x14ac:dyDescent="0.3">
      <c r="A38" t="s">
        <v>557</v>
      </c>
      <c r="B38" s="11">
        <v>25</v>
      </c>
      <c r="C38">
        <v>1335</v>
      </c>
      <c r="D38">
        <v>37</v>
      </c>
      <c r="E38" s="4">
        <v>44561</v>
      </c>
      <c r="F38" t="s">
        <v>62</v>
      </c>
      <c r="H38" t="s">
        <v>96</v>
      </c>
      <c r="I38" t="s">
        <v>226</v>
      </c>
      <c r="J38" t="s">
        <v>41</v>
      </c>
      <c r="K38" s="9">
        <v>1.2208333333333334</v>
      </c>
      <c r="L38">
        <v>16</v>
      </c>
      <c r="M38">
        <v>26</v>
      </c>
      <c r="N38">
        <v>0.61499999999999999</v>
      </c>
      <c r="O38">
        <v>5</v>
      </c>
      <c r="P38">
        <v>10</v>
      </c>
      <c r="Q38">
        <v>0.5</v>
      </c>
      <c r="R38">
        <v>11</v>
      </c>
      <c r="S38">
        <v>16</v>
      </c>
      <c r="T38">
        <v>0.68799999999999994</v>
      </c>
      <c r="U38">
        <v>0.71199999999999997</v>
      </c>
      <c r="V38">
        <v>6</v>
      </c>
      <c r="W38">
        <v>9</v>
      </c>
      <c r="X38">
        <v>0.66700000000000004</v>
      </c>
      <c r="Y38">
        <v>2</v>
      </c>
      <c r="Z38">
        <v>12</v>
      </c>
      <c r="AA38">
        <v>14</v>
      </c>
      <c r="AB38">
        <v>4</v>
      </c>
      <c r="AC38">
        <v>2</v>
      </c>
      <c r="AD38">
        <v>2</v>
      </c>
      <c r="AE38">
        <v>0</v>
      </c>
      <c r="AF38">
        <v>1</v>
      </c>
      <c r="AG38">
        <v>43</v>
      </c>
      <c r="AH38">
        <v>40.799999999999997</v>
      </c>
      <c r="AI38">
        <v>18</v>
      </c>
    </row>
    <row r="39" spans="1:35" ht="21" x14ac:dyDescent="0.3">
      <c r="A39" t="s">
        <v>557</v>
      </c>
      <c r="B39" s="11">
        <v>26</v>
      </c>
      <c r="C39">
        <v>1336</v>
      </c>
      <c r="D39">
        <v>38</v>
      </c>
      <c r="E39" s="4">
        <v>44563</v>
      </c>
      <c r="F39" t="s">
        <v>62</v>
      </c>
      <c r="H39" t="s">
        <v>80</v>
      </c>
      <c r="I39" t="s">
        <v>227</v>
      </c>
      <c r="J39" t="s">
        <v>41</v>
      </c>
      <c r="K39" s="9">
        <v>1.6340277777777779</v>
      </c>
      <c r="L39">
        <v>7</v>
      </c>
      <c r="M39">
        <v>15</v>
      </c>
      <c r="N39">
        <v>0.46700000000000003</v>
      </c>
      <c r="O39">
        <v>3</v>
      </c>
      <c r="P39">
        <v>9</v>
      </c>
      <c r="Q39">
        <v>0.33300000000000002</v>
      </c>
      <c r="R39">
        <v>4</v>
      </c>
      <c r="S39">
        <v>6</v>
      </c>
      <c r="T39">
        <v>0.66700000000000004</v>
      </c>
      <c r="U39">
        <v>0.56699999999999995</v>
      </c>
      <c r="V39">
        <v>9</v>
      </c>
      <c r="W39">
        <v>12</v>
      </c>
      <c r="X39">
        <v>0.75</v>
      </c>
      <c r="Y39">
        <v>0</v>
      </c>
      <c r="Z39">
        <v>7</v>
      </c>
      <c r="AA39">
        <v>7</v>
      </c>
      <c r="AB39">
        <v>5</v>
      </c>
      <c r="AC39">
        <v>3</v>
      </c>
      <c r="AD39">
        <v>1</v>
      </c>
      <c r="AE39">
        <v>1</v>
      </c>
      <c r="AF39">
        <v>2</v>
      </c>
      <c r="AG39">
        <v>26</v>
      </c>
      <c r="AH39">
        <v>24.6</v>
      </c>
      <c r="AI39">
        <v>9</v>
      </c>
    </row>
    <row r="40" spans="1:35" ht="21" x14ac:dyDescent="0.3">
      <c r="A40" t="s">
        <v>557</v>
      </c>
      <c r="B40" s="11">
        <v>27</v>
      </c>
      <c r="C40">
        <v>1337</v>
      </c>
      <c r="D40">
        <v>39</v>
      </c>
      <c r="E40" s="4">
        <v>44565</v>
      </c>
      <c r="F40" t="s">
        <v>62</v>
      </c>
      <c r="H40" t="s">
        <v>66</v>
      </c>
      <c r="I40" t="s">
        <v>228</v>
      </c>
      <c r="J40" t="s">
        <v>41</v>
      </c>
      <c r="K40" s="9">
        <v>1.5201388888888889</v>
      </c>
      <c r="L40">
        <v>12</v>
      </c>
      <c r="M40">
        <v>26</v>
      </c>
      <c r="N40">
        <v>0.46200000000000002</v>
      </c>
      <c r="O40">
        <v>3</v>
      </c>
      <c r="P40">
        <v>10</v>
      </c>
      <c r="Q40">
        <v>0.3</v>
      </c>
      <c r="R40">
        <v>9</v>
      </c>
      <c r="S40">
        <v>16</v>
      </c>
      <c r="T40">
        <v>0.56299999999999994</v>
      </c>
      <c r="U40">
        <v>0.51900000000000002</v>
      </c>
      <c r="V40">
        <v>4</v>
      </c>
      <c r="W40">
        <v>5</v>
      </c>
      <c r="X40">
        <v>0.8</v>
      </c>
      <c r="Y40">
        <v>2</v>
      </c>
      <c r="Z40">
        <v>3</v>
      </c>
      <c r="AA40">
        <v>5</v>
      </c>
      <c r="AB40">
        <v>5</v>
      </c>
      <c r="AC40">
        <v>0</v>
      </c>
      <c r="AD40">
        <v>1</v>
      </c>
      <c r="AE40">
        <v>2</v>
      </c>
      <c r="AF40">
        <v>3</v>
      </c>
      <c r="AG40">
        <v>31</v>
      </c>
      <c r="AH40">
        <v>20.5</v>
      </c>
      <c r="AI40">
        <v>3</v>
      </c>
    </row>
    <row r="41" spans="1:35" ht="21" x14ac:dyDescent="0.3">
      <c r="A41" t="s">
        <v>557</v>
      </c>
      <c r="B41" s="11">
        <v>28</v>
      </c>
      <c r="C41">
        <v>1338</v>
      </c>
      <c r="D41">
        <v>40</v>
      </c>
      <c r="E41" s="4">
        <v>44568</v>
      </c>
      <c r="F41" t="s">
        <v>62</v>
      </c>
      <c r="H41" t="s">
        <v>78</v>
      </c>
      <c r="I41" t="s">
        <v>229</v>
      </c>
      <c r="J41" t="s">
        <v>41</v>
      </c>
      <c r="K41" s="9">
        <v>1.5208333333333333</v>
      </c>
      <c r="L41">
        <v>13</v>
      </c>
      <c r="M41">
        <v>24</v>
      </c>
      <c r="N41">
        <v>0.54200000000000004</v>
      </c>
      <c r="O41">
        <v>1</v>
      </c>
      <c r="P41">
        <v>6</v>
      </c>
      <c r="Q41">
        <v>0.16700000000000001</v>
      </c>
      <c r="R41">
        <v>12</v>
      </c>
      <c r="S41">
        <v>18</v>
      </c>
      <c r="T41">
        <v>0.66700000000000004</v>
      </c>
      <c r="U41">
        <v>0.56299999999999994</v>
      </c>
      <c r="V41">
        <v>5</v>
      </c>
      <c r="W41">
        <v>5</v>
      </c>
      <c r="X41">
        <v>1</v>
      </c>
      <c r="Y41">
        <v>1</v>
      </c>
      <c r="Z41">
        <v>7</v>
      </c>
      <c r="AA41">
        <v>8</v>
      </c>
      <c r="AB41">
        <v>9</v>
      </c>
      <c r="AC41">
        <v>4</v>
      </c>
      <c r="AD41">
        <v>3</v>
      </c>
      <c r="AE41">
        <v>4</v>
      </c>
      <c r="AF41">
        <v>4</v>
      </c>
      <c r="AG41">
        <v>32</v>
      </c>
      <c r="AH41">
        <v>30</v>
      </c>
      <c r="AI41">
        <v>4</v>
      </c>
    </row>
    <row r="42" spans="1:35" ht="21" x14ac:dyDescent="0.3">
      <c r="A42" t="s">
        <v>557</v>
      </c>
      <c r="B42" s="11">
        <v>29</v>
      </c>
      <c r="C42">
        <v>1339</v>
      </c>
      <c r="D42">
        <v>41</v>
      </c>
      <c r="E42" s="4">
        <v>44570</v>
      </c>
      <c r="F42" t="s">
        <v>62</v>
      </c>
      <c r="H42" t="s">
        <v>42</v>
      </c>
      <c r="I42" t="s">
        <v>230</v>
      </c>
      <c r="J42" t="s">
        <v>41</v>
      </c>
      <c r="K42" s="9">
        <v>1.3902777777777777</v>
      </c>
      <c r="L42">
        <v>14</v>
      </c>
      <c r="M42">
        <v>19</v>
      </c>
      <c r="N42">
        <v>0.73699999999999999</v>
      </c>
      <c r="O42">
        <v>3</v>
      </c>
      <c r="P42">
        <v>4</v>
      </c>
      <c r="Q42">
        <v>0.75</v>
      </c>
      <c r="R42">
        <v>11</v>
      </c>
      <c r="S42">
        <v>15</v>
      </c>
      <c r="T42">
        <v>0.73299999999999998</v>
      </c>
      <c r="U42">
        <v>0.81599999999999995</v>
      </c>
      <c r="V42">
        <v>4</v>
      </c>
      <c r="W42">
        <v>4</v>
      </c>
      <c r="X42">
        <v>1</v>
      </c>
      <c r="Y42">
        <v>6</v>
      </c>
      <c r="Z42">
        <v>3</v>
      </c>
      <c r="AA42">
        <v>9</v>
      </c>
      <c r="AB42">
        <v>7</v>
      </c>
      <c r="AC42">
        <v>0</v>
      </c>
      <c r="AD42">
        <v>0</v>
      </c>
      <c r="AE42">
        <v>3</v>
      </c>
      <c r="AF42">
        <v>4</v>
      </c>
      <c r="AG42">
        <v>35</v>
      </c>
      <c r="AH42">
        <v>32.700000000000003</v>
      </c>
      <c r="AI42">
        <v>-30</v>
      </c>
    </row>
    <row r="43" spans="1:35" ht="21" x14ac:dyDescent="0.3">
      <c r="A43" t="s">
        <v>557</v>
      </c>
      <c r="B43" s="11">
        <v>30</v>
      </c>
      <c r="C43">
        <v>1340</v>
      </c>
      <c r="D43">
        <v>42</v>
      </c>
      <c r="E43" s="4">
        <v>44573</v>
      </c>
      <c r="F43" t="s">
        <v>62</v>
      </c>
      <c r="G43" t="s">
        <v>37</v>
      </c>
      <c r="H43" t="s">
        <v>66</v>
      </c>
      <c r="I43" t="s">
        <v>231</v>
      </c>
      <c r="J43" t="s">
        <v>41</v>
      </c>
      <c r="K43" s="9">
        <v>1.6222222222222222</v>
      </c>
      <c r="L43">
        <v>13</v>
      </c>
      <c r="M43">
        <v>29</v>
      </c>
      <c r="N43">
        <v>0.44800000000000001</v>
      </c>
      <c r="O43">
        <v>3</v>
      </c>
      <c r="P43">
        <v>12</v>
      </c>
      <c r="Q43">
        <v>0.25</v>
      </c>
      <c r="R43">
        <v>10</v>
      </c>
      <c r="S43">
        <v>17</v>
      </c>
      <c r="T43">
        <v>0.58799999999999997</v>
      </c>
      <c r="U43">
        <v>0.5</v>
      </c>
      <c r="V43">
        <v>5</v>
      </c>
      <c r="W43">
        <v>10</v>
      </c>
      <c r="X43">
        <v>0.5</v>
      </c>
      <c r="Y43">
        <v>1</v>
      </c>
      <c r="Z43">
        <v>6</v>
      </c>
      <c r="AA43">
        <v>7</v>
      </c>
      <c r="AB43">
        <v>6</v>
      </c>
      <c r="AC43">
        <v>0</v>
      </c>
      <c r="AD43">
        <v>1</v>
      </c>
      <c r="AE43">
        <v>1</v>
      </c>
      <c r="AF43">
        <v>2</v>
      </c>
      <c r="AG43">
        <v>34</v>
      </c>
      <c r="AH43">
        <v>22.5</v>
      </c>
      <c r="AI43">
        <v>-12</v>
      </c>
    </row>
    <row r="44" spans="1:35" ht="21" x14ac:dyDescent="0.3">
      <c r="A44" t="s">
        <v>557</v>
      </c>
      <c r="B44" s="11">
        <v>31</v>
      </c>
      <c r="C44">
        <v>1341</v>
      </c>
      <c r="D44">
        <v>43</v>
      </c>
      <c r="E44" s="4">
        <v>44576</v>
      </c>
      <c r="F44" t="s">
        <v>62</v>
      </c>
      <c r="G44" t="s">
        <v>37</v>
      </c>
      <c r="H44" t="s">
        <v>34</v>
      </c>
      <c r="I44" t="s">
        <v>232</v>
      </c>
      <c r="J44" t="s">
        <v>41</v>
      </c>
      <c r="K44" s="9">
        <v>1.2791666666666666</v>
      </c>
      <c r="L44">
        <v>9</v>
      </c>
      <c r="M44">
        <v>23</v>
      </c>
      <c r="N44">
        <v>0.39100000000000001</v>
      </c>
      <c r="O44">
        <v>2</v>
      </c>
      <c r="P44">
        <v>8</v>
      </c>
      <c r="Q44">
        <v>0.25</v>
      </c>
      <c r="R44">
        <v>7</v>
      </c>
      <c r="S44">
        <v>15</v>
      </c>
      <c r="T44">
        <v>0.46700000000000003</v>
      </c>
      <c r="U44">
        <v>0.435</v>
      </c>
      <c r="V44">
        <v>5</v>
      </c>
      <c r="W44">
        <v>7</v>
      </c>
      <c r="X44">
        <v>0.71399999999999997</v>
      </c>
      <c r="Y44">
        <v>1</v>
      </c>
      <c r="Z44">
        <v>8</v>
      </c>
      <c r="AA44">
        <v>9</v>
      </c>
      <c r="AB44">
        <v>2</v>
      </c>
      <c r="AC44">
        <v>0</v>
      </c>
      <c r="AD44">
        <v>2</v>
      </c>
      <c r="AE44">
        <v>1</v>
      </c>
      <c r="AF44">
        <v>0</v>
      </c>
      <c r="AG44">
        <v>25</v>
      </c>
      <c r="AH44">
        <v>16.600000000000001</v>
      </c>
      <c r="AI44">
        <v>-17</v>
      </c>
    </row>
    <row r="45" spans="1:35" ht="21" x14ac:dyDescent="0.3">
      <c r="A45" t="s">
        <v>557</v>
      </c>
      <c r="B45" s="11">
        <v>32</v>
      </c>
      <c r="C45">
        <v>1342</v>
      </c>
      <c r="D45">
        <v>44</v>
      </c>
      <c r="E45" s="4">
        <v>44578</v>
      </c>
      <c r="F45" t="s">
        <v>62</v>
      </c>
      <c r="H45" t="s">
        <v>118</v>
      </c>
      <c r="I45" t="s">
        <v>233</v>
      </c>
      <c r="J45" t="s">
        <v>41</v>
      </c>
      <c r="K45" s="9">
        <v>1.5534722222222221</v>
      </c>
      <c r="L45">
        <v>9</v>
      </c>
      <c r="M45">
        <v>20</v>
      </c>
      <c r="N45">
        <v>0.45</v>
      </c>
      <c r="O45">
        <v>3</v>
      </c>
      <c r="P45">
        <v>8</v>
      </c>
      <c r="Q45">
        <v>0.375</v>
      </c>
      <c r="R45">
        <v>6</v>
      </c>
      <c r="S45">
        <v>12</v>
      </c>
      <c r="T45">
        <v>0.5</v>
      </c>
      <c r="U45">
        <v>0.52500000000000002</v>
      </c>
      <c r="V45">
        <v>4</v>
      </c>
      <c r="W45">
        <v>8</v>
      </c>
      <c r="X45">
        <v>0.5</v>
      </c>
      <c r="Y45">
        <v>0</v>
      </c>
      <c r="Z45">
        <v>7</v>
      </c>
      <c r="AA45">
        <v>7</v>
      </c>
      <c r="AB45">
        <v>7</v>
      </c>
      <c r="AC45">
        <v>1</v>
      </c>
      <c r="AD45">
        <v>1</v>
      </c>
      <c r="AE45">
        <v>1</v>
      </c>
      <c r="AF45">
        <v>1</v>
      </c>
      <c r="AG45">
        <v>25</v>
      </c>
      <c r="AH45">
        <v>20.3</v>
      </c>
      <c r="AI45">
        <v>11</v>
      </c>
    </row>
    <row r="46" spans="1:35" ht="21" x14ac:dyDescent="0.3">
      <c r="A46" t="s">
        <v>557</v>
      </c>
      <c r="B46" s="11">
        <v>33</v>
      </c>
      <c r="C46">
        <v>1343</v>
      </c>
      <c r="D46">
        <v>45</v>
      </c>
      <c r="E46" s="4">
        <v>44580</v>
      </c>
      <c r="F46" t="s">
        <v>62</v>
      </c>
      <c r="H46" t="s">
        <v>108</v>
      </c>
      <c r="I46" t="s">
        <v>234</v>
      </c>
      <c r="J46" t="s">
        <v>41</v>
      </c>
      <c r="K46" s="9">
        <v>1.5583333333333333</v>
      </c>
      <c r="L46">
        <v>11</v>
      </c>
      <c r="M46">
        <v>22</v>
      </c>
      <c r="N46">
        <v>0.5</v>
      </c>
      <c r="O46">
        <v>3</v>
      </c>
      <c r="P46">
        <v>7</v>
      </c>
      <c r="Q46">
        <v>0.42899999999999999</v>
      </c>
      <c r="R46">
        <v>8</v>
      </c>
      <c r="S46">
        <v>15</v>
      </c>
      <c r="T46">
        <v>0.53300000000000003</v>
      </c>
      <c r="U46">
        <v>0.56799999999999995</v>
      </c>
      <c r="V46">
        <v>5</v>
      </c>
      <c r="W46">
        <v>7</v>
      </c>
      <c r="X46">
        <v>0.71399999999999997</v>
      </c>
      <c r="Y46">
        <v>1</v>
      </c>
      <c r="Z46">
        <v>11</v>
      </c>
      <c r="AA46">
        <v>12</v>
      </c>
      <c r="AB46">
        <v>5</v>
      </c>
      <c r="AC46">
        <v>2</v>
      </c>
      <c r="AD46">
        <v>0</v>
      </c>
      <c r="AE46">
        <v>3</v>
      </c>
      <c r="AF46">
        <v>1</v>
      </c>
      <c r="AG46">
        <v>30</v>
      </c>
      <c r="AH46">
        <v>24.3</v>
      </c>
      <c r="AI46">
        <v>-20</v>
      </c>
    </row>
    <row r="47" spans="1:35" ht="21" x14ac:dyDescent="0.3">
      <c r="A47" t="s">
        <v>557</v>
      </c>
      <c r="B47" s="11">
        <v>34</v>
      </c>
      <c r="C47">
        <v>1344</v>
      </c>
      <c r="D47">
        <v>46</v>
      </c>
      <c r="E47" s="4">
        <v>44582</v>
      </c>
      <c r="F47" t="s">
        <v>62</v>
      </c>
      <c r="G47" t="s">
        <v>37</v>
      </c>
      <c r="H47" t="s">
        <v>104</v>
      </c>
      <c r="I47" t="s">
        <v>235</v>
      </c>
      <c r="J47" t="s">
        <v>41</v>
      </c>
      <c r="K47" s="9">
        <v>1.4</v>
      </c>
      <c r="L47">
        <v>12</v>
      </c>
      <c r="M47">
        <v>23</v>
      </c>
      <c r="N47">
        <v>0.52200000000000002</v>
      </c>
      <c r="O47">
        <v>2</v>
      </c>
      <c r="P47">
        <v>7</v>
      </c>
      <c r="Q47">
        <v>0.28599999999999998</v>
      </c>
      <c r="R47">
        <v>10</v>
      </c>
      <c r="S47">
        <v>16</v>
      </c>
      <c r="T47">
        <v>0.625</v>
      </c>
      <c r="U47">
        <v>0.56499999999999995</v>
      </c>
      <c r="V47">
        <v>3</v>
      </c>
      <c r="W47">
        <v>3</v>
      </c>
      <c r="X47">
        <v>1</v>
      </c>
      <c r="Y47">
        <v>1</v>
      </c>
      <c r="Z47">
        <v>6</v>
      </c>
      <c r="AA47">
        <v>7</v>
      </c>
      <c r="AB47">
        <v>5</v>
      </c>
      <c r="AC47">
        <v>1</v>
      </c>
      <c r="AD47">
        <v>1</v>
      </c>
      <c r="AE47">
        <v>6</v>
      </c>
      <c r="AF47">
        <v>3</v>
      </c>
      <c r="AG47">
        <v>29</v>
      </c>
      <c r="AH47">
        <v>18.2</v>
      </c>
      <c r="AI47">
        <v>5</v>
      </c>
    </row>
    <row r="48" spans="1:35" ht="21" x14ac:dyDescent="0.3">
      <c r="A48" t="s">
        <v>557</v>
      </c>
      <c r="B48" s="11">
        <v>35</v>
      </c>
      <c r="C48">
        <v>1345</v>
      </c>
      <c r="D48">
        <v>47</v>
      </c>
      <c r="E48" s="4">
        <v>44584</v>
      </c>
      <c r="F48" t="s">
        <v>62</v>
      </c>
      <c r="G48" t="s">
        <v>37</v>
      </c>
      <c r="H48" t="s">
        <v>120</v>
      </c>
      <c r="I48" t="s">
        <v>236</v>
      </c>
      <c r="J48" t="s">
        <v>41</v>
      </c>
      <c r="K48" s="9">
        <v>1.6611111111111112</v>
      </c>
      <c r="L48">
        <v>12</v>
      </c>
      <c r="M48">
        <v>22</v>
      </c>
      <c r="N48">
        <v>0.54500000000000004</v>
      </c>
      <c r="O48">
        <v>1</v>
      </c>
      <c r="P48">
        <v>8</v>
      </c>
      <c r="Q48">
        <v>0.125</v>
      </c>
      <c r="R48">
        <v>11</v>
      </c>
      <c r="S48">
        <v>14</v>
      </c>
      <c r="T48">
        <v>0.78600000000000003</v>
      </c>
      <c r="U48">
        <v>0.56799999999999995</v>
      </c>
      <c r="V48">
        <v>8</v>
      </c>
      <c r="W48">
        <v>11</v>
      </c>
      <c r="X48">
        <v>0.72699999999999998</v>
      </c>
      <c r="Y48">
        <v>2</v>
      </c>
      <c r="Z48">
        <v>9</v>
      </c>
      <c r="AA48">
        <v>11</v>
      </c>
      <c r="AB48">
        <v>4</v>
      </c>
      <c r="AC48">
        <v>2</v>
      </c>
      <c r="AD48">
        <v>0</v>
      </c>
      <c r="AE48">
        <v>3</v>
      </c>
      <c r="AF48">
        <v>4</v>
      </c>
      <c r="AG48">
        <v>33</v>
      </c>
      <c r="AH48">
        <v>25.5</v>
      </c>
      <c r="AI48">
        <v>-8</v>
      </c>
    </row>
    <row r="49" spans="1:35" ht="21" x14ac:dyDescent="0.3">
      <c r="A49" t="s">
        <v>557</v>
      </c>
      <c r="B49" s="11">
        <v>36</v>
      </c>
      <c r="C49">
        <v>1346</v>
      </c>
      <c r="D49">
        <v>48</v>
      </c>
      <c r="E49" s="4">
        <v>44586</v>
      </c>
      <c r="F49" t="s">
        <v>62</v>
      </c>
      <c r="G49" t="s">
        <v>37</v>
      </c>
      <c r="H49" t="s">
        <v>85</v>
      </c>
      <c r="I49" t="s">
        <v>237</v>
      </c>
      <c r="J49" t="s">
        <v>41</v>
      </c>
      <c r="K49" s="9">
        <v>1.4354166666666666</v>
      </c>
      <c r="L49">
        <v>14</v>
      </c>
      <c r="M49">
        <v>21</v>
      </c>
      <c r="N49">
        <v>0.66700000000000004</v>
      </c>
      <c r="O49">
        <v>2</v>
      </c>
      <c r="P49">
        <v>8</v>
      </c>
      <c r="Q49">
        <v>0.25</v>
      </c>
      <c r="R49">
        <v>12</v>
      </c>
      <c r="S49">
        <v>13</v>
      </c>
      <c r="T49">
        <v>0.92300000000000004</v>
      </c>
      <c r="U49">
        <v>0.71399999999999997</v>
      </c>
      <c r="V49">
        <v>3</v>
      </c>
      <c r="W49">
        <v>3</v>
      </c>
      <c r="X49">
        <v>1</v>
      </c>
      <c r="Y49">
        <v>0</v>
      </c>
      <c r="Z49">
        <v>7</v>
      </c>
      <c r="AA49">
        <v>7</v>
      </c>
      <c r="AB49">
        <v>6</v>
      </c>
      <c r="AC49">
        <v>3</v>
      </c>
      <c r="AD49">
        <v>2</v>
      </c>
      <c r="AE49">
        <v>0</v>
      </c>
      <c r="AF49">
        <v>1</v>
      </c>
      <c r="AG49">
        <v>33</v>
      </c>
      <c r="AH49">
        <v>34.200000000000003</v>
      </c>
      <c r="AI49">
        <v>10</v>
      </c>
    </row>
    <row r="50" spans="1:35" ht="21" x14ac:dyDescent="0.3">
      <c r="A50" t="s">
        <v>557</v>
      </c>
      <c r="B50" s="11">
        <v>36</v>
      </c>
      <c r="D50">
        <v>49</v>
      </c>
      <c r="E50" s="4">
        <v>44588</v>
      </c>
      <c r="F50" t="s">
        <v>62</v>
      </c>
      <c r="G50" t="s">
        <v>37</v>
      </c>
      <c r="H50" t="s">
        <v>94</v>
      </c>
      <c r="I50" t="s">
        <v>238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  <c r="O50" t="s">
        <v>91</v>
      </c>
      <c r="P50" t="s">
        <v>91</v>
      </c>
      <c r="Q50" t="s">
        <v>91</v>
      </c>
      <c r="R50" t="s">
        <v>91</v>
      </c>
      <c r="S50" t="s">
        <v>91</v>
      </c>
      <c r="T50" t="s">
        <v>91</v>
      </c>
      <c r="U50" t="s">
        <v>91</v>
      </c>
      <c r="V50" t="s">
        <v>91</v>
      </c>
      <c r="W50" t="s">
        <v>91</v>
      </c>
      <c r="X50" t="s">
        <v>91</v>
      </c>
      <c r="Y50" t="s">
        <v>91</v>
      </c>
      <c r="Z50" t="s">
        <v>91</v>
      </c>
      <c r="AA50" t="s">
        <v>91</v>
      </c>
      <c r="AB50" t="s">
        <v>91</v>
      </c>
      <c r="AC50" t="s">
        <v>91</v>
      </c>
      <c r="AD50" t="s">
        <v>91</v>
      </c>
      <c r="AE50" t="s">
        <v>91</v>
      </c>
      <c r="AF50" t="s">
        <v>91</v>
      </c>
      <c r="AG50" t="s">
        <v>91</v>
      </c>
      <c r="AH50" t="s">
        <v>91</v>
      </c>
      <c r="AI50" t="s">
        <v>91</v>
      </c>
    </row>
    <row r="51" spans="1:35" ht="21" x14ac:dyDescent="0.3">
      <c r="A51" t="s">
        <v>557</v>
      </c>
      <c r="B51" s="11">
        <v>36</v>
      </c>
      <c r="D51">
        <v>50</v>
      </c>
      <c r="E51" s="4">
        <v>44589</v>
      </c>
      <c r="F51" t="s">
        <v>62</v>
      </c>
      <c r="G51" t="s">
        <v>37</v>
      </c>
      <c r="H51" t="s">
        <v>72</v>
      </c>
      <c r="I51" t="s">
        <v>239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  <c r="O51" t="s">
        <v>91</v>
      </c>
      <c r="P51" t="s">
        <v>91</v>
      </c>
      <c r="Q51" t="s">
        <v>91</v>
      </c>
      <c r="R51" t="s">
        <v>91</v>
      </c>
      <c r="S51" t="s">
        <v>91</v>
      </c>
      <c r="T51" t="s">
        <v>91</v>
      </c>
      <c r="U51" t="s">
        <v>91</v>
      </c>
      <c r="V51" t="s">
        <v>91</v>
      </c>
      <c r="W51" t="s">
        <v>91</v>
      </c>
      <c r="X51" t="s">
        <v>91</v>
      </c>
      <c r="Y51" t="s">
        <v>91</v>
      </c>
      <c r="Z51" t="s">
        <v>91</v>
      </c>
      <c r="AA51" t="s">
        <v>91</v>
      </c>
      <c r="AB51" t="s">
        <v>91</v>
      </c>
      <c r="AC51" t="s">
        <v>91</v>
      </c>
      <c r="AD51" t="s">
        <v>91</v>
      </c>
      <c r="AE51" t="s">
        <v>91</v>
      </c>
      <c r="AF51" t="s">
        <v>91</v>
      </c>
      <c r="AG51" t="s">
        <v>91</v>
      </c>
      <c r="AH51" t="s">
        <v>91</v>
      </c>
      <c r="AI51" t="s">
        <v>91</v>
      </c>
    </row>
    <row r="52" spans="1:35" ht="21" x14ac:dyDescent="0.3">
      <c r="A52" t="s">
        <v>557</v>
      </c>
      <c r="B52" s="11">
        <v>36</v>
      </c>
      <c r="D52">
        <v>51</v>
      </c>
      <c r="E52" s="4">
        <v>44591</v>
      </c>
      <c r="F52" t="s">
        <v>62</v>
      </c>
      <c r="G52" t="s">
        <v>37</v>
      </c>
      <c r="H52" t="s">
        <v>78</v>
      </c>
      <c r="I52" t="s">
        <v>240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  <c r="O52" t="s">
        <v>91</v>
      </c>
      <c r="P52" t="s">
        <v>91</v>
      </c>
      <c r="Q52" t="s">
        <v>91</v>
      </c>
      <c r="R52" t="s">
        <v>91</v>
      </c>
      <c r="S52" t="s">
        <v>91</v>
      </c>
      <c r="T52" t="s">
        <v>91</v>
      </c>
      <c r="U52" t="s">
        <v>91</v>
      </c>
      <c r="V52" t="s">
        <v>91</v>
      </c>
      <c r="W52" t="s">
        <v>91</v>
      </c>
      <c r="X52" t="s">
        <v>91</v>
      </c>
      <c r="Y52" t="s">
        <v>91</v>
      </c>
      <c r="Z52" t="s">
        <v>91</v>
      </c>
      <c r="AA52" t="s">
        <v>91</v>
      </c>
      <c r="AB52" t="s">
        <v>91</v>
      </c>
      <c r="AC52" t="s">
        <v>91</v>
      </c>
      <c r="AD52" t="s">
        <v>91</v>
      </c>
      <c r="AE52" t="s">
        <v>91</v>
      </c>
      <c r="AF52" t="s">
        <v>91</v>
      </c>
      <c r="AG52" t="s">
        <v>91</v>
      </c>
      <c r="AH52" t="s">
        <v>91</v>
      </c>
      <c r="AI52" t="s">
        <v>91</v>
      </c>
    </row>
    <row r="53" spans="1:35" ht="21" x14ac:dyDescent="0.3">
      <c r="A53" t="s">
        <v>557</v>
      </c>
      <c r="B53" s="11">
        <v>36</v>
      </c>
      <c r="D53">
        <v>52</v>
      </c>
      <c r="E53" s="4">
        <v>44594</v>
      </c>
      <c r="F53" t="s">
        <v>62</v>
      </c>
      <c r="H53" t="s">
        <v>96</v>
      </c>
      <c r="I53" t="s">
        <v>241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  <c r="O53" t="s">
        <v>91</v>
      </c>
      <c r="P53" t="s">
        <v>91</v>
      </c>
      <c r="Q53" t="s">
        <v>91</v>
      </c>
      <c r="R53" t="s">
        <v>91</v>
      </c>
      <c r="S53" t="s">
        <v>91</v>
      </c>
      <c r="T53" t="s">
        <v>91</v>
      </c>
      <c r="U53" t="s">
        <v>91</v>
      </c>
      <c r="V53" t="s">
        <v>91</v>
      </c>
      <c r="W53" t="s">
        <v>91</v>
      </c>
      <c r="X53" t="s">
        <v>91</v>
      </c>
      <c r="Y53" t="s">
        <v>91</v>
      </c>
      <c r="Z53" t="s">
        <v>91</v>
      </c>
      <c r="AA53" t="s">
        <v>91</v>
      </c>
      <c r="AB53" t="s">
        <v>91</v>
      </c>
      <c r="AC53" t="s">
        <v>91</v>
      </c>
      <c r="AD53" t="s">
        <v>91</v>
      </c>
      <c r="AE53" t="s">
        <v>91</v>
      </c>
      <c r="AF53" t="s">
        <v>91</v>
      </c>
      <c r="AG53" t="s">
        <v>91</v>
      </c>
      <c r="AH53" t="s">
        <v>91</v>
      </c>
      <c r="AI53" t="s">
        <v>91</v>
      </c>
    </row>
    <row r="54" spans="1:35" ht="21" x14ac:dyDescent="0.3">
      <c r="A54" t="s">
        <v>557</v>
      </c>
      <c r="B54" s="11">
        <v>36</v>
      </c>
      <c r="D54">
        <v>53</v>
      </c>
      <c r="E54" s="4">
        <v>44595</v>
      </c>
      <c r="F54" t="s">
        <v>62</v>
      </c>
      <c r="G54" t="s">
        <v>37</v>
      </c>
      <c r="H54" t="s">
        <v>64</v>
      </c>
      <c r="I54" t="s">
        <v>242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  <c r="O54" t="s">
        <v>91</v>
      </c>
      <c r="P54" t="s">
        <v>91</v>
      </c>
      <c r="Q54" t="s">
        <v>91</v>
      </c>
      <c r="R54" t="s">
        <v>91</v>
      </c>
      <c r="S54" t="s">
        <v>91</v>
      </c>
      <c r="T54" t="s">
        <v>91</v>
      </c>
      <c r="U54" t="s">
        <v>91</v>
      </c>
      <c r="V54" t="s">
        <v>91</v>
      </c>
      <c r="W54" t="s">
        <v>91</v>
      </c>
      <c r="X54" t="s">
        <v>91</v>
      </c>
      <c r="Y54" t="s">
        <v>91</v>
      </c>
      <c r="Z54" t="s">
        <v>91</v>
      </c>
      <c r="AA54" t="s">
        <v>91</v>
      </c>
      <c r="AB54" t="s">
        <v>91</v>
      </c>
      <c r="AC54" t="s">
        <v>91</v>
      </c>
      <c r="AD54" t="s">
        <v>91</v>
      </c>
      <c r="AE54" t="s">
        <v>91</v>
      </c>
      <c r="AF54" t="s">
        <v>91</v>
      </c>
      <c r="AG54" t="s">
        <v>91</v>
      </c>
      <c r="AH54" t="s">
        <v>91</v>
      </c>
      <c r="AI54" t="s">
        <v>91</v>
      </c>
    </row>
    <row r="55" spans="1:35" ht="21" x14ac:dyDescent="0.3">
      <c r="A55" t="s">
        <v>557</v>
      </c>
      <c r="B55" s="11">
        <v>37</v>
      </c>
      <c r="C55">
        <v>1347</v>
      </c>
      <c r="D55">
        <v>54</v>
      </c>
      <c r="E55" s="4">
        <v>44597</v>
      </c>
      <c r="F55" t="s">
        <v>62</v>
      </c>
      <c r="H55" t="s">
        <v>110</v>
      </c>
      <c r="I55" t="s">
        <v>243</v>
      </c>
      <c r="J55" t="s">
        <v>41</v>
      </c>
      <c r="K55" s="9">
        <v>1.6631944444444444</v>
      </c>
      <c r="L55">
        <v>13</v>
      </c>
      <c r="M55">
        <v>24</v>
      </c>
      <c r="N55">
        <v>0.54200000000000004</v>
      </c>
      <c r="O55">
        <v>2</v>
      </c>
      <c r="P55">
        <v>7</v>
      </c>
      <c r="Q55">
        <v>0.28599999999999998</v>
      </c>
      <c r="R55">
        <v>11</v>
      </c>
      <c r="S55">
        <v>17</v>
      </c>
      <c r="T55">
        <v>0.64700000000000002</v>
      </c>
      <c r="U55">
        <v>0.58299999999999996</v>
      </c>
      <c r="V55">
        <v>1</v>
      </c>
      <c r="W55">
        <v>2</v>
      </c>
      <c r="X55">
        <v>0.5</v>
      </c>
      <c r="Y55">
        <v>3</v>
      </c>
      <c r="Z55">
        <v>10</v>
      </c>
      <c r="AA55">
        <v>13</v>
      </c>
      <c r="AB55">
        <v>10</v>
      </c>
      <c r="AC55">
        <v>1</v>
      </c>
      <c r="AD55">
        <v>0</v>
      </c>
      <c r="AE55">
        <v>3</v>
      </c>
      <c r="AF55">
        <v>3</v>
      </c>
      <c r="AG55">
        <v>29</v>
      </c>
      <c r="AH55">
        <v>25.9</v>
      </c>
      <c r="AI55">
        <v>12</v>
      </c>
    </row>
    <row r="56" spans="1:35" ht="21" x14ac:dyDescent="0.3">
      <c r="A56" t="s">
        <v>557</v>
      </c>
      <c r="B56" s="11">
        <v>38</v>
      </c>
      <c r="C56">
        <v>1348</v>
      </c>
      <c r="D56">
        <v>55</v>
      </c>
      <c r="E56" s="4">
        <v>44600</v>
      </c>
      <c r="F56" t="s">
        <v>62</v>
      </c>
      <c r="H56" t="s">
        <v>126</v>
      </c>
      <c r="I56" t="s">
        <v>244</v>
      </c>
      <c r="J56" t="s">
        <v>41</v>
      </c>
      <c r="K56" s="9">
        <v>1.4381944444444446</v>
      </c>
      <c r="L56">
        <v>11</v>
      </c>
      <c r="M56">
        <v>19</v>
      </c>
      <c r="N56">
        <v>0.57899999999999996</v>
      </c>
      <c r="O56">
        <v>3</v>
      </c>
      <c r="P56">
        <v>7</v>
      </c>
      <c r="Q56">
        <v>0.42899999999999999</v>
      </c>
      <c r="R56">
        <v>8</v>
      </c>
      <c r="S56">
        <v>12</v>
      </c>
      <c r="T56">
        <v>0.66700000000000004</v>
      </c>
      <c r="U56">
        <v>0.65800000000000003</v>
      </c>
      <c r="V56">
        <v>2</v>
      </c>
      <c r="W56">
        <v>4</v>
      </c>
      <c r="X56">
        <v>0.5</v>
      </c>
      <c r="Y56">
        <v>0</v>
      </c>
      <c r="Z56">
        <v>5</v>
      </c>
      <c r="AA56">
        <v>5</v>
      </c>
      <c r="AB56">
        <v>8</v>
      </c>
      <c r="AC56">
        <v>0</v>
      </c>
      <c r="AD56">
        <v>0</v>
      </c>
      <c r="AE56">
        <v>4</v>
      </c>
      <c r="AF56">
        <v>4</v>
      </c>
      <c r="AG56">
        <v>27</v>
      </c>
      <c r="AH56">
        <v>18.8</v>
      </c>
      <c r="AI56">
        <v>-25</v>
      </c>
    </row>
    <row r="57" spans="1:35" ht="21" x14ac:dyDescent="0.3">
      <c r="A57" t="s">
        <v>557</v>
      </c>
      <c r="B57" s="11">
        <v>39</v>
      </c>
      <c r="C57">
        <v>1349</v>
      </c>
      <c r="D57">
        <v>56</v>
      </c>
      <c r="E57" s="4">
        <v>44601</v>
      </c>
      <c r="F57" t="s">
        <v>62</v>
      </c>
      <c r="G57" t="s">
        <v>37</v>
      </c>
      <c r="H57" t="s">
        <v>96</v>
      </c>
      <c r="I57" t="s">
        <v>245</v>
      </c>
      <c r="J57" t="s">
        <v>41</v>
      </c>
      <c r="K57" s="9">
        <v>1.5284722222222222</v>
      </c>
      <c r="L57">
        <v>13</v>
      </c>
      <c r="M57">
        <v>22</v>
      </c>
      <c r="N57">
        <v>0.59099999999999997</v>
      </c>
      <c r="O57">
        <v>3</v>
      </c>
      <c r="P57">
        <v>7</v>
      </c>
      <c r="Q57">
        <v>0.42899999999999999</v>
      </c>
      <c r="R57">
        <v>10</v>
      </c>
      <c r="S57">
        <v>15</v>
      </c>
      <c r="T57">
        <v>0.66700000000000004</v>
      </c>
      <c r="U57">
        <v>0.65900000000000003</v>
      </c>
      <c r="V57">
        <v>1</v>
      </c>
      <c r="W57">
        <v>1</v>
      </c>
      <c r="X57">
        <v>1</v>
      </c>
      <c r="Y57">
        <v>0</v>
      </c>
      <c r="Z57">
        <v>7</v>
      </c>
      <c r="AA57">
        <v>7</v>
      </c>
      <c r="AB57">
        <v>7</v>
      </c>
      <c r="AC57">
        <v>3</v>
      </c>
      <c r="AD57">
        <v>0</v>
      </c>
      <c r="AE57">
        <v>6</v>
      </c>
      <c r="AF57">
        <v>1</v>
      </c>
      <c r="AG57">
        <v>30</v>
      </c>
      <c r="AH57">
        <v>23.4</v>
      </c>
      <c r="AI57">
        <v>-5</v>
      </c>
    </row>
    <row r="58" spans="1:35" ht="21" x14ac:dyDescent="0.3">
      <c r="A58" t="s">
        <v>557</v>
      </c>
      <c r="B58" s="11">
        <v>40</v>
      </c>
      <c r="C58">
        <v>1350</v>
      </c>
      <c r="D58">
        <v>57</v>
      </c>
      <c r="E58" s="4">
        <v>44604</v>
      </c>
      <c r="F58" t="s">
        <v>62</v>
      </c>
      <c r="G58" t="s">
        <v>37</v>
      </c>
      <c r="H58" t="s">
        <v>33</v>
      </c>
      <c r="I58" t="s">
        <v>246</v>
      </c>
      <c r="J58" t="s">
        <v>41</v>
      </c>
      <c r="K58" s="9">
        <v>1.5979166666666667</v>
      </c>
      <c r="L58">
        <v>9</v>
      </c>
      <c r="M58">
        <v>27</v>
      </c>
      <c r="N58">
        <v>0.33300000000000002</v>
      </c>
      <c r="O58">
        <v>3</v>
      </c>
      <c r="P58">
        <v>10</v>
      </c>
      <c r="Q58">
        <v>0.3</v>
      </c>
      <c r="R58">
        <v>6</v>
      </c>
      <c r="S58">
        <v>17</v>
      </c>
      <c r="T58">
        <v>0.35299999999999998</v>
      </c>
      <c r="U58">
        <v>0.38900000000000001</v>
      </c>
      <c r="V58">
        <v>5</v>
      </c>
      <c r="W58">
        <v>9</v>
      </c>
      <c r="X58">
        <v>0.55600000000000005</v>
      </c>
      <c r="Y58">
        <v>3</v>
      </c>
      <c r="Z58">
        <v>12</v>
      </c>
      <c r="AA58">
        <v>15</v>
      </c>
      <c r="AB58">
        <v>8</v>
      </c>
      <c r="AC58">
        <v>0</v>
      </c>
      <c r="AD58">
        <v>0</v>
      </c>
      <c r="AE58">
        <v>4</v>
      </c>
      <c r="AF58">
        <v>3</v>
      </c>
      <c r="AG58">
        <v>26</v>
      </c>
      <c r="AH58">
        <v>15.2</v>
      </c>
      <c r="AI58">
        <v>-11</v>
      </c>
    </row>
    <row r="59" spans="1:35" ht="21" x14ac:dyDescent="0.3">
      <c r="A59" t="s">
        <v>557</v>
      </c>
      <c r="B59" s="11">
        <v>41</v>
      </c>
      <c r="C59">
        <v>1351</v>
      </c>
      <c r="D59">
        <v>58</v>
      </c>
      <c r="E59" s="4">
        <v>44608</v>
      </c>
      <c r="F59" t="s">
        <v>62</v>
      </c>
      <c r="H59" t="s">
        <v>118</v>
      </c>
      <c r="I59" t="s">
        <v>247</v>
      </c>
      <c r="J59" t="s">
        <v>41</v>
      </c>
      <c r="K59" s="9">
        <v>1.6548611111111111</v>
      </c>
      <c r="L59">
        <v>14</v>
      </c>
      <c r="M59">
        <v>23</v>
      </c>
      <c r="N59">
        <v>0.60899999999999999</v>
      </c>
      <c r="O59">
        <v>3</v>
      </c>
      <c r="P59">
        <v>8</v>
      </c>
      <c r="Q59">
        <v>0.375</v>
      </c>
      <c r="R59">
        <v>11</v>
      </c>
      <c r="S59">
        <v>15</v>
      </c>
      <c r="T59">
        <v>0.73299999999999998</v>
      </c>
      <c r="U59">
        <v>0.67400000000000004</v>
      </c>
      <c r="V59">
        <v>2</v>
      </c>
      <c r="W59">
        <v>2</v>
      </c>
      <c r="X59">
        <v>1</v>
      </c>
      <c r="Y59">
        <v>1</v>
      </c>
      <c r="Z59">
        <v>7</v>
      </c>
      <c r="AA59">
        <v>8</v>
      </c>
      <c r="AB59">
        <v>6</v>
      </c>
      <c r="AC59">
        <v>2</v>
      </c>
      <c r="AD59">
        <v>0</v>
      </c>
      <c r="AE59">
        <v>3</v>
      </c>
      <c r="AF59">
        <v>1</v>
      </c>
      <c r="AG59">
        <v>33</v>
      </c>
      <c r="AH59">
        <v>28.1</v>
      </c>
      <c r="AI59">
        <v>7</v>
      </c>
    </row>
    <row r="60" spans="1:35" ht="21" x14ac:dyDescent="0.3">
      <c r="A60" t="s">
        <v>557</v>
      </c>
      <c r="B60" s="11">
        <v>42</v>
      </c>
      <c r="C60">
        <v>1352</v>
      </c>
      <c r="D60">
        <v>59</v>
      </c>
      <c r="E60" s="4">
        <v>44617</v>
      </c>
      <c r="F60" t="s">
        <v>62</v>
      </c>
      <c r="H60" t="s">
        <v>64</v>
      </c>
      <c r="I60" t="s">
        <v>248</v>
      </c>
      <c r="J60" t="s">
        <v>41</v>
      </c>
      <c r="K60" s="9">
        <v>1.4868055555555555</v>
      </c>
      <c r="L60">
        <v>6</v>
      </c>
      <c r="M60">
        <v>18</v>
      </c>
      <c r="N60">
        <v>0.33300000000000002</v>
      </c>
      <c r="O60">
        <v>2</v>
      </c>
      <c r="P60">
        <v>8</v>
      </c>
      <c r="Q60">
        <v>0.25</v>
      </c>
      <c r="R60">
        <v>4</v>
      </c>
      <c r="S60">
        <v>10</v>
      </c>
      <c r="T60">
        <v>0.4</v>
      </c>
      <c r="U60">
        <v>0.38900000000000001</v>
      </c>
      <c r="V60">
        <v>7</v>
      </c>
      <c r="W60">
        <v>8</v>
      </c>
      <c r="X60">
        <v>0.875</v>
      </c>
      <c r="Y60">
        <v>1</v>
      </c>
      <c r="Z60">
        <v>10</v>
      </c>
      <c r="AA60">
        <v>11</v>
      </c>
      <c r="AB60">
        <v>3</v>
      </c>
      <c r="AC60">
        <v>1</v>
      </c>
      <c r="AD60">
        <v>1</v>
      </c>
      <c r="AE60">
        <v>6</v>
      </c>
      <c r="AF60">
        <v>1</v>
      </c>
      <c r="AG60">
        <v>21</v>
      </c>
      <c r="AH60">
        <v>11.5</v>
      </c>
      <c r="AI60">
        <v>-4</v>
      </c>
    </row>
    <row r="61" spans="1:35" ht="21" x14ac:dyDescent="0.3">
      <c r="A61" t="s">
        <v>557</v>
      </c>
      <c r="B61" s="11">
        <v>43</v>
      </c>
      <c r="C61">
        <v>1353</v>
      </c>
      <c r="D61">
        <v>60</v>
      </c>
      <c r="E61" s="4">
        <v>44619</v>
      </c>
      <c r="F61" t="s">
        <v>62</v>
      </c>
      <c r="H61" t="s">
        <v>74</v>
      </c>
      <c r="I61" t="s">
        <v>163</v>
      </c>
      <c r="J61" t="s">
        <v>41</v>
      </c>
      <c r="K61" s="9">
        <v>1.4826388888888888</v>
      </c>
      <c r="L61">
        <v>13</v>
      </c>
      <c r="M61">
        <v>23</v>
      </c>
      <c r="N61">
        <v>0.56499999999999995</v>
      </c>
      <c r="O61">
        <v>1</v>
      </c>
      <c r="P61">
        <v>4</v>
      </c>
      <c r="Q61">
        <v>0.25</v>
      </c>
      <c r="R61">
        <v>12</v>
      </c>
      <c r="S61">
        <v>19</v>
      </c>
      <c r="T61">
        <v>0.63200000000000001</v>
      </c>
      <c r="U61">
        <v>0.58699999999999997</v>
      </c>
      <c r="V61">
        <v>5</v>
      </c>
      <c r="W61">
        <v>5</v>
      </c>
      <c r="X61">
        <v>1</v>
      </c>
      <c r="Y61">
        <v>0</v>
      </c>
      <c r="Z61">
        <v>6</v>
      </c>
      <c r="AA61">
        <v>6</v>
      </c>
      <c r="AB61">
        <v>3</v>
      </c>
      <c r="AC61">
        <v>2</v>
      </c>
      <c r="AD61">
        <v>2</v>
      </c>
      <c r="AE61">
        <v>7</v>
      </c>
      <c r="AF61">
        <v>2</v>
      </c>
      <c r="AG61">
        <v>32</v>
      </c>
      <c r="AH61">
        <v>20.6</v>
      </c>
      <c r="AI61">
        <v>-22</v>
      </c>
    </row>
    <row r="62" spans="1:35" ht="21" x14ac:dyDescent="0.3">
      <c r="A62" t="s">
        <v>557</v>
      </c>
      <c r="B62" s="11">
        <v>44</v>
      </c>
      <c r="C62">
        <v>1354</v>
      </c>
      <c r="D62">
        <v>61</v>
      </c>
      <c r="E62" s="4">
        <v>44621</v>
      </c>
      <c r="F62" t="s">
        <v>62</v>
      </c>
      <c r="H62" t="s">
        <v>49</v>
      </c>
      <c r="I62" t="s">
        <v>249</v>
      </c>
      <c r="J62" t="s">
        <v>41</v>
      </c>
      <c r="K62" s="9">
        <v>1.5916666666666666</v>
      </c>
      <c r="L62">
        <v>10</v>
      </c>
      <c r="M62">
        <v>18</v>
      </c>
      <c r="N62">
        <v>0.55600000000000005</v>
      </c>
      <c r="O62">
        <v>3</v>
      </c>
      <c r="P62">
        <v>7</v>
      </c>
      <c r="Q62">
        <v>0.42899999999999999</v>
      </c>
      <c r="R62">
        <v>7</v>
      </c>
      <c r="S62">
        <v>11</v>
      </c>
      <c r="T62">
        <v>0.63600000000000001</v>
      </c>
      <c r="U62">
        <v>0.63900000000000001</v>
      </c>
      <c r="V62">
        <v>3</v>
      </c>
      <c r="W62">
        <v>5</v>
      </c>
      <c r="X62">
        <v>0.6</v>
      </c>
      <c r="Y62">
        <v>0</v>
      </c>
      <c r="Z62">
        <v>12</v>
      </c>
      <c r="AA62">
        <v>12</v>
      </c>
      <c r="AB62">
        <v>5</v>
      </c>
      <c r="AC62">
        <v>1</v>
      </c>
      <c r="AD62">
        <v>0</v>
      </c>
      <c r="AE62">
        <v>4</v>
      </c>
      <c r="AF62">
        <v>2</v>
      </c>
      <c r="AG62">
        <v>26</v>
      </c>
      <c r="AH62">
        <v>19.899999999999999</v>
      </c>
      <c r="AI62">
        <v>7</v>
      </c>
    </row>
    <row r="63" spans="1:35" ht="21" x14ac:dyDescent="0.3">
      <c r="A63" t="s">
        <v>557</v>
      </c>
      <c r="B63" s="11">
        <v>45</v>
      </c>
      <c r="C63">
        <v>1355</v>
      </c>
      <c r="D63">
        <v>62</v>
      </c>
      <c r="E63" s="4">
        <v>44623</v>
      </c>
      <c r="F63" t="s">
        <v>62</v>
      </c>
      <c r="G63" t="s">
        <v>37</v>
      </c>
      <c r="H63" t="s">
        <v>64</v>
      </c>
      <c r="I63" t="s">
        <v>250</v>
      </c>
      <c r="J63" t="s">
        <v>41</v>
      </c>
      <c r="K63" s="9">
        <v>1.5444444444444445</v>
      </c>
      <c r="L63">
        <v>8</v>
      </c>
      <c r="M63">
        <v>18</v>
      </c>
      <c r="N63">
        <v>0.44400000000000001</v>
      </c>
      <c r="O63">
        <v>2</v>
      </c>
      <c r="P63">
        <v>9</v>
      </c>
      <c r="Q63">
        <v>0.222</v>
      </c>
      <c r="R63">
        <v>6</v>
      </c>
      <c r="S63">
        <v>9</v>
      </c>
      <c r="T63">
        <v>0.66700000000000004</v>
      </c>
      <c r="U63">
        <v>0.5</v>
      </c>
      <c r="V63">
        <v>8</v>
      </c>
      <c r="W63">
        <v>10</v>
      </c>
      <c r="X63">
        <v>0.8</v>
      </c>
      <c r="Y63">
        <v>1</v>
      </c>
      <c r="Z63">
        <v>7</v>
      </c>
      <c r="AA63">
        <v>8</v>
      </c>
      <c r="AB63">
        <v>4</v>
      </c>
      <c r="AC63">
        <v>0</v>
      </c>
      <c r="AD63">
        <v>1</v>
      </c>
      <c r="AE63">
        <v>4</v>
      </c>
      <c r="AF63">
        <v>2</v>
      </c>
      <c r="AG63">
        <v>26</v>
      </c>
      <c r="AH63">
        <v>17.3</v>
      </c>
      <c r="AI63">
        <v>-27</v>
      </c>
    </row>
    <row r="64" spans="1:35" ht="21" x14ac:dyDescent="0.3">
      <c r="A64" t="s">
        <v>557</v>
      </c>
      <c r="B64" s="11">
        <v>46</v>
      </c>
      <c r="C64">
        <v>1356</v>
      </c>
      <c r="D64">
        <v>63</v>
      </c>
      <c r="E64" s="4">
        <v>44625</v>
      </c>
      <c r="F64" t="s">
        <v>62</v>
      </c>
      <c r="H64" t="s">
        <v>33</v>
      </c>
      <c r="I64" t="s">
        <v>251</v>
      </c>
      <c r="J64" t="s">
        <v>41</v>
      </c>
      <c r="K64" s="9">
        <v>1.60625</v>
      </c>
      <c r="L64">
        <v>19</v>
      </c>
      <c r="M64">
        <v>31</v>
      </c>
      <c r="N64">
        <v>0.61299999999999999</v>
      </c>
      <c r="O64">
        <v>6</v>
      </c>
      <c r="P64">
        <v>11</v>
      </c>
      <c r="Q64">
        <v>0.54500000000000004</v>
      </c>
      <c r="R64">
        <v>13</v>
      </c>
      <c r="S64">
        <v>20</v>
      </c>
      <c r="T64">
        <v>0.65</v>
      </c>
      <c r="U64">
        <v>0.71</v>
      </c>
      <c r="V64">
        <v>12</v>
      </c>
      <c r="W64">
        <v>13</v>
      </c>
      <c r="X64">
        <v>0.92300000000000004</v>
      </c>
      <c r="Y64">
        <v>2</v>
      </c>
      <c r="Z64">
        <v>8</v>
      </c>
      <c r="AA64">
        <v>10</v>
      </c>
      <c r="AB64">
        <v>3</v>
      </c>
      <c r="AC64">
        <v>0</v>
      </c>
      <c r="AD64">
        <v>1</v>
      </c>
      <c r="AE64">
        <v>4</v>
      </c>
      <c r="AF64">
        <v>0</v>
      </c>
      <c r="AG64">
        <v>56</v>
      </c>
      <c r="AH64">
        <v>44.1</v>
      </c>
      <c r="AI64">
        <v>13</v>
      </c>
    </row>
    <row r="65" spans="1:35" ht="21" x14ac:dyDescent="0.3">
      <c r="A65" t="s">
        <v>557</v>
      </c>
      <c r="B65" s="11">
        <v>46</v>
      </c>
      <c r="D65">
        <v>64</v>
      </c>
      <c r="E65" s="4">
        <v>44627</v>
      </c>
      <c r="F65" t="s">
        <v>62</v>
      </c>
      <c r="G65" t="s">
        <v>37</v>
      </c>
      <c r="H65" t="s">
        <v>102</v>
      </c>
      <c r="I65" t="s">
        <v>252</v>
      </c>
      <c r="J65" t="s">
        <v>210</v>
      </c>
      <c r="K65" t="s">
        <v>210</v>
      </c>
      <c r="L65" t="s">
        <v>210</v>
      </c>
      <c r="M65" t="s">
        <v>210</v>
      </c>
      <c r="N65" t="s">
        <v>210</v>
      </c>
      <c r="O65" t="s">
        <v>210</v>
      </c>
      <c r="P65" t="s">
        <v>210</v>
      </c>
      <c r="Q65" t="s">
        <v>210</v>
      </c>
      <c r="R65" t="s">
        <v>210</v>
      </c>
      <c r="S65" t="s">
        <v>210</v>
      </c>
      <c r="T65" t="s">
        <v>210</v>
      </c>
      <c r="U65" t="s">
        <v>210</v>
      </c>
      <c r="V65" t="s">
        <v>210</v>
      </c>
      <c r="W65" t="s">
        <v>210</v>
      </c>
      <c r="X65" t="s">
        <v>210</v>
      </c>
      <c r="Y65" t="s">
        <v>210</v>
      </c>
      <c r="Z65" t="s">
        <v>210</v>
      </c>
      <c r="AA65" t="s">
        <v>210</v>
      </c>
      <c r="AB65" t="s">
        <v>210</v>
      </c>
      <c r="AC65" t="s">
        <v>210</v>
      </c>
      <c r="AD65" t="s">
        <v>210</v>
      </c>
      <c r="AE65" t="s">
        <v>210</v>
      </c>
      <c r="AF65" t="s">
        <v>210</v>
      </c>
      <c r="AG65" t="s">
        <v>210</v>
      </c>
      <c r="AH65" t="s">
        <v>210</v>
      </c>
      <c r="AI65" t="s">
        <v>210</v>
      </c>
    </row>
    <row r="66" spans="1:35" ht="21" x14ac:dyDescent="0.3">
      <c r="A66" t="s">
        <v>557</v>
      </c>
      <c r="B66" s="11">
        <v>47</v>
      </c>
      <c r="C66">
        <v>1357</v>
      </c>
      <c r="D66">
        <v>65</v>
      </c>
      <c r="E66" s="4">
        <v>44629</v>
      </c>
      <c r="F66" t="s">
        <v>62</v>
      </c>
      <c r="G66" t="s">
        <v>37</v>
      </c>
      <c r="H66" t="s">
        <v>76</v>
      </c>
      <c r="I66" t="s">
        <v>253</v>
      </c>
      <c r="J66" t="s">
        <v>41</v>
      </c>
      <c r="K66" s="9">
        <v>1.8861111111111111</v>
      </c>
      <c r="L66">
        <v>9</v>
      </c>
      <c r="M66">
        <v>26</v>
      </c>
      <c r="N66">
        <v>0.34599999999999997</v>
      </c>
      <c r="O66">
        <v>1</v>
      </c>
      <c r="P66">
        <v>9</v>
      </c>
      <c r="Q66">
        <v>0.111</v>
      </c>
      <c r="R66">
        <v>8</v>
      </c>
      <c r="S66">
        <v>17</v>
      </c>
      <c r="T66">
        <v>0.47099999999999997</v>
      </c>
      <c r="U66">
        <v>0.36499999999999999</v>
      </c>
      <c r="V66">
        <v>4</v>
      </c>
      <c r="W66">
        <v>6</v>
      </c>
      <c r="X66">
        <v>0.66700000000000004</v>
      </c>
      <c r="Y66">
        <v>2</v>
      </c>
      <c r="Z66">
        <v>12</v>
      </c>
      <c r="AA66">
        <v>14</v>
      </c>
      <c r="AB66">
        <v>12</v>
      </c>
      <c r="AC66">
        <v>1</v>
      </c>
      <c r="AD66">
        <v>4</v>
      </c>
      <c r="AE66">
        <v>5</v>
      </c>
      <c r="AF66">
        <v>1</v>
      </c>
      <c r="AG66">
        <v>23</v>
      </c>
      <c r="AH66">
        <v>19.399999999999999</v>
      </c>
      <c r="AI66">
        <v>-17</v>
      </c>
    </row>
    <row r="67" spans="1:35" ht="21" x14ac:dyDescent="0.3">
      <c r="A67" t="s">
        <v>557</v>
      </c>
      <c r="B67" s="11">
        <v>48</v>
      </c>
      <c r="C67">
        <v>1358</v>
      </c>
      <c r="D67">
        <v>66</v>
      </c>
      <c r="E67" s="4">
        <v>44631</v>
      </c>
      <c r="F67" t="s">
        <v>62</v>
      </c>
      <c r="H67" t="s">
        <v>155</v>
      </c>
      <c r="I67" t="s">
        <v>154</v>
      </c>
      <c r="J67" t="s">
        <v>41</v>
      </c>
      <c r="K67" s="9">
        <v>1.4875</v>
      </c>
      <c r="L67">
        <v>18</v>
      </c>
      <c r="M67">
        <v>25</v>
      </c>
      <c r="N67">
        <v>0.72</v>
      </c>
      <c r="O67">
        <v>6</v>
      </c>
      <c r="P67">
        <v>9</v>
      </c>
      <c r="Q67">
        <v>0.66700000000000004</v>
      </c>
      <c r="R67">
        <v>12</v>
      </c>
      <c r="S67">
        <v>16</v>
      </c>
      <c r="T67">
        <v>0.75</v>
      </c>
      <c r="U67">
        <v>0.84</v>
      </c>
      <c r="V67">
        <v>8</v>
      </c>
      <c r="W67">
        <v>8</v>
      </c>
      <c r="X67">
        <v>1</v>
      </c>
      <c r="Y67">
        <v>0</v>
      </c>
      <c r="Z67">
        <v>7</v>
      </c>
      <c r="AA67">
        <v>7</v>
      </c>
      <c r="AB67">
        <v>6</v>
      </c>
      <c r="AC67">
        <v>0</v>
      </c>
      <c r="AD67">
        <v>1</v>
      </c>
      <c r="AE67">
        <v>3</v>
      </c>
      <c r="AF67">
        <v>3</v>
      </c>
      <c r="AG67">
        <v>50</v>
      </c>
      <c r="AH67">
        <v>42.5</v>
      </c>
      <c r="AI67">
        <v>22</v>
      </c>
    </row>
    <row r="68" spans="1:35" ht="21" x14ac:dyDescent="0.3">
      <c r="A68" t="s">
        <v>557</v>
      </c>
      <c r="B68" s="11">
        <v>49</v>
      </c>
      <c r="C68">
        <v>1359</v>
      </c>
      <c r="D68">
        <v>67</v>
      </c>
      <c r="E68" s="4">
        <v>44633</v>
      </c>
      <c r="F68" t="s">
        <v>62</v>
      </c>
      <c r="G68" t="s">
        <v>37</v>
      </c>
      <c r="H68" t="s">
        <v>99</v>
      </c>
      <c r="I68" t="s">
        <v>254</v>
      </c>
      <c r="J68" t="s">
        <v>41</v>
      </c>
      <c r="K68" s="9">
        <v>1.2583333333333333</v>
      </c>
      <c r="L68">
        <v>10</v>
      </c>
      <c r="M68">
        <v>20</v>
      </c>
      <c r="N68">
        <v>0.5</v>
      </c>
      <c r="O68">
        <v>5</v>
      </c>
      <c r="P68">
        <v>11</v>
      </c>
      <c r="Q68">
        <v>0.45500000000000002</v>
      </c>
      <c r="R68">
        <v>5</v>
      </c>
      <c r="S68">
        <v>9</v>
      </c>
      <c r="T68">
        <v>0.55600000000000005</v>
      </c>
      <c r="U68">
        <v>0.625</v>
      </c>
      <c r="V68">
        <v>6</v>
      </c>
      <c r="W68">
        <v>7</v>
      </c>
      <c r="X68">
        <v>0.85699999999999998</v>
      </c>
      <c r="Y68">
        <v>0</v>
      </c>
      <c r="Z68">
        <v>7</v>
      </c>
      <c r="AA68">
        <v>7</v>
      </c>
      <c r="AB68">
        <v>6</v>
      </c>
      <c r="AC68">
        <v>0</v>
      </c>
      <c r="AD68">
        <v>1</v>
      </c>
      <c r="AE68">
        <v>4</v>
      </c>
      <c r="AF68">
        <v>0</v>
      </c>
      <c r="AG68">
        <v>31</v>
      </c>
      <c r="AH68">
        <v>23.6</v>
      </c>
      <c r="AI68">
        <v>-16</v>
      </c>
    </row>
    <row r="69" spans="1:35" ht="21" x14ac:dyDescent="0.3">
      <c r="A69" t="s">
        <v>557</v>
      </c>
      <c r="B69" s="11">
        <v>50</v>
      </c>
      <c r="C69">
        <v>1360</v>
      </c>
      <c r="D69">
        <v>68</v>
      </c>
      <c r="E69" s="4">
        <v>44634</v>
      </c>
      <c r="F69" t="s">
        <v>62</v>
      </c>
      <c r="H69" t="s">
        <v>92</v>
      </c>
      <c r="I69" t="s">
        <v>255</v>
      </c>
      <c r="J69" t="s">
        <v>41</v>
      </c>
      <c r="K69" s="9">
        <v>1.6805555555555556</v>
      </c>
      <c r="L69">
        <v>11</v>
      </c>
      <c r="M69">
        <v>19</v>
      </c>
      <c r="N69">
        <v>0.57899999999999996</v>
      </c>
      <c r="O69">
        <v>4</v>
      </c>
      <c r="P69">
        <v>7</v>
      </c>
      <c r="Q69">
        <v>0.57099999999999995</v>
      </c>
      <c r="R69">
        <v>7</v>
      </c>
      <c r="S69">
        <v>12</v>
      </c>
      <c r="T69">
        <v>0.58299999999999996</v>
      </c>
      <c r="U69">
        <v>0.68400000000000005</v>
      </c>
      <c r="V69">
        <v>4</v>
      </c>
      <c r="W69">
        <v>7</v>
      </c>
      <c r="X69">
        <v>0.57099999999999995</v>
      </c>
      <c r="Y69">
        <v>3</v>
      </c>
      <c r="Z69">
        <v>6</v>
      </c>
      <c r="AA69">
        <v>9</v>
      </c>
      <c r="AB69">
        <v>3</v>
      </c>
      <c r="AC69">
        <v>0</v>
      </c>
      <c r="AD69">
        <v>2</v>
      </c>
      <c r="AE69">
        <v>5</v>
      </c>
      <c r="AF69">
        <v>4</v>
      </c>
      <c r="AG69">
        <v>30</v>
      </c>
      <c r="AH69">
        <v>20.7</v>
      </c>
      <c r="AI69">
        <v>-21</v>
      </c>
    </row>
    <row r="70" spans="1:35" ht="21" x14ac:dyDescent="0.3">
      <c r="A70" t="s">
        <v>557</v>
      </c>
      <c r="B70" s="11">
        <v>51</v>
      </c>
      <c r="C70">
        <v>1361</v>
      </c>
      <c r="D70">
        <v>69</v>
      </c>
      <c r="E70" s="4">
        <v>44636</v>
      </c>
      <c r="F70" t="s">
        <v>62</v>
      </c>
      <c r="G70" t="s">
        <v>37</v>
      </c>
      <c r="H70" t="s">
        <v>80</v>
      </c>
      <c r="I70" t="s">
        <v>256</v>
      </c>
      <c r="J70" t="s">
        <v>41</v>
      </c>
      <c r="K70" s="9">
        <v>1.5444444444444445</v>
      </c>
      <c r="L70">
        <v>8</v>
      </c>
      <c r="M70">
        <v>21</v>
      </c>
      <c r="N70">
        <v>0.38100000000000001</v>
      </c>
      <c r="O70">
        <v>1</v>
      </c>
      <c r="P70">
        <v>8</v>
      </c>
      <c r="Q70">
        <v>0.125</v>
      </c>
      <c r="R70">
        <v>7</v>
      </c>
      <c r="S70">
        <v>13</v>
      </c>
      <c r="T70">
        <v>0.53800000000000003</v>
      </c>
      <c r="U70">
        <v>0.40500000000000003</v>
      </c>
      <c r="V70">
        <v>2</v>
      </c>
      <c r="W70">
        <v>5</v>
      </c>
      <c r="X70">
        <v>0.4</v>
      </c>
      <c r="Y70">
        <v>0</v>
      </c>
      <c r="Z70">
        <v>5</v>
      </c>
      <c r="AA70">
        <v>5</v>
      </c>
      <c r="AB70">
        <v>4</v>
      </c>
      <c r="AC70">
        <v>1</v>
      </c>
      <c r="AD70">
        <v>2</v>
      </c>
      <c r="AE70">
        <v>5</v>
      </c>
      <c r="AF70">
        <v>5</v>
      </c>
      <c r="AG70">
        <v>19</v>
      </c>
      <c r="AH70">
        <v>6</v>
      </c>
      <c r="AI70">
        <v>-19</v>
      </c>
    </row>
    <row r="71" spans="1:35" ht="21" x14ac:dyDescent="0.3">
      <c r="A71" t="s">
        <v>557</v>
      </c>
      <c r="B71" s="11">
        <v>52</v>
      </c>
      <c r="C71">
        <v>1362</v>
      </c>
      <c r="D71">
        <v>70</v>
      </c>
      <c r="E71" s="4">
        <v>44638</v>
      </c>
      <c r="F71" t="s">
        <v>62</v>
      </c>
      <c r="G71" t="s">
        <v>37</v>
      </c>
      <c r="H71" t="s">
        <v>92</v>
      </c>
      <c r="I71" t="s">
        <v>257</v>
      </c>
      <c r="J71" t="s">
        <v>41</v>
      </c>
      <c r="K71" s="9">
        <v>1.8618055555555555</v>
      </c>
      <c r="L71">
        <v>15</v>
      </c>
      <c r="M71">
        <v>26</v>
      </c>
      <c r="N71">
        <v>0.57699999999999996</v>
      </c>
      <c r="O71">
        <v>2</v>
      </c>
      <c r="P71">
        <v>7</v>
      </c>
      <c r="Q71">
        <v>0.28599999999999998</v>
      </c>
      <c r="R71">
        <v>13</v>
      </c>
      <c r="S71">
        <v>19</v>
      </c>
      <c r="T71">
        <v>0.68400000000000005</v>
      </c>
      <c r="U71">
        <v>0.61499999999999999</v>
      </c>
      <c r="V71">
        <v>4</v>
      </c>
      <c r="W71">
        <v>7</v>
      </c>
      <c r="X71">
        <v>0.57099999999999995</v>
      </c>
      <c r="Y71">
        <v>4</v>
      </c>
      <c r="Z71">
        <v>5</v>
      </c>
      <c r="AA71">
        <v>9</v>
      </c>
      <c r="AB71">
        <v>7</v>
      </c>
      <c r="AC71">
        <v>0</v>
      </c>
      <c r="AD71">
        <v>2</v>
      </c>
      <c r="AE71">
        <v>3</v>
      </c>
      <c r="AF71">
        <v>2</v>
      </c>
      <c r="AG71">
        <v>36</v>
      </c>
      <c r="AH71">
        <v>29.4</v>
      </c>
      <c r="AI71">
        <v>-5</v>
      </c>
    </row>
    <row r="72" spans="1:35" ht="21" x14ac:dyDescent="0.3">
      <c r="A72" t="s">
        <v>557</v>
      </c>
      <c r="B72" s="11">
        <v>53</v>
      </c>
      <c r="C72">
        <v>1363</v>
      </c>
      <c r="D72">
        <v>71</v>
      </c>
      <c r="E72" s="4">
        <v>44639</v>
      </c>
      <c r="F72" t="s">
        <v>62</v>
      </c>
      <c r="G72" t="s">
        <v>37</v>
      </c>
      <c r="H72" t="s">
        <v>155</v>
      </c>
      <c r="I72" t="s">
        <v>230</v>
      </c>
      <c r="J72" t="s">
        <v>41</v>
      </c>
      <c r="K72" s="9">
        <v>1.4951388888888888</v>
      </c>
      <c r="L72">
        <v>16</v>
      </c>
      <c r="M72">
        <v>29</v>
      </c>
      <c r="N72">
        <v>0.55200000000000005</v>
      </c>
      <c r="O72">
        <v>4</v>
      </c>
      <c r="P72">
        <v>10</v>
      </c>
      <c r="Q72">
        <v>0.4</v>
      </c>
      <c r="R72">
        <v>12</v>
      </c>
      <c r="S72">
        <v>19</v>
      </c>
      <c r="T72">
        <v>0.63200000000000001</v>
      </c>
      <c r="U72">
        <v>0.621</v>
      </c>
      <c r="V72">
        <v>2</v>
      </c>
      <c r="W72">
        <v>3</v>
      </c>
      <c r="X72">
        <v>0.66700000000000004</v>
      </c>
      <c r="Y72">
        <v>2</v>
      </c>
      <c r="Z72">
        <v>8</v>
      </c>
      <c r="AA72">
        <v>10</v>
      </c>
      <c r="AB72">
        <v>6</v>
      </c>
      <c r="AC72">
        <v>0</v>
      </c>
      <c r="AD72">
        <v>0</v>
      </c>
      <c r="AE72">
        <v>2</v>
      </c>
      <c r="AF72">
        <v>3</v>
      </c>
      <c r="AG72">
        <v>38</v>
      </c>
      <c r="AH72">
        <v>28.5</v>
      </c>
      <c r="AI72">
        <v>1</v>
      </c>
    </row>
    <row r="73" spans="1:35" ht="21" x14ac:dyDescent="0.3">
      <c r="A73" t="s">
        <v>557</v>
      </c>
      <c r="B73" s="11">
        <v>54</v>
      </c>
      <c r="C73">
        <v>1364</v>
      </c>
      <c r="D73">
        <v>72</v>
      </c>
      <c r="E73" s="4">
        <v>44641</v>
      </c>
      <c r="F73" t="s">
        <v>62</v>
      </c>
      <c r="G73" t="s">
        <v>37</v>
      </c>
      <c r="H73" t="s">
        <v>87</v>
      </c>
      <c r="I73" t="s">
        <v>258</v>
      </c>
      <c r="J73" t="s">
        <v>41</v>
      </c>
      <c r="K73" s="9">
        <v>1.6916666666666667</v>
      </c>
      <c r="L73">
        <v>17</v>
      </c>
      <c r="M73">
        <v>29</v>
      </c>
      <c r="N73">
        <v>0.58599999999999997</v>
      </c>
      <c r="O73">
        <v>0</v>
      </c>
      <c r="P73">
        <v>4</v>
      </c>
      <c r="Q73">
        <v>0</v>
      </c>
      <c r="R73">
        <v>17</v>
      </c>
      <c r="S73">
        <v>25</v>
      </c>
      <c r="T73">
        <v>0.68</v>
      </c>
      <c r="U73">
        <v>0.58599999999999997</v>
      </c>
      <c r="V73">
        <v>4</v>
      </c>
      <c r="W73">
        <v>4</v>
      </c>
      <c r="X73">
        <v>1</v>
      </c>
      <c r="Y73">
        <v>1</v>
      </c>
      <c r="Z73">
        <v>9</v>
      </c>
      <c r="AA73">
        <v>10</v>
      </c>
      <c r="AB73">
        <v>12</v>
      </c>
      <c r="AC73">
        <v>1</v>
      </c>
      <c r="AD73">
        <v>1</v>
      </c>
      <c r="AE73">
        <v>3</v>
      </c>
      <c r="AF73">
        <v>0</v>
      </c>
      <c r="AG73">
        <v>38</v>
      </c>
      <c r="AH73">
        <v>35</v>
      </c>
      <c r="AI73">
        <v>9</v>
      </c>
    </row>
    <row r="74" spans="1:35" ht="21" x14ac:dyDescent="0.3">
      <c r="A74" t="s">
        <v>557</v>
      </c>
      <c r="B74" s="11">
        <v>54</v>
      </c>
      <c r="D74">
        <v>73</v>
      </c>
      <c r="E74" s="4">
        <v>44643</v>
      </c>
      <c r="F74" t="s">
        <v>62</v>
      </c>
      <c r="H74" t="s">
        <v>94</v>
      </c>
      <c r="I74" t="s">
        <v>173</v>
      </c>
      <c r="J74" t="s">
        <v>91</v>
      </c>
      <c r="K74" t="s">
        <v>91</v>
      </c>
      <c r="L74" t="s">
        <v>91</v>
      </c>
      <c r="M74" t="s">
        <v>91</v>
      </c>
      <c r="N74" t="s">
        <v>91</v>
      </c>
      <c r="O74" t="s">
        <v>91</v>
      </c>
      <c r="P74" t="s">
        <v>91</v>
      </c>
      <c r="Q74" t="s">
        <v>91</v>
      </c>
      <c r="R74" t="s">
        <v>91</v>
      </c>
      <c r="S74" t="s">
        <v>91</v>
      </c>
      <c r="T74" t="s">
        <v>91</v>
      </c>
      <c r="U74" t="s">
        <v>91</v>
      </c>
      <c r="V74" t="s">
        <v>91</v>
      </c>
      <c r="W74" t="s">
        <v>91</v>
      </c>
      <c r="X74" t="s">
        <v>91</v>
      </c>
      <c r="Y74" t="s">
        <v>91</v>
      </c>
      <c r="Z74" t="s">
        <v>91</v>
      </c>
      <c r="AA74" t="s">
        <v>91</v>
      </c>
      <c r="AB74" t="s">
        <v>91</v>
      </c>
      <c r="AC74" t="s">
        <v>91</v>
      </c>
      <c r="AD74" t="s">
        <v>91</v>
      </c>
      <c r="AE74" t="s">
        <v>91</v>
      </c>
      <c r="AF74" t="s">
        <v>91</v>
      </c>
      <c r="AG74" t="s">
        <v>91</v>
      </c>
      <c r="AH74" t="s">
        <v>91</v>
      </c>
      <c r="AI74" t="s">
        <v>91</v>
      </c>
    </row>
    <row r="75" spans="1:35" ht="21" x14ac:dyDescent="0.3">
      <c r="A75" t="s">
        <v>557</v>
      </c>
      <c r="B75" s="11">
        <v>55</v>
      </c>
      <c r="C75">
        <v>1365</v>
      </c>
      <c r="D75">
        <v>74</v>
      </c>
      <c r="E75" s="4">
        <v>44647</v>
      </c>
      <c r="F75" t="s">
        <v>62</v>
      </c>
      <c r="G75" t="s">
        <v>37</v>
      </c>
      <c r="H75" t="s">
        <v>74</v>
      </c>
      <c r="I75" t="s">
        <v>125</v>
      </c>
      <c r="J75" t="s">
        <v>41</v>
      </c>
      <c r="K75" s="9">
        <v>1.7347222222222223</v>
      </c>
      <c r="L75">
        <v>14</v>
      </c>
      <c r="M75">
        <v>27</v>
      </c>
      <c r="N75">
        <v>0.51900000000000002</v>
      </c>
      <c r="O75">
        <v>7</v>
      </c>
      <c r="P75">
        <v>13</v>
      </c>
      <c r="Q75">
        <v>0.53800000000000003</v>
      </c>
      <c r="R75">
        <v>7</v>
      </c>
      <c r="S75">
        <v>14</v>
      </c>
      <c r="T75">
        <v>0.5</v>
      </c>
      <c r="U75">
        <v>0.64800000000000002</v>
      </c>
      <c r="V75">
        <v>4</v>
      </c>
      <c r="W75">
        <v>6</v>
      </c>
      <c r="X75">
        <v>0.66700000000000004</v>
      </c>
      <c r="Y75">
        <v>1</v>
      </c>
      <c r="Z75">
        <v>8</v>
      </c>
      <c r="AA75">
        <v>9</v>
      </c>
      <c r="AB75">
        <v>5</v>
      </c>
      <c r="AC75">
        <v>0</v>
      </c>
      <c r="AD75">
        <v>1</v>
      </c>
      <c r="AE75">
        <v>4</v>
      </c>
      <c r="AF75">
        <v>1</v>
      </c>
      <c r="AG75">
        <v>39</v>
      </c>
      <c r="AH75">
        <v>27.8</v>
      </c>
      <c r="AI75">
        <v>-9</v>
      </c>
    </row>
    <row r="76" spans="1:35" ht="21" x14ac:dyDescent="0.3">
      <c r="A76" t="s">
        <v>557</v>
      </c>
      <c r="B76" s="11">
        <v>55</v>
      </c>
      <c r="D76">
        <v>75</v>
      </c>
      <c r="E76" s="4">
        <v>44649</v>
      </c>
      <c r="F76" t="s">
        <v>62</v>
      </c>
      <c r="G76" t="s">
        <v>37</v>
      </c>
      <c r="H76" t="s">
        <v>49</v>
      </c>
      <c r="I76" t="s">
        <v>259</v>
      </c>
      <c r="J76" t="s">
        <v>91</v>
      </c>
      <c r="K76" t="s">
        <v>91</v>
      </c>
      <c r="L76" t="s">
        <v>91</v>
      </c>
      <c r="M76" t="s">
        <v>91</v>
      </c>
      <c r="N76" t="s">
        <v>91</v>
      </c>
      <c r="O76" t="s">
        <v>91</v>
      </c>
      <c r="P76" t="s">
        <v>91</v>
      </c>
      <c r="Q76" t="s">
        <v>91</v>
      </c>
      <c r="R76" t="s">
        <v>91</v>
      </c>
      <c r="S76" t="s">
        <v>91</v>
      </c>
      <c r="T76" t="s">
        <v>91</v>
      </c>
      <c r="U76" t="s">
        <v>91</v>
      </c>
      <c r="V76" t="s">
        <v>91</v>
      </c>
      <c r="W76" t="s">
        <v>91</v>
      </c>
      <c r="X76" t="s">
        <v>91</v>
      </c>
      <c r="Y76" t="s">
        <v>91</v>
      </c>
      <c r="Z76" t="s">
        <v>91</v>
      </c>
      <c r="AA76" t="s">
        <v>91</v>
      </c>
      <c r="AB76" t="s">
        <v>91</v>
      </c>
      <c r="AC76" t="s">
        <v>91</v>
      </c>
      <c r="AD76" t="s">
        <v>91</v>
      </c>
      <c r="AE76" t="s">
        <v>91</v>
      </c>
      <c r="AF76" t="s">
        <v>91</v>
      </c>
      <c r="AG76" t="s">
        <v>91</v>
      </c>
      <c r="AH76" t="s">
        <v>91</v>
      </c>
      <c r="AI76" t="s">
        <v>91</v>
      </c>
    </row>
    <row r="77" spans="1:35" ht="21" x14ac:dyDescent="0.3">
      <c r="A77" t="s">
        <v>557</v>
      </c>
      <c r="B77" s="11">
        <v>55</v>
      </c>
      <c r="D77">
        <v>76</v>
      </c>
      <c r="E77" s="4">
        <v>44651</v>
      </c>
      <c r="F77" t="s">
        <v>62</v>
      </c>
      <c r="G77" t="s">
        <v>37</v>
      </c>
      <c r="H77" t="s">
        <v>118</v>
      </c>
      <c r="I77" t="s">
        <v>260</v>
      </c>
      <c r="J77" t="s">
        <v>91</v>
      </c>
      <c r="K77" t="s">
        <v>91</v>
      </c>
      <c r="L77" t="s">
        <v>91</v>
      </c>
      <c r="M77" t="s">
        <v>91</v>
      </c>
      <c r="N77" t="s">
        <v>91</v>
      </c>
      <c r="O77" t="s">
        <v>91</v>
      </c>
      <c r="P77" t="s">
        <v>91</v>
      </c>
      <c r="Q77" t="s">
        <v>91</v>
      </c>
      <c r="R77" t="s">
        <v>91</v>
      </c>
      <c r="S77" t="s">
        <v>91</v>
      </c>
      <c r="T77" t="s">
        <v>91</v>
      </c>
      <c r="U77" t="s">
        <v>91</v>
      </c>
      <c r="V77" t="s">
        <v>91</v>
      </c>
      <c r="W77" t="s">
        <v>91</v>
      </c>
      <c r="X77" t="s">
        <v>91</v>
      </c>
      <c r="Y77" t="s">
        <v>91</v>
      </c>
      <c r="Z77" t="s">
        <v>91</v>
      </c>
      <c r="AA77" t="s">
        <v>91</v>
      </c>
      <c r="AB77" t="s">
        <v>91</v>
      </c>
      <c r="AC77" t="s">
        <v>91</v>
      </c>
      <c r="AD77" t="s">
        <v>91</v>
      </c>
      <c r="AE77" t="s">
        <v>91</v>
      </c>
      <c r="AF77" t="s">
        <v>91</v>
      </c>
      <c r="AG77" t="s">
        <v>91</v>
      </c>
      <c r="AH77" t="s">
        <v>91</v>
      </c>
      <c r="AI77" t="s">
        <v>91</v>
      </c>
    </row>
    <row r="78" spans="1:35" ht="21" x14ac:dyDescent="0.3">
      <c r="A78" t="s">
        <v>557</v>
      </c>
      <c r="B78" s="11">
        <v>56</v>
      </c>
      <c r="C78">
        <v>1366</v>
      </c>
      <c r="D78">
        <v>77</v>
      </c>
      <c r="E78" s="4">
        <v>44652</v>
      </c>
      <c r="F78" t="s">
        <v>62</v>
      </c>
      <c r="H78" t="s">
        <v>74</v>
      </c>
      <c r="I78" t="s">
        <v>261</v>
      </c>
      <c r="J78" t="s">
        <v>41</v>
      </c>
      <c r="K78" s="9">
        <v>1.6465277777777778</v>
      </c>
      <c r="L78">
        <v>13</v>
      </c>
      <c r="M78">
        <v>23</v>
      </c>
      <c r="N78">
        <v>0.56499999999999995</v>
      </c>
      <c r="O78">
        <v>3</v>
      </c>
      <c r="P78">
        <v>8</v>
      </c>
      <c r="Q78">
        <v>0.375</v>
      </c>
      <c r="R78">
        <v>10</v>
      </c>
      <c r="S78">
        <v>15</v>
      </c>
      <c r="T78">
        <v>0.66700000000000004</v>
      </c>
      <c r="U78">
        <v>0.63</v>
      </c>
      <c r="V78">
        <v>9</v>
      </c>
      <c r="W78">
        <v>12</v>
      </c>
      <c r="X78">
        <v>0.75</v>
      </c>
      <c r="Y78">
        <v>0</v>
      </c>
      <c r="Z78">
        <v>8</v>
      </c>
      <c r="AA78">
        <v>8</v>
      </c>
      <c r="AB78">
        <v>4</v>
      </c>
      <c r="AC78">
        <v>1</v>
      </c>
      <c r="AD78">
        <v>0</v>
      </c>
      <c r="AE78">
        <v>6</v>
      </c>
      <c r="AF78">
        <v>3</v>
      </c>
      <c r="AG78">
        <v>38</v>
      </c>
      <c r="AH78">
        <v>24.9</v>
      </c>
      <c r="AI78">
        <v>-2</v>
      </c>
    </row>
    <row r="79" spans="1:35" ht="21" x14ac:dyDescent="0.3">
      <c r="A79" t="s">
        <v>557</v>
      </c>
      <c r="B79" s="11">
        <v>56</v>
      </c>
      <c r="D79">
        <v>78</v>
      </c>
      <c r="E79" s="4">
        <v>44654</v>
      </c>
      <c r="F79" t="s">
        <v>62</v>
      </c>
      <c r="H79" t="s">
        <v>34</v>
      </c>
      <c r="I79" t="s">
        <v>262</v>
      </c>
      <c r="J79" t="s">
        <v>91</v>
      </c>
      <c r="K79" t="s">
        <v>91</v>
      </c>
      <c r="L79" t="s">
        <v>91</v>
      </c>
      <c r="M79" t="s">
        <v>91</v>
      </c>
      <c r="N79" t="s">
        <v>91</v>
      </c>
      <c r="O79" t="s">
        <v>91</v>
      </c>
      <c r="P79" t="s">
        <v>91</v>
      </c>
      <c r="Q79" t="s">
        <v>91</v>
      </c>
      <c r="R79" t="s">
        <v>91</v>
      </c>
      <c r="S79" t="s">
        <v>91</v>
      </c>
      <c r="T79" t="s">
        <v>91</v>
      </c>
      <c r="U79" t="s">
        <v>91</v>
      </c>
      <c r="V79" t="s">
        <v>91</v>
      </c>
      <c r="W79" t="s">
        <v>91</v>
      </c>
      <c r="X79" t="s">
        <v>91</v>
      </c>
      <c r="Y79" t="s">
        <v>91</v>
      </c>
      <c r="Z79" t="s">
        <v>91</v>
      </c>
      <c r="AA79" t="s">
        <v>91</v>
      </c>
      <c r="AB79" t="s">
        <v>91</v>
      </c>
      <c r="AC79" t="s">
        <v>91</v>
      </c>
      <c r="AD79" t="s">
        <v>91</v>
      </c>
      <c r="AE79" t="s">
        <v>91</v>
      </c>
      <c r="AF79" t="s">
        <v>91</v>
      </c>
      <c r="AG79" t="s">
        <v>91</v>
      </c>
      <c r="AH79" t="s">
        <v>91</v>
      </c>
      <c r="AI79" t="s">
        <v>91</v>
      </c>
    </row>
    <row r="80" spans="1:35" ht="21" x14ac:dyDescent="0.3">
      <c r="A80" t="s">
        <v>557</v>
      </c>
      <c r="B80" s="11">
        <v>56</v>
      </c>
      <c r="D80">
        <v>79</v>
      </c>
      <c r="E80" s="4">
        <v>44656</v>
      </c>
      <c r="F80" t="s">
        <v>62</v>
      </c>
      <c r="G80" t="s">
        <v>37</v>
      </c>
      <c r="H80" t="s">
        <v>99</v>
      </c>
      <c r="I80" t="s">
        <v>161</v>
      </c>
      <c r="J80" t="s">
        <v>91</v>
      </c>
      <c r="K80" t="s">
        <v>91</v>
      </c>
      <c r="L80" t="s">
        <v>91</v>
      </c>
      <c r="M80" t="s">
        <v>91</v>
      </c>
      <c r="N80" t="s">
        <v>91</v>
      </c>
      <c r="O80" t="s">
        <v>91</v>
      </c>
      <c r="P80" t="s">
        <v>91</v>
      </c>
      <c r="Q80" t="s">
        <v>91</v>
      </c>
      <c r="R80" t="s">
        <v>91</v>
      </c>
      <c r="S80" t="s">
        <v>91</v>
      </c>
      <c r="T80" t="s">
        <v>91</v>
      </c>
      <c r="U80" t="s">
        <v>91</v>
      </c>
      <c r="V80" t="s">
        <v>91</v>
      </c>
      <c r="W80" t="s">
        <v>91</v>
      </c>
      <c r="X80" t="s">
        <v>91</v>
      </c>
      <c r="Y80" t="s">
        <v>91</v>
      </c>
      <c r="Z80" t="s">
        <v>91</v>
      </c>
      <c r="AA80" t="s">
        <v>91</v>
      </c>
      <c r="AB80" t="s">
        <v>91</v>
      </c>
      <c r="AC80" t="s">
        <v>91</v>
      </c>
      <c r="AD80" t="s">
        <v>91</v>
      </c>
      <c r="AE80" t="s">
        <v>91</v>
      </c>
      <c r="AF80" t="s">
        <v>91</v>
      </c>
      <c r="AG80" t="s">
        <v>91</v>
      </c>
      <c r="AH80" t="s">
        <v>91</v>
      </c>
      <c r="AI80" t="s">
        <v>91</v>
      </c>
    </row>
    <row r="81" spans="1:35" ht="21" x14ac:dyDescent="0.3">
      <c r="A81" t="s">
        <v>557</v>
      </c>
      <c r="B81" s="11">
        <v>56</v>
      </c>
      <c r="D81">
        <v>80</v>
      </c>
      <c r="E81" s="4">
        <v>44658</v>
      </c>
      <c r="F81" t="s">
        <v>62</v>
      </c>
      <c r="G81" t="s">
        <v>37</v>
      </c>
      <c r="H81" t="s">
        <v>33</v>
      </c>
      <c r="I81" t="s">
        <v>263</v>
      </c>
      <c r="J81" t="s">
        <v>91</v>
      </c>
      <c r="K81" t="s">
        <v>91</v>
      </c>
      <c r="L81" t="s">
        <v>91</v>
      </c>
      <c r="M81" t="s">
        <v>91</v>
      </c>
      <c r="N81" t="s">
        <v>91</v>
      </c>
      <c r="O81" t="s">
        <v>91</v>
      </c>
      <c r="P81" t="s">
        <v>91</v>
      </c>
      <c r="Q81" t="s">
        <v>91</v>
      </c>
      <c r="R81" t="s">
        <v>91</v>
      </c>
      <c r="S81" t="s">
        <v>91</v>
      </c>
      <c r="T81" t="s">
        <v>91</v>
      </c>
      <c r="U81" t="s">
        <v>91</v>
      </c>
      <c r="V81" t="s">
        <v>91</v>
      </c>
      <c r="W81" t="s">
        <v>91</v>
      </c>
      <c r="X81" t="s">
        <v>91</v>
      </c>
      <c r="Y81" t="s">
        <v>91</v>
      </c>
      <c r="Z81" t="s">
        <v>91</v>
      </c>
      <c r="AA81" t="s">
        <v>91</v>
      </c>
      <c r="AB81" t="s">
        <v>91</v>
      </c>
      <c r="AC81" t="s">
        <v>91</v>
      </c>
      <c r="AD81" t="s">
        <v>91</v>
      </c>
      <c r="AE81" t="s">
        <v>91</v>
      </c>
      <c r="AF81" t="s">
        <v>91</v>
      </c>
      <c r="AG81" t="s">
        <v>91</v>
      </c>
      <c r="AH81" t="s">
        <v>91</v>
      </c>
      <c r="AI81" t="s">
        <v>91</v>
      </c>
    </row>
    <row r="82" spans="1:35" ht="21" x14ac:dyDescent="0.3">
      <c r="A82" t="s">
        <v>557</v>
      </c>
      <c r="B82" s="11">
        <v>56</v>
      </c>
      <c r="D82">
        <v>81</v>
      </c>
      <c r="E82" s="4">
        <v>44659</v>
      </c>
      <c r="F82" t="s">
        <v>62</v>
      </c>
      <c r="H82" t="s">
        <v>68</v>
      </c>
      <c r="I82" t="s">
        <v>264</v>
      </c>
      <c r="J82" t="s">
        <v>91</v>
      </c>
      <c r="K82" t="s">
        <v>91</v>
      </c>
      <c r="L82" t="s">
        <v>91</v>
      </c>
      <c r="M82" t="s">
        <v>91</v>
      </c>
      <c r="N82" t="s">
        <v>91</v>
      </c>
      <c r="O82" t="s">
        <v>91</v>
      </c>
      <c r="P82" t="s">
        <v>91</v>
      </c>
      <c r="Q82" t="s">
        <v>91</v>
      </c>
      <c r="R82" t="s">
        <v>91</v>
      </c>
      <c r="S82" t="s">
        <v>91</v>
      </c>
      <c r="T82" t="s">
        <v>91</v>
      </c>
      <c r="U82" t="s">
        <v>91</v>
      </c>
      <c r="V82" t="s">
        <v>91</v>
      </c>
      <c r="W82" t="s">
        <v>91</v>
      </c>
      <c r="X82" t="s">
        <v>91</v>
      </c>
      <c r="Y82" t="s">
        <v>91</v>
      </c>
      <c r="Z82" t="s">
        <v>91</v>
      </c>
      <c r="AA82" t="s">
        <v>91</v>
      </c>
      <c r="AB82" t="s">
        <v>91</v>
      </c>
      <c r="AC82" t="s">
        <v>91</v>
      </c>
      <c r="AD82" t="s">
        <v>91</v>
      </c>
      <c r="AE82" t="s">
        <v>91</v>
      </c>
      <c r="AF82" t="s">
        <v>91</v>
      </c>
      <c r="AG82" t="s">
        <v>91</v>
      </c>
      <c r="AH82" t="s">
        <v>91</v>
      </c>
      <c r="AI82" t="s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ABC7-87D5-BF44-A6A6-0C730425D168}">
  <dimension ref="A1:AI96"/>
  <sheetViews>
    <sheetView workbookViewId="0">
      <selection activeCell="H2" sqref="H2:H96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558</v>
      </c>
      <c r="B2" s="11">
        <v>1</v>
      </c>
      <c r="C2">
        <v>228</v>
      </c>
      <c r="D2">
        <v>1</v>
      </c>
      <c r="E2" s="4">
        <v>44489</v>
      </c>
      <c r="F2" t="s">
        <v>99</v>
      </c>
      <c r="H2" t="s">
        <v>34</v>
      </c>
      <c r="I2" t="s">
        <v>266</v>
      </c>
      <c r="J2" t="s">
        <v>41</v>
      </c>
      <c r="K2" s="9">
        <v>1.3965277777777778</v>
      </c>
      <c r="L2">
        <v>7</v>
      </c>
      <c r="M2">
        <v>16</v>
      </c>
      <c r="N2">
        <v>0.438</v>
      </c>
      <c r="O2">
        <v>2</v>
      </c>
      <c r="P2">
        <v>6</v>
      </c>
      <c r="Q2">
        <v>0.33300000000000002</v>
      </c>
      <c r="R2">
        <v>5</v>
      </c>
      <c r="S2">
        <v>10</v>
      </c>
      <c r="T2">
        <v>0.5</v>
      </c>
      <c r="U2">
        <v>0.5</v>
      </c>
      <c r="V2">
        <v>0</v>
      </c>
      <c r="W2">
        <v>2</v>
      </c>
      <c r="X2">
        <v>0</v>
      </c>
      <c r="Y2">
        <v>1</v>
      </c>
      <c r="Z2">
        <v>4</v>
      </c>
      <c r="AA2">
        <v>5</v>
      </c>
      <c r="AB2">
        <v>0</v>
      </c>
      <c r="AC2">
        <v>1</v>
      </c>
      <c r="AD2">
        <v>1</v>
      </c>
      <c r="AE2">
        <v>1</v>
      </c>
      <c r="AF2">
        <v>2</v>
      </c>
      <c r="AG2">
        <v>16</v>
      </c>
      <c r="AH2">
        <v>8.6</v>
      </c>
      <c r="AI2">
        <v>-21</v>
      </c>
    </row>
    <row r="3" spans="1:35" ht="21" x14ac:dyDescent="0.3">
      <c r="A3" t="s">
        <v>558</v>
      </c>
      <c r="B3" s="11">
        <v>2</v>
      </c>
      <c r="C3">
        <v>229</v>
      </c>
      <c r="D3">
        <v>2</v>
      </c>
      <c r="E3" s="4">
        <v>44491</v>
      </c>
      <c r="F3" t="s">
        <v>99</v>
      </c>
      <c r="G3" t="s">
        <v>37</v>
      </c>
      <c r="H3" t="s">
        <v>62</v>
      </c>
      <c r="I3" t="s">
        <v>267</v>
      </c>
      <c r="J3" t="s">
        <v>41</v>
      </c>
      <c r="K3" s="9">
        <v>1.4645833333333333</v>
      </c>
      <c r="L3">
        <v>8</v>
      </c>
      <c r="M3">
        <v>11</v>
      </c>
      <c r="N3">
        <v>0.72699999999999998</v>
      </c>
      <c r="O3">
        <v>2</v>
      </c>
      <c r="P3">
        <v>4</v>
      </c>
      <c r="Q3">
        <v>0.5</v>
      </c>
      <c r="R3">
        <v>6</v>
      </c>
      <c r="S3">
        <v>7</v>
      </c>
      <c r="T3">
        <v>0.85699999999999998</v>
      </c>
      <c r="U3">
        <v>0.81799999999999995</v>
      </c>
      <c r="V3">
        <v>3</v>
      </c>
      <c r="W3">
        <v>4</v>
      </c>
      <c r="X3">
        <v>0.75</v>
      </c>
      <c r="Y3">
        <v>1</v>
      </c>
      <c r="Z3">
        <v>4</v>
      </c>
      <c r="AA3">
        <v>5</v>
      </c>
      <c r="AB3">
        <v>3</v>
      </c>
      <c r="AC3">
        <v>3</v>
      </c>
      <c r="AD3">
        <v>1</v>
      </c>
      <c r="AE3">
        <v>1</v>
      </c>
      <c r="AF3">
        <v>3</v>
      </c>
      <c r="AG3">
        <v>21</v>
      </c>
      <c r="AH3">
        <v>21.6</v>
      </c>
      <c r="AI3">
        <v>13</v>
      </c>
    </row>
    <row r="4" spans="1:35" ht="21" x14ac:dyDescent="0.3">
      <c r="A4" t="s">
        <v>558</v>
      </c>
      <c r="B4" s="11">
        <v>3</v>
      </c>
      <c r="C4">
        <v>230</v>
      </c>
      <c r="D4">
        <v>3</v>
      </c>
      <c r="E4" s="4">
        <v>44492</v>
      </c>
      <c r="F4" t="s">
        <v>99</v>
      </c>
      <c r="G4" t="s">
        <v>37</v>
      </c>
      <c r="H4" t="s">
        <v>96</v>
      </c>
      <c r="I4" t="s">
        <v>268</v>
      </c>
      <c r="J4" t="s">
        <v>41</v>
      </c>
      <c r="K4" s="9">
        <v>1.0631944444444446</v>
      </c>
      <c r="L4">
        <v>5</v>
      </c>
      <c r="M4">
        <v>9</v>
      </c>
      <c r="N4">
        <v>0.55600000000000005</v>
      </c>
      <c r="O4">
        <v>4</v>
      </c>
      <c r="P4">
        <v>5</v>
      </c>
      <c r="Q4">
        <v>0.8</v>
      </c>
      <c r="R4">
        <v>1</v>
      </c>
      <c r="S4">
        <v>4</v>
      </c>
      <c r="T4">
        <v>0.25</v>
      </c>
      <c r="U4">
        <v>0.77800000000000002</v>
      </c>
      <c r="V4">
        <v>0</v>
      </c>
      <c r="W4">
        <v>0</v>
      </c>
      <c r="Y4">
        <v>0</v>
      </c>
      <c r="Z4">
        <v>2</v>
      </c>
      <c r="AA4">
        <v>2</v>
      </c>
      <c r="AB4">
        <v>1</v>
      </c>
      <c r="AC4">
        <v>0</v>
      </c>
      <c r="AD4">
        <v>0</v>
      </c>
      <c r="AE4">
        <v>0</v>
      </c>
      <c r="AF4">
        <v>0</v>
      </c>
      <c r="AG4">
        <v>14</v>
      </c>
      <c r="AH4">
        <v>11</v>
      </c>
      <c r="AI4">
        <v>-13</v>
      </c>
    </row>
    <row r="5" spans="1:35" ht="21" x14ac:dyDescent="0.3">
      <c r="A5" t="s">
        <v>558</v>
      </c>
      <c r="B5" s="11">
        <v>4</v>
      </c>
      <c r="C5">
        <v>231</v>
      </c>
      <c r="D5">
        <v>4</v>
      </c>
      <c r="E5" s="4">
        <v>44496</v>
      </c>
      <c r="F5" t="s">
        <v>99</v>
      </c>
      <c r="H5" t="s">
        <v>66</v>
      </c>
      <c r="I5" t="s">
        <v>269</v>
      </c>
      <c r="J5" t="s">
        <v>41</v>
      </c>
      <c r="K5" s="9">
        <v>1.3930555555555555</v>
      </c>
      <c r="L5">
        <v>7</v>
      </c>
      <c r="M5">
        <v>12</v>
      </c>
      <c r="N5">
        <v>0.58299999999999996</v>
      </c>
      <c r="O5">
        <v>1</v>
      </c>
      <c r="P5">
        <v>4</v>
      </c>
      <c r="Q5">
        <v>0.25</v>
      </c>
      <c r="R5">
        <v>6</v>
      </c>
      <c r="S5">
        <v>8</v>
      </c>
      <c r="T5">
        <v>0.75</v>
      </c>
      <c r="U5">
        <v>0.625</v>
      </c>
      <c r="V5">
        <v>0</v>
      </c>
      <c r="W5">
        <v>0</v>
      </c>
      <c r="Y5">
        <v>1</v>
      </c>
      <c r="Z5">
        <v>4</v>
      </c>
      <c r="AA5">
        <v>5</v>
      </c>
      <c r="AB5">
        <v>1</v>
      </c>
      <c r="AC5">
        <v>0</v>
      </c>
      <c r="AD5">
        <v>2</v>
      </c>
      <c r="AE5">
        <v>3</v>
      </c>
      <c r="AF5">
        <v>4</v>
      </c>
      <c r="AG5">
        <v>15</v>
      </c>
      <c r="AH5">
        <v>8.8000000000000007</v>
      </c>
      <c r="AI5">
        <v>6</v>
      </c>
    </row>
    <row r="6" spans="1:35" ht="21" x14ac:dyDescent="0.3">
      <c r="A6" t="s">
        <v>558</v>
      </c>
      <c r="B6" s="11">
        <v>5</v>
      </c>
      <c r="C6">
        <v>232</v>
      </c>
      <c r="D6">
        <v>5</v>
      </c>
      <c r="E6" s="4">
        <v>44499</v>
      </c>
      <c r="F6" t="s">
        <v>99</v>
      </c>
      <c r="H6" t="s">
        <v>87</v>
      </c>
      <c r="I6" t="s">
        <v>270</v>
      </c>
      <c r="J6" t="s">
        <v>41</v>
      </c>
      <c r="K6" s="9">
        <v>1.2694444444444444</v>
      </c>
      <c r="L6">
        <v>5</v>
      </c>
      <c r="M6">
        <v>9</v>
      </c>
      <c r="N6">
        <v>0.55600000000000005</v>
      </c>
      <c r="O6">
        <v>0</v>
      </c>
      <c r="P6">
        <v>2</v>
      </c>
      <c r="Q6">
        <v>0</v>
      </c>
      <c r="R6">
        <v>5</v>
      </c>
      <c r="S6">
        <v>7</v>
      </c>
      <c r="T6">
        <v>0.71399999999999997</v>
      </c>
      <c r="U6">
        <v>0.55600000000000005</v>
      </c>
      <c r="V6">
        <v>0</v>
      </c>
      <c r="W6">
        <v>0</v>
      </c>
      <c r="Y6">
        <v>0</v>
      </c>
      <c r="Z6">
        <v>5</v>
      </c>
      <c r="AA6">
        <v>5</v>
      </c>
      <c r="AB6">
        <v>3</v>
      </c>
      <c r="AC6">
        <v>0</v>
      </c>
      <c r="AD6">
        <v>0</v>
      </c>
      <c r="AE6">
        <v>2</v>
      </c>
      <c r="AF6">
        <v>3</v>
      </c>
      <c r="AG6">
        <v>10</v>
      </c>
      <c r="AH6">
        <v>6.1</v>
      </c>
      <c r="AI6">
        <v>25</v>
      </c>
    </row>
    <row r="7" spans="1:35" ht="21" x14ac:dyDescent="0.3">
      <c r="A7" t="s">
        <v>558</v>
      </c>
      <c r="B7" s="11">
        <v>6</v>
      </c>
      <c r="C7">
        <v>233</v>
      </c>
      <c r="D7">
        <v>6</v>
      </c>
      <c r="E7" s="4">
        <v>44502</v>
      </c>
      <c r="F7" t="s">
        <v>99</v>
      </c>
      <c r="H7" t="s">
        <v>74</v>
      </c>
      <c r="I7" t="s">
        <v>271</v>
      </c>
      <c r="J7" t="s">
        <v>41</v>
      </c>
      <c r="K7" s="9">
        <v>1.7416666666666667</v>
      </c>
      <c r="L7">
        <v>9</v>
      </c>
      <c r="M7">
        <v>15</v>
      </c>
      <c r="N7">
        <v>0.6</v>
      </c>
      <c r="O7">
        <v>2</v>
      </c>
      <c r="P7">
        <v>4</v>
      </c>
      <c r="Q7">
        <v>0.5</v>
      </c>
      <c r="R7">
        <v>7</v>
      </c>
      <c r="S7">
        <v>11</v>
      </c>
      <c r="T7">
        <v>0.63600000000000001</v>
      </c>
      <c r="U7">
        <v>0.66700000000000004</v>
      </c>
      <c r="V7">
        <v>2</v>
      </c>
      <c r="W7">
        <v>2</v>
      </c>
      <c r="X7">
        <v>1</v>
      </c>
      <c r="Y7">
        <v>0</v>
      </c>
      <c r="Z7">
        <v>1</v>
      </c>
      <c r="AA7">
        <v>1</v>
      </c>
      <c r="AB7">
        <v>1</v>
      </c>
      <c r="AC7">
        <v>0</v>
      </c>
      <c r="AD7">
        <v>0</v>
      </c>
      <c r="AE7">
        <v>1</v>
      </c>
      <c r="AF7">
        <v>3</v>
      </c>
      <c r="AG7">
        <v>22</v>
      </c>
      <c r="AH7">
        <v>13.9</v>
      </c>
      <c r="AI7">
        <v>19</v>
      </c>
    </row>
    <row r="8" spans="1:35" ht="21" x14ac:dyDescent="0.3">
      <c r="A8" t="s">
        <v>558</v>
      </c>
      <c r="B8" s="11">
        <v>7</v>
      </c>
      <c r="C8">
        <v>234</v>
      </c>
      <c r="D8">
        <v>7</v>
      </c>
      <c r="E8" s="4">
        <v>44504</v>
      </c>
      <c r="F8" t="s">
        <v>99</v>
      </c>
      <c r="H8" t="s">
        <v>76</v>
      </c>
      <c r="I8" t="s">
        <v>272</v>
      </c>
      <c r="J8" t="s">
        <v>41</v>
      </c>
      <c r="K8" s="9">
        <v>1.2520833333333334</v>
      </c>
      <c r="L8">
        <v>7</v>
      </c>
      <c r="M8">
        <v>11</v>
      </c>
      <c r="N8">
        <v>0.63600000000000001</v>
      </c>
      <c r="O8">
        <v>2</v>
      </c>
      <c r="P8">
        <v>4</v>
      </c>
      <c r="Q8">
        <v>0.5</v>
      </c>
      <c r="R8">
        <v>5</v>
      </c>
      <c r="S8">
        <v>7</v>
      </c>
      <c r="T8">
        <v>0.71399999999999997</v>
      </c>
      <c r="U8">
        <v>0.72699999999999998</v>
      </c>
      <c r="V8">
        <v>0</v>
      </c>
      <c r="W8">
        <v>0</v>
      </c>
      <c r="Y8">
        <v>1</v>
      </c>
      <c r="Z8">
        <v>2</v>
      </c>
      <c r="AA8">
        <v>3</v>
      </c>
      <c r="AB8">
        <v>0</v>
      </c>
      <c r="AC8">
        <v>0</v>
      </c>
      <c r="AD8">
        <v>1</v>
      </c>
      <c r="AE8">
        <v>0</v>
      </c>
      <c r="AF8">
        <v>1</v>
      </c>
      <c r="AG8">
        <v>16</v>
      </c>
      <c r="AH8">
        <v>12.7</v>
      </c>
      <c r="AI8">
        <v>4</v>
      </c>
    </row>
    <row r="9" spans="1:35" ht="21" x14ac:dyDescent="0.3">
      <c r="A9" t="s">
        <v>558</v>
      </c>
      <c r="B9" s="11">
        <v>8</v>
      </c>
      <c r="C9">
        <v>235</v>
      </c>
      <c r="D9">
        <v>8</v>
      </c>
      <c r="E9" s="4">
        <v>44506</v>
      </c>
      <c r="F9" t="s">
        <v>99</v>
      </c>
      <c r="H9" t="s">
        <v>78</v>
      </c>
      <c r="I9" t="s">
        <v>273</v>
      </c>
      <c r="J9" t="s">
        <v>41</v>
      </c>
      <c r="K9" s="9">
        <v>1.2909722222222222</v>
      </c>
      <c r="L9">
        <v>4</v>
      </c>
      <c r="M9">
        <v>8</v>
      </c>
      <c r="N9">
        <v>0.5</v>
      </c>
      <c r="O9">
        <v>0</v>
      </c>
      <c r="P9">
        <v>4</v>
      </c>
      <c r="Q9">
        <v>0</v>
      </c>
      <c r="R9">
        <v>4</v>
      </c>
      <c r="S9">
        <v>4</v>
      </c>
      <c r="T9">
        <v>1</v>
      </c>
      <c r="U9">
        <v>0.5</v>
      </c>
      <c r="V9">
        <v>0</v>
      </c>
      <c r="W9">
        <v>0</v>
      </c>
      <c r="Y9">
        <v>1</v>
      </c>
      <c r="Z9">
        <v>2</v>
      </c>
      <c r="AA9">
        <v>3</v>
      </c>
      <c r="AB9">
        <v>2</v>
      </c>
      <c r="AC9">
        <v>1</v>
      </c>
      <c r="AD9">
        <v>1</v>
      </c>
      <c r="AE9">
        <v>0</v>
      </c>
      <c r="AF9">
        <v>3</v>
      </c>
      <c r="AG9">
        <v>8</v>
      </c>
      <c r="AH9">
        <v>7.2</v>
      </c>
      <c r="AI9">
        <v>10</v>
      </c>
    </row>
    <row r="10" spans="1:35" ht="21" x14ac:dyDescent="0.3">
      <c r="A10" t="s">
        <v>558</v>
      </c>
      <c r="B10" s="11">
        <v>9</v>
      </c>
      <c r="C10">
        <v>236</v>
      </c>
      <c r="D10">
        <v>9</v>
      </c>
      <c r="E10" s="4">
        <v>44508</v>
      </c>
      <c r="F10" t="s">
        <v>99</v>
      </c>
      <c r="G10" t="s">
        <v>37</v>
      </c>
      <c r="H10" t="s">
        <v>66</v>
      </c>
      <c r="I10" t="s">
        <v>274</v>
      </c>
      <c r="J10" t="s">
        <v>41</v>
      </c>
      <c r="K10" s="9">
        <v>1.4486111111111111</v>
      </c>
      <c r="L10">
        <v>6</v>
      </c>
      <c r="M10">
        <v>9</v>
      </c>
      <c r="N10">
        <v>0.66700000000000004</v>
      </c>
      <c r="O10">
        <v>1</v>
      </c>
      <c r="P10">
        <v>2</v>
      </c>
      <c r="Q10">
        <v>0.5</v>
      </c>
      <c r="R10">
        <v>5</v>
      </c>
      <c r="S10">
        <v>7</v>
      </c>
      <c r="T10">
        <v>0.71399999999999997</v>
      </c>
      <c r="U10">
        <v>0.72199999999999998</v>
      </c>
      <c r="V10">
        <v>3</v>
      </c>
      <c r="W10">
        <v>3</v>
      </c>
      <c r="X10">
        <v>1</v>
      </c>
      <c r="Y10">
        <v>1</v>
      </c>
      <c r="Z10">
        <v>1</v>
      </c>
      <c r="AA10">
        <v>2</v>
      </c>
      <c r="AB10">
        <v>1</v>
      </c>
      <c r="AC10">
        <v>2</v>
      </c>
      <c r="AD10">
        <v>2</v>
      </c>
      <c r="AE10">
        <v>0</v>
      </c>
      <c r="AF10">
        <v>2</v>
      </c>
      <c r="AG10">
        <v>16</v>
      </c>
      <c r="AH10">
        <v>16.399999999999999</v>
      </c>
      <c r="AI10">
        <v>14</v>
      </c>
    </row>
    <row r="11" spans="1:35" ht="21" x14ac:dyDescent="0.3">
      <c r="A11" t="s">
        <v>558</v>
      </c>
      <c r="B11" s="11">
        <v>10</v>
      </c>
      <c r="C11">
        <v>237</v>
      </c>
      <c r="D11">
        <v>10</v>
      </c>
      <c r="E11" s="4">
        <v>44510</v>
      </c>
      <c r="F11" t="s">
        <v>99</v>
      </c>
      <c r="H11" t="s">
        <v>96</v>
      </c>
      <c r="I11" t="s">
        <v>275</v>
      </c>
      <c r="J11" t="s">
        <v>41</v>
      </c>
      <c r="K11" s="9">
        <v>1.6090277777777777</v>
      </c>
      <c r="L11">
        <v>4</v>
      </c>
      <c r="M11">
        <v>10</v>
      </c>
      <c r="N11">
        <v>0.4</v>
      </c>
      <c r="O11">
        <v>1</v>
      </c>
      <c r="P11">
        <v>3</v>
      </c>
      <c r="Q11">
        <v>0.33300000000000002</v>
      </c>
      <c r="R11">
        <v>3</v>
      </c>
      <c r="S11">
        <v>7</v>
      </c>
      <c r="T11">
        <v>0.42899999999999999</v>
      </c>
      <c r="U11">
        <v>0.45</v>
      </c>
      <c r="V11">
        <v>1</v>
      </c>
      <c r="W11">
        <v>1</v>
      </c>
      <c r="X11">
        <v>1</v>
      </c>
      <c r="Y11">
        <v>0</v>
      </c>
      <c r="Z11">
        <v>2</v>
      </c>
      <c r="AA11">
        <v>2</v>
      </c>
      <c r="AB11">
        <v>5</v>
      </c>
      <c r="AC11">
        <v>0</v>
      </c>
      <c r="AD11">
        <v>1</v>
      </c>
      <c r="AE11">
        <v>0</v>
      </c>
      <c r="AF11">
        <v>2</v>
      </c>
      <c r="AG11">
        <v>10</v>
      </c>
      <c r="AH11">
        <v>8.6</v>
      </c>
      <c r="AI11">
        <v>11</v>
      </c>
    </row>
    <row r="12" spans="1:35" ht="21" x14ac:dyDescent="0.3">
      <c r="A12" t="s">
        <v>558</v>
      </c>
      <c r="B12" s="11">
        <v>11</v>
      </c>
      <c r="C12">
        <v>238</v>
      </c>
      <c r="D12">
        <v>11</v>
      </c>
      <c r="E12" s="4">
        <v>44512</v>
      </c>
      <c r="F12" t="s">
        <v>99</v>
      </c>
      <c r="G12" t="s">
        <v>37</v>
      </c>
      <c r="H12" t="s">
        <v>42</v>
      </c>
      <c r="I12" t="s">
        <v>276</v>
      </c>
      <c r="J12" t="s">
        <v>41</v>
      </c>
      <c r="K12" s="9">
        <v>1.2152777777777777</v>
      </c>
      <c r="L12">
        <v>5</v>
      </c>
      <c r="M12">
        <v>7</v>
      </c>
      <c r="N12">
        <v>0.71399999999999997</v>
      </c>
      <c r="O12">
        <v>3</v>
      </c>
      <c r="P12">
        <v>3</v>
      </c>
      <c r="Q12">
        <v>1</v>
      </c>
      <c r="R12">
        <v>2</v>
      </c>
      <c r="S12">
        <v>4</v>
      </c>
      <c r="T12">
        <v>0.5</v>
      </c>
      <c r="U12">
        <v>0.92900000000000005</v>
      </c>
      <c r="V12">
        <v>0</v>
      </c>
      <c r="W12">
        <v>0</v>
      </c>
      <c r="Y12">
        <v>0</v>
      </c>
      <c r="Z12">
        <v>2</v>
      </c>
      <c r="AA12">
        <v>2</v>
      </c>
      <c r="AB12">
        <v>1</v>
      </c>
      <c r="AC12">
        <v>2</v>
      </c>
      <c r="AD12">
        <v>0</v>
      </c>
      <c r="AE12">
        <v>1</v>
      </c>
      <c r="AF12">
        <v>4</v>
      </c>
      <c r="AG12">
        <v>13</v>
      </c>
      <c r="AH12">
        <v>10.8</v>
      </c>
      <c r="AI12">
        <v>15</v>
      </c>
    </row>
    <row r="13" spans="1:35" ht="21" x14ac:dyDescent="0.3">
      <c r="A13" t="s">
        <v>558</v>
      </c>
      <c r="B13" s="11">
        <v>12</v>
      </c>
      <c r="C13">
        <v>239</v>
      </c>
      <c r="D13">
        <v>12</v>
      </c>
      <c r="E13" s="4">
        <v>44514</v>
      </c>
      <c r="F13" t="s">
        <v>99</v>
      </c>
      <c r="G13" t="s">
        <v>37</v>
      </c>
      <c r="H13" t="s">
        <v>76</v>
      </c>
      <c r="I13" t="s">
        <v>277</v>
      </c>
      <c r="J13" t="s">
        <v>41</v>
      </c>
      <c r="K13" s="9">
        <v>1.2805555555555554</v>
      </c>
      <c r="L13">
        <v>6</v>
      </c>
      <c r="M13">
        <v>13</v>
      </c>
      <c r="N13">
        <v>0.46200000000000002</v>
      </c>
      <c r="O13">
        <v>2</v>
      </c>
      <c r="P13">
        <v>5</v>
      </c>
      <c r="Q13">
        <v>0.4</v>
      </c>
      <c r="R13">
        <v>4</v>
      </c>
      <c r="S13">
        <v>8</v>
      </c>
      <c r="T13">
        <v>0.5</v>
      </c>
      <c r="U13">
        <v>0.53800000000000003</v>
      </c>
      <c r="V13">
        <v>0</v>
      </c>
      <c r="W13">
        <v>0</v>
      </c>
      <c r="Y13">
        <v>0</v>
      </c>
      <c r="Z13">
        <v>6</v>
      </c>
      <c r="AA13">
        <v>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14</v>
      </c>
      <c r="AH13">
        <v>9.1</v>
      </c>
      <c r="AI13">
        <v>17</v>
      </c>
    </row>
    <row r="14" spans="1:35" ht="21" x14ac:dyDescent="0.3">
      <c r="A14" t="s">
        <v>558</v>
      </c>
      <c r="B14" s="11">
        <v>13</v>
      </c>
      <c r="C14">
        <v>240</v>
      </c>
      <c r="D14">
        <v>13</v>
      </c>
      <c r="E14" s="4">
        <v>44515</v>
      </c>
      <c r="F14" t="s">
        <v>99</v>
      </c>
      <c r="G14" t="s">
        <v>37</v>
      </c>
      <c r="H14" t="s">
        <v>80</v>
      </c>
      <c r="I14" t="s">
        <v>278</v>
      </c>
      <c r="J14" t="s">
        <v>41</v>
      </c>
      <c r="K14" s="9">
        <v>1.367361111111111</v>
      </c>
      <c r="L14">
        <v>2</v>
      </c>
      <c r="M14">
        <v>8</v>
      </c>
      <c r="N14">
        <v>0.25</v>
      </c>
      <c r="O14">
        <v>0</v>
      </c>
      <c r="P14">
        <v>4</v>
      </c>
      <c r="Q14">
        <v>0</v>
      </c>
      <c r="R14">
        <v>2</v>
      </c>
      <c r="S14">
        <v>4</v>
      </c>
      <c r="T14">
        <v>0.5</v>
      </c>
      <c r="U14">
        <v>0.25</v>
      </c>
      <c r="V14">
        <v>3</v>
      </c>
      <c r="W14">
        <v>4</v>
      </c>
      <c r="X14">
        <v>0.75</v>
      </c>
      <c r="Y14">
        <v>1</v>
      </c>
      <c r="Z14">
        <v>3</v>
      </c>
      <c r="AA14">
        <v>4</v>
      </c>
      <c r="AB14">
        <v>1</v>
      </c>
      <c r="AC14">
        <v>1</v>
      </c>
      <c r="AD14">
        <v>0</v>
      </c>
      <c r="AE14">
        <v>1</v>
      </c>
      <c r="AF14">
        <v>2</v>
      </c>
      <c r="AG14">
        <v>7</v>
      </c>
      <c r="AH14">
        <v>3.3</v>
      </c>
      <c r="AI14">
        <v>1</v>
      </c>
    </row>
    <row r="15" spans="1:35" ht="21" x14ac:dyDescent="0.3">
      <c r="A15" t="s">
        <v>558</v>
      </c>
      <c r="B15" s="11">
        <v>14</v>
      </c>
      <c r="C15">
        <v>241</v>
      </c>
      <c r="D15">
        <v>14</v>
      </c>
      <c r="E15" s="4">
        <v>44517</v>
      </c>
      <c r="F15" t="s">
        <v>99</v>
      </c>
      <c r="H15" t="s">
        <v>49</v>
      </c>
      <c r="I15" t="s">
        <v>279</v>
      </c>
      <c r="J15" t="s">
        <v>41</v>
      </c>
      <c r="K15" s="9">
        <v>1.51875</v>
      </c>
      <c r="L15">
        <v>4</v>
      </c>
      <c r="M15">
        <v>11</v>
      </c>
      <c r="N15">
        <v>0.36399999999999999</v>
      </c>
      <c r="O15">
        <v>2</v>
      </c>
      <c r="P15">
        <v>6</v>
      </c>
      <c r="Q15">
        <v>0.33300000000000002</v>
      </c>
      <c r="R15">
        <v>2</v>
      </c>
      <c r="S15">
        <v>5</v>
      </c>
      <c r="T15">
        <v>0.4</v>
      </c>
      <c r="U15">
        <v>0.45500000000000002</v>
      </c>
      <c r="V15">
        <v>0</v>
      </c>
      <c r="W15">
        <v>0</v>
      </c>
      <c r="Y15">
        <v>1</v>
      </c>
      <c r="Z15">
        <v>3</v>
      </c>
      <c r="AA15">
        <v>4</v>
      </c>
      <c r="AB15">
        <v>2</v>
      </c>
      <c r="AC15">
        <v>3</v>
      </c>
      <c r="AD15">
        <v>1</v>
      </c>
      <c r="AE15">
        <v>0</v>
      </c>
      <c r="AF15">
        <v>0</v>
      </c>
      <c r="AG15">
        <v>10</v>
      </c>
      <c r="AH15">
        <v>10.6</v>
      </c>
      <c r="AI15">
        <v>4</v>
      </c>
    </row>
    <row r="16" spans="1:35" ht="21" x14ac:dyDescent="0.3">
      <c r="A16" t="s">
        <v>558</v>
      </c>
      <c r="B16" s="11">
        <v>15</v>
      </c>
      <c r="C16">
        <v>242</v>
      </c>
      <c r="D16">
        <v>15</v>
      </c>
      <c r="E16" s="4">
        <v>44519</v>
      </c>
      <c r="F16" t="s">
        <v>99</v>
      </c>
      <c r="H16" t="s">
        <v>49</v>
      </c>
      <c r="I16" t="s">
        <v>280</v>
      </c>
      <c r="J16" t="s">
        <v>41</v>
      </c>
      <c r="K16" s="9">
        <v>1.5243055555555556</v>
      </c>
      <c r="L16">
        <v>7</v>
      </c>
      <c r="M16">
        <v>7</v>
      </c>
      <c r="N16">
        <v>1</v>
      </c>
      <c r="O16">
        <v>3</v>
      </c>
      <c r="P16">
        <v>3</v>
      </c>
      <c r="Q16">
        <v>1</v>
      </c>
      <c r="R16">
        <v>4</v>
      </c>
      <c r="S16">
        <v>4</v>
      </c>
      <c r="T16">
        <v>1</v>
      </c>
      <c r="U16">
        <v>1.214</v>
      </c>
      <c r="V16">
        <v>2</v>
      </c>
      <c r="W16">
        <v>2</v>
      </c>
      <c r="X16">
        <v>1</v>
      </c>
      <c r="Y16">
        <v>1</v>
      </c>
      <c r="Z16">
        <v>3</v>
      </c>
      <c r="AA16">
        <v>4</v>
      </c>
      <c r="AB16">
        <v>3</v>
      </c>
      <c r="AC16">
        <v>1</v>
      </c>
      <c r="AD16">
        <v>1</v>
      </c>
      <c r="AE16">
        <v>1</v>
      </c>
      <c r="AF16">
        <v>4</v>
      </c>
      <c r="AG16">
        <v>19</v>
      </c>
      <c r="AH16">
        <v>19.7</v>
      </c>
      <c r="AI16">
        <v>9</v>
      </c>
    </row>
    <row r="17" spans="1:35" ht="21" x14ac:dyDescent="0.3">
      <c r="A17" t="s">
        <v>558</v>
      </c>
      <c r="B17" s="11">
        <v>16</v>
      </c>
      <c r="C17">
        <v>243</v>
      </c>
      <c r="D17">
        <v>16</v>
      </c>
      <c r="E17" s="4">
        <v>44521</v>
      </c>
      <c r="F17" t="s">
        <v>99</v>
      </c>
      <c r="H17" t="s">
        <v>34</v>
      </c>
      <c r="I17" t="s">
        <v>281</v>
      </c>
      <c r="J17" t="s">
        <v>41</v>
      </c>
      <c r="K17" s="9">
        <v>1.3881944444444445</v>
      </c>
      <c r="L17">
        <v>3</v>
      </c>
      <c r="M17">
        <v>8</v>
      </c>
      <c r="N17">
        <v>0.375</v>
      </c>
      <c r="O17">
        <v>1</v>
      </c>
      <c r="P17">
        <v>4</v>
      </c>
      <c r="Q17">
        <v>0.25</v>
      </c>
      <c r="R17">
        <v>2</v>
      </c>
      <c r="S17">
        <v>4</v>
      </c>
      <c r="T17">
        <v>0.5</v>
      </c>
      <c r="U17">
        <v>0.438</v>
      </c>
      <c r="V17">
        <v>1</v>
      </c>
      <c r="W17">
        <v>1</v>
      </c>
      <c r="X17">
        <v>1</v>
      </c>
      <c r="Y17">
        <v>0</v>
      </c>
      <c r="Z17">
        <v>6</v>
      </c>
      <c r="AA17">
        <v>6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8</v>
      </c>
      <c r="AH17">
        <v>9.1999999999999993</v>
      </c>
      <c r="AI17">
        <v>21</v>
      </c>
    </row>
    <row r="18" spans="1:35" ht="21" x14ac:dyDescent="0.3">
      <c r="A18" t="s">
        <v>558</v>
      </c>
      <c r="B18" s="11">
        <v>17</v>
      </c>
      <c r="C18">
        <v>244</v>
      </c>
      <c r="D18">
        <v>17</v>
      </c>
      <c r="E18" s="4">
        <v>44522</v>
      </c>
      <c r="F18" t="s">
        <v>99</v>
      </c>
      <c r="G18" t="s">
        <v>37</v>
      </c>
      <c r="H18" t="s">
        <v>102</v>
      </c>
      <c r="I18" t="s">
        <v>282</v>
      </c>
      <c r="J18" t="s">
        <v>41</v>
      </c>
      <c r="K18" s="9">
        <v>1.4986111111111111</v>
      </c>
      <c r="L18">
        <v>2</v>
      </c>
      <c r="M18">
        <v>4</v>
      </c>
      <c r="N18">
        <v>0.5</v>
      </c>
      <c r="O18">
        <v>0</v>
      </c>
      <c r="P18">
        <v>0</v>
      </c>
      <c r="R18">
        <v>2</v>
      </c>
      <c r="S18">
        <v>4</v>
      </c>
      <c r="T18">
        <v>0.5</v>
      </c>
      <c r="U18">
        <v>0.5</v>
      </c>
      <c r="V18">
        <v>1</v>
      </c>
      <c r="W18">
        <v>1</v>
      </c>
      <c r="X18">
        <v>1</v>
      </c>
      <c r="Y18">
        <v>1</v>
      </c>
      <c r="Z18">
        <v>5</v>
      </c>
      <c r="AA18">
        <v>6</v>
      </c>
      <c r="AB18">
        <v>3</v>
      </c>
      <c r="AC18">
        <v>2</v>
      </c>
      <c r="AD18">
        <v>0</v>
      </c>
      <c r="AE18">
        <v>1</v>
      </c>
      <c r="AF18">
        <v>4</v>
      </c>
      <c r="AG18">
        <v>5</v>
      </c>
      <c r="AH18">
        <v>6.7</v>
      </c>
      <c r="AI18">
        <v>0</v>
      </c>
    </row>
    <row r="19" spans="1:35" ht="21" x14ac:dyDescent="0.3">
      <c r="A19" t="s">
        <v>558</v>
      </c>
      <c r="B19" s="11">
        <v>18</v>
      </c>
      <c r="C19">
        <v>245</v>
      </c>
      <c r="D19">
        <v>18</v>
      </c>
      <c r="E19" s="4">
        <v>44524</v>
      </c>
      <c r="F19" t="s">
        <v>99</v>
      </c>
      <c r="G19" t="s">
        <v>37</v>
      </c>
      <c r="H19" t="s">
        <v>87</v>
      </c>
      <c r="I19" t="s">
        <v>283</v>
      </c>
      <c r="J19" t="s">
        <v>41</v>
      </c>
      <c r="K19" s="9">
        <v>1.4333333333333333</v>
      </c>
      <c r="L19">
        <v>5</v>
      </c>
      <c r="M19">
        <v>8</v>
      </c>
      <c r="N19">
        <v>0.625</v>
      </c>
      <c r="O19">
        <v>1</v>
      </c>
      <c r="P19">
        <v>2</v>
      </c>
      <c r="Q19">
        <v>0.5</v>
      </c>
      <c r="R19">
        <v>4</v>
      </c>
      <c r="S19">
        <v>6</v>
      </c>
      <c r="T19">
        <v>0.66700000000000004</v>
      </c>
      <c r="U19">
        <v>0.68799999999999994</v>
      </c>
      <c r="V19">
        <v>0</v>
      </c>
      <c r="W19">
        <v>0</v>
      </c>
      <c r="Y19">
        <v>2</v>
      </c>
      <c r="Z19">
        <v>4</v>
      </c>
      <c r="AA19">
        <v>6</v>
      </c>
      <c r="AB19">
        <v>2</v>
      </c>
      <c r="AC19">
        <v>0</v>
      </c>
      <c r="AD19">
        <v>1</v>
      </c>
      <c r="AE19">
        <v>0</v>
      </c>
      <c r="AF19">
        <v>5</v>
      </c>
      <c r="AG19">
        <v>11</v>
      </c>
      <c r="AH19">
        <v>10.1</v>
      </c>
      <c r="AI19">
        <v>4</v>
      </c>
    </row>
    <row r="20" spans="1:35" ht="21" x14ac:dyDescent="0.3">
      <c r="A20" t="s">
        <v>558</v>
      </c>
      <c r="B20" s="11">
        <v>19</v>
      </c>
      <c r="C20">
        <v>246</v>
      </c>
      <c r="D20">
        <v>19</v>
      </c>
      <c r="E20" s="4">
        <v>44526</v>
      </c>
      <c r="F20" t="s">
        <v>99</v>
      </c>
      <c r="G20" t="s">
        <v>37</v>
      </c>
      <c r="H20" t="s">
        <v>110</v>
      </c>
      <c r="I20" t="s">
        <v>284</v>
      </c>
      <c r="J20" t="s">
        <v>41</v>
      </c>
      <c r="K20" s="9">
        <v>1.6076388888888888</v>
      </c>
      <c r="L20">
        <v>4</v>
      </c>
      <c r="M20">
        <v>7</v>
      </c>
      <c r="N20">
        <v>0.57099999999999995</v>
      </c>
      <c r="O20">
        <v>0</v>
      </c>
      <c r="P20">
        <v>2</v>
      </c>
      <c r="Q20">
        <v>0</v>
      </c>
      <c r="R20">
        <v>4</v>
      </c>
      <c r="S20">
        <v>5</v>
      </c>
      <c r="T20">
        <v>0.8</v>
      </c>
      <c r="U20">
        <v>0.57099999999999995</v>
      </c>
      <c r="V20">
        <v>2</v>
      </c>
      <c r="W20">
        <v>2</v>
      </c>
      <c r="X20">
        <v>1</v>
      </c>
      <c r="Y20">
        <v>0</v>
      </c>
      <c r="Z20">
        <v>2</v>
      </c>
      <c r="AA20">
        <v>2</v>
      </c>
      <c r="AB20">
        <v>3</v>
      </c>
      <c r="AC20">
        <v>3</v>
      </c>
      <c r="AD20">
        <v>0</v>
      </c>
      <c r="AE20">
        <v>1</v>
      </c>
      <c r="AF20">
        <v>2</v>
      </c>
      <c r="AG20">
        <v>10</v>
      </c>
      <c r="AH20">
        <v>10.6</v>
      </c>
      <c r="AI20">
        <v>18</v>
      </c>
    </row>
    <row r="21" spans="1:35" ht="21" x14ac:dyDescent="0.3">
      <c r="A21" t="s">
        <v>558</v>
      </c>
      <c r="B21" s="11">
        <v>20</v>
      </c>
      <c r="C21">
        <v>247</v>
      </c>
      <c r="D21">
        <v>20</v>
      </c>
      <c r="E21" s="4">
        <v>44527</v>
      </c>
      <c r="F21" t="s">
        <v>99</v>
      </c>
      <c r="G21" t="s">
        <v>37</v>
      </c>
      <c r="H21" t="s">
        <v>85</v>
      </c>
      <c r="I21" t="s">
        <v>285</v>
      </c>
      <c r="J21" t="s">
        <v>41</v>
      </c>
      <c r="K21" s="9">
        <v>1.6965277777777779</v>
      </c>
      <c r="L21">
        <v>5</v>
      </c>
      <c r="M21">
        <v>10</v>
      </c>
      <c r="N21">
        <v>0.5</v>
      </c>
      <c r="O21">
        <v>0</v>
      </c>
      <c r="P21">
        <v>2</v>
      </c>
      <c r="Q21">
        <v>0</v>
      </c>
      <c r="R21">
        <v>5</v>
      </c>
      <c r="S21">
        <v>8</v>
      </c>
      <c r="T21">
        <v>0.625</v>
      </c>
      <c r="U21">
        <v>0.5</v>
      </c>
      <c r="V21">
        <v>3</v>
      </c>
      <c r="W21">
        <v>3</v>
      </c>
      <c r="X21">
        <v>1</v>
      </c>
      <c r="Y21">
        <v>3</v>
      </c>
      <c r="Z21">
        <v>3</v>
      </c>
      <c r="AA21">
        <v>6</v>
      </c>
      <c r="AB21">
        <v>1</v>
      </c>
      <c r="AC21">
        <v>7</v>
      </c>
      <c r="AD21">
        <v>0</v>
      </c>
      <c r="AE21">
        <v>1</v>
      </c>
      <c r="AF21">
        <v>2</v>
      </c>
      <c r="AG21">
        <v>13</v>
      </c>
      <c r="AH21">
        <v>16.899999999999999</v>
      </c>
      <c r="AI21">
        <v>9</v>
      </c>
    </row>
    <row r="22" spans="1:35" ht="21" x14ac:dyDescent="0.3">
      <c r="A22" t="s">
        <v>558</v>
      </c>
      <c r="B22" s="11">
        <v>21</v>
      </c>
      <c r="C22">
        <v>248</v>
      </c>
      <c r="D22">
        <v>21</v>
      </c>
      <c r="E22" s="4">
        <v>44530</v>
      </c>
      <c r="F22" t="s">
        <v>99</v>
      </c>
      <c r="H22" t="s">
        <v>33</v>
      </c>
      <c r="I22" t="s">
        <v>286</v>
      </c>
      <c r="J22" t="s">
        <v>41</v>
      </c>
      <c r="K22" s="9">
        <v>1.7250000000000001</v>
      </c>
      <c r="L22">
        <v>1</v>
      </c>
      <c r="M22">
        <v>4</v>
      </c>
      <c r="N22">
        <v>0.25</v>
      </c>
      <c r="O22">
        <v>0</v>
      </c>
      <c r="P22">
        <v>0</v>
      </c>
      <c r="R22">
        <v>1</v>
      </c>
      <c r="S22">
        <v>4</v>
      </c>
      <c r="T22">
        <v>0.25</v>
      </c>
      <c r="U22">
        <v>0.25</v>
      </c>
      <c r="V22">
        <v>0</v>
      </c>
      <c r="W22">
        <v>0</v>
      </c>
      <c r="Y22">
        <v>0</v>
      </c>
      <c r="Z22">
        <v>2</v>
      </c>
      <c r="AA22">
        <v>2</v>
      </c>
      <c r="AB22">
        <v>3</v>
      </c>
      <c r="AC22">
        <v>4</v>
      </c>
      <c r="AD22">
        <v>1</v>
      </c>
      <c r="AE22">
        <v>2</v>
      </c>
      <c r="AF22">
        <v>1</v>
      </c>
      <c r="AG22">
        <v>2</v>
      </c>
      <c r="AH22">
        <v>4.5999999999999996</v>
      </c>
      <c r="AI22">
        <v>21</v>
      </c>
    </row>
    <row r="23" spans="1:35" ht="21" x14ac:dyDescent="0.3">
      <c r="A23" t="s">
        <v>558</v>
      </c>
      <c r="B23" s="11">
        <v>22</v>
      </c>
      <c r="C23">
        <v>249</v>
      </c>
      <c r="D23">
        <v>22</v>
      </c>
      <c r="E23" s="4">
        <v>44532</v>
      </c>
      <c r="F23" t="s">
        <v>99</v>
      </c>
      <c r="H23" t="s">
        <v>89</v>
      </c>
      <c r="I23" t="s">
        <v>287</v>
      </c>
      <c r="J23" t="s">
        <v>41</v>
      </c>
      <c r="K23" s="9">
        <v>1.7006944444444445</v>
      </c>
      <c r="L23">
        <v>8</v>
      </c>
      <c r="M23">
        <v>14</v>
      </c>
      <c r="N23">
        <v>0.57099999999999995</v>
      </c>
      <c r="O23">
        <v>2</v>
      </c>
      <c r="P23">
        <v>4</v>
      </c>
      <c r="Q23">
        <v>0.5</v>
      </c>
      <c r="R23">
        <v>6</v>
      </c>
      <c r="S23">
        <v>10</v>
      </c>
      <c r="T23">
        <v>0.6</v>
      </c>
      <c r="U23">
        <v>0.64300000000000002</v>
      </c>
      <c r="V23">
        <v>0</v>
      </c>
      <c r="W23">
        <v>0</v>
      </c>
      <c r="Y23">
        <v>1</v>
      </c>
      <c r="Z23">
        <v>4</v>
      </c>
      <c r="AA23">
        <v>5</v>
      </c>
      <c r="AB23">
        <v>1</v>
      </c>
      <c r="AC23">
        <v>4</v>
      </c>
      <c r="AD23">
        <v>0</v>
      </c>
      <c r="AE23">
        <v>2</v>
      </c>
      <c r="AF23">
        <v>3</v>
      </c>
      <c r="AG23">
        <v>18</v>
      </c>
      <c r="AH23">
        <v>14.8</v>
      </c>
      <c r="AI23">
        <v>1</v>
      </c>
    </row>
    <row r="24" spans="1:35" ht="21" x14ac:dyDescent="0.3">
      <c r="A24" t="s">
        <v>558</v>
      </c>
      <c r="B24" s="11">
        <v>23</v>
      </c>
      <c r="C24">
        <v>250</v>
      </c>
      <c r="D24">
        <v>23</v>
      </c>
      <c r="E24" s="4">
        <v>44533</v>
      </c>
      <c r="F24" t="s">
        <v>99</v>
      </c>
      <c r="G24" t="s">
        <v>37</v>
      </c>
      <c r="H24" t="s">
        <v>33</v>
      </c>
      <c r="I24" t="s">
        <v>288</v>
      </c>
      <c r="J24" t="s">
        <v>41</v>
      </c>
      <c r="K24" s="9">
        <v>1.26875</v>
      </c>
      <c r="L24">
        <v>2</v>
      </c>
      <c r="M24">
        <v>4</v>
      </c>
      <c r="N24">
        <v>0.5</v>
      </c>
      <c r="O24">
        <v>1</v>
      </c>
      <c r="P24">
        <v>1</v>
      </c>
      <c r="Q24">
        <v>1</v>
      </c>
      <c r="R24">
        <v>1</v>
      </c>
      <c r="S24">
        <v>3</v>
      </c>
      <c r="T24">
        <v>0.33300000000000002</v>
      </c>
      <c r="U24">
        <v>0.625</v>
      </c>
      <c r="V24">
        <v>2</v>
      </c>
      <c r="W24">
        <v>2</v>
      </c>
      <c r="X24">
        <v>1</v>
      </c>
      <c r="Y24">
        <v>1</v>
      </c>
      <c r="Z24">
        <v>1</v>
      </c>
      <c r="AA24">
        <v>2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7</v>
      </c>
      <c r="AH24">
        <v>6.3</v>
      </c>
      <c r="AI24">
        <v>-16</v>
      </c>
    </row>
    <row r="25" spans="1:35" ht="21" x14ac:dyDescent="0.3">
      <c r="A25" t="s">
        <v>558</v>
      </c>
      <c r="B25" s="11">
        <v>24</v>
      </c>
      <c r="C25">
        <v>251</v>
      </c>
      <c r="D25">
        <v>24</v>
      </c>
      <c r="E25" s="4">
        <v>44536</v>
      </c>
      <c r="F25" t="s">
        <v>99</v>
      </c>
      <c r="H25" t="s">
        <v>102</v>
      </c>
      <c r="I25" t="s">
        <v>289</v>
      </c>
      <c r="J25" t="s">
        <v>41</v>
      </c>
      <c r="K25" s="9">
        <v>1.5340277777777778</v>
      </c>
      <c r="L25">
        <v>3</v>
      </c>
      <c r="M25">
        <v>6</v>
      </c>
      <c r="N25">
        <v>0.5</v>
      </c>
      <c r="O25">
        <v>0</v>
      </c>
      <c r="P25">
        <v>0</v>
      </c>
      <c r="R25">
        <v>3</v>
      </c>
      <c r="S25">
        <v>6</v>
      </c>
      <c r="T25">
        <v>0.5</v>
      </c>
      <c r="U25">
        <v>0.5</v>
      </c>
      <c r="V25">
        <v>0</v>
      </c>
      <c r="W25">
        <v>0</v>
      </c>
      <c r="Y25">
        <v>3</v>
      </c>
      <c r="Z25">
        <v>6</v>
      </c>
      <c r="AA25">
        <v>9</v>
      </c>
      <c r="AB25">
        <v>3</v>
      </c>
      <c r="AC25">
        <v>1</v>
      </c>
      <c r="AD25">
        <v>0</v>
      </c>
      <c r="AE25">
        <v>1</v>
      </c>
      <c r="AF25">
        <v>1</v>
      </c>
      <c r="AG25">
        <v>6</v>
      </c>
      <c r="AH25">
        <v>8.6</v>
      </c>
      <c r="AI25">
        <v>8</v>
      </c>
    </row>
    <row r="26" spans="1:35" ht="21" x14ac:dyDescent="0.3">
      <c r="A26" t="s">
        <v>558</v>
      </c>
      <c r="B26" s="11">
        <v>25</v>
      </c>
      <c r="C26">
        <v>252</v>
      </c>
      <c r="D26">
        <v>25</v>
      </c>
      <c r="E26" s="4">
        <v>44540</v>
      </c>
      <c r="F26" t="s">
        <v>99</v>
      </c>
      <c r="H26" t="s">
        <v>55</v>
      </c>
      <c r="I26" t="s">
        <v>290</v>
      </c>
      <c r="J26" t="s">
        <v>41</v>
      </c>
      <c r="K26" s="9">
        <v>1.45</v>
      </c>
      <c r="L26">
        <v>5</v>
      </c>
      <c r="M26">
        <v>9</v>
      </c>
      <c r="N26">
        <v>0.55600000000000005</v>
      </c>
      <c r="O26">
        <v>2</v>
      </c>
      <c r="P26">
        <v>2</v>
      </c>
      <c r="Q26">
        <v>1</v>
      </c>
      <c r="R26">
        <v>3</v>
      </c>
      <c r="S26">
        <v>7</v>
      </c>
      <c r="T26">
        <v>0.42899999999999999</v>
      </c>
      <c r="U26">
        <v>0.66700000000000004</v>
      </c>
      <c r="V26">
        <v>2</v>
      </c>
      <c r="W26">
        <v>2</v>
      </c>
      <c r="X26">
        <v>1</v>
      </c>
      <c r="Y26">
        <v>3</v>
      </c>
      <c r="Z26">
        <v>0</v>
      </c>
      <c r="AA26">
        <v>3</v>
      </c>
      <c r="AB26">
        <v>1</v>
      </c>
      <c r="AC26">
        <v>0</v>
      </c>
      <c r="AD26">
        <v>1</v>
      </c>
      <c r="AE26">
        <v>1</v>
      </c>
      <c r="AF26">
        <v>3</v>
      </c>
      <c r="AG26">
        <v>14</v>
      </c>
      <c r="AH26">
        <v>11</v>
      </c>
      <c r="AI26">
        <v>15</v>
      </c>
    </row>
    <row r="27" spans="1:35" ht="21" x14ac:dyDescent="0.3">
      <c r="A27" t="s">
        <v>558</v>
      </c>
      <c r="B27" s="11">
        <v>26</v>
      </c>
      <c r="C27">
        <v>253</v>
      </c>
      <c r="D27">
        <v>26</v>
      </c>
      <c r="E27" s="4">
        <v>44543</v>
      </c>
      <c r="F27" t="s">
        <v>99</v>
      </c>
      <c r="G27" t="s">
        <v>37</v>
      </c>
      <c r="H27" t="s">
        <v>64</v>
      </c>
      <c r="I27" t="s">
        <v>291</v>
      </c>
      <c r="J27" t="s">
        <v>41</v>
      </c>
      <c r="K27" s="9">
        <v>1.3631944444444444</v>
      </c>
      <c r="L27">
        <v>6</v>
      </c>
      <c r="M27">
        <v>10</v>
      </c>
      <c r="N27">
        <v>0.6</v>
      </c>
      <c r="O27">
        <v>1</v>
      </c>
      <c r="P27">
        <v>3</v>
      </c>
      <c r="Q27">
        <v>0.33300000000000002</v>
      </c>
      <c r="R27">
        <v>5</v>
      </c>
      <c r="S27">
        <v>7</v>
      </c>
      <c r="T27">
        <v>0.71399999999999997</v>
      </c>
      <c r="U27">
        <v>0.65</v>
      </c>
      <c r="V27">
        <v>3</v>
      </c>
      <c r="W27">
        <v>3</v>
      </c>
      <c r="X27">
        <v>1</v>
      </c>
      <c r="Y27">
        <v>2</v>
      </c>
      <c r="Z27">
        <v>1</v>
      </c>
      <c r="AA27">
        <v>3</v>
      </c>
      <c r="AB27">
        <v>0</v>
      </c>
      <c r="AC27">
        <v>2</v>
      </c>
      <c r="AD27">
        <v>0</v>
      </c>
      <c r="AE27">
        <v>0</v>
      </c>
      <c r="AF27">
        <v>4</v>
      </c>
      <c r="AG27">
        <v>16</v>
      </c>
      <c r="AH27">
        <v>13.5</v>
      </c>
      <c r="AI27">
        <v>-8</v>
      </c>
    </row>
    <row r="28" spans="1:35" ht="21" x14ac:dyDescent="0.3">
      <c r="A28" t="s">
        <v>558</v>
      </c>
      <c r="B28" s="11">
        <v>27</v>
      </c>
      <c r="C28">
        <v>254</v>
      </c>
      <c r="D28">
        <v>27</v>
      </c>
      <c r="E28" s="4">
        <v>44544</v>
      </c>
      <c r="F28" t="s">
        <v>99</v>
      </c>
      <c r="G28" t="s">
        <v>37</v>
      </c>
      <c r="H28" t="s">
        <v>96</v>
      </c>
      <c r="I28" t="s">
        <v>292</v>
      </c>
      <c r="J28" t="s">
        <v>41</v>
      </c>
      <c r="K28" s="9">
        <v>1.4527777777777777</v>
      </c>
      <c r="L28">
        <v>3</v>
      </c>
      <c r="M28">
        <v>8</v>
      </c>
      <c r="N28">
        <v>0.375</v>
      </c>
      <c r="O28">
        <v>2</v>
      </c>
      <c r="P28">
        <v>7</v>
      </c>
      <c r="Q28">
        <v>0.28599999999999998</v>
      </c>
      <c r="R28">
        <v>1</v>
      </c>
      <c r="S28">
        <v>1</v>
      </c>
      <c r="T28">
        <v>1</v>
      </c>
      <c r="U28">
        <v>0.5</v>
      </c>
      <c r="V28">
        <v>0</v>
      </c>
      <c r="W28">
        <v>0</v>
      </c>
      <c r="Y28">
        <v>1</v>
      </c>
      <c r="Z28">
        <v>2</v>
      </c>
      <c r="AA28">
        <v>3</v>
      </c>
      <c r="AB28">
        <v>2</v>
      </c>
      <c r="AC28">
        <v>1</v>
      </c>
      <c r="AD28">
        <v>0</v>
      </c>
      <c r="AE28">
        <v>1</v>
      </c>
      <c r="AF28">
        <v>1</v>
      </c>
      <c r="AG28">
        <v>8</v>
      </c>
      <c r="AH28">
        <v>5.9</v>
      </c>
      <c r="AI28">
        <v>-14</v>
      </c>
    </row>
    <row r="29" spans="1:35" ht="21" x14ac:dyDescent="0.3">
      <c r="A29" t="s">
        <v>558</v>
      </c>
      <c r="B29" s="11">
        <v>28</v>
      </c>
      <c r="C29">
        <v>255</v>
      </c>
      <c r="D29">
        <v>28</v>
      </c>
      <c r="E29" s="4">
        <v>44546</v>
      </c>
      <c r="F29" t="s">
        <v>99</v>
      </c>
      <c r="H29" t="s">
        <v>155</v>
      </c>
      <c r="I29" t="s">
        <v>293</v>
      </c>
      <c r="J29" t="s">
        <v>41</v>
      </c>
      <c r="K29" s="9">
        <v>1.175</v>
      </c>
      <c r="L29">
        <v>3</v>
      </c>
      <c r="M29">
        <v>10</v>
      </c>
      <c r="N29">
        <v>0.3</v>
      </c>
      <c r="O29">
        <v>0</v>
      </c>
      <c r="P29">
        <v>4</v>
      </c>
      <c r="Q29">
        <v>0</v>
      </c>
      <c r="R29">
        <v>3</v>
      </c>
      <c r="S29">
        <v>6</v>
      </c>
      <c r="T29">
        <v>0.5</v>
      </c>
      <c r="U29">
        <v>0.3</v>
      </c>
      <c r="V29">
        <v>5</v>
      </c>
      <c r="W29">
        <v>6</v>
      </c>
      <c r="X29">
        <v>0.83299999999999996</v>
      </c>
      <c r="Y29">
        <v>0</v>
      </c>
      <c r="Z29">
        <v>4</v>
      </c>
      <c r="AA29">
        <v>4</v>
      </c>
      <c r="AB29">
        <v>2</v>
      </c>
      <c r="AC29">
        <v>1</v>
      </c>
      <c r="AD29">
        <v>0</v>
      </c>
      <c r="AE29">
        <v>0</v>
      </c>
      <c r="AF29">
        <v>1</v>
      </c>
      <c r="AG29">
        <v>11</v>
      </c>
      <c r="AH29">
        <v>8</v>
      </c>
      <c r="AI29">
        <v>19</v>
      </c>
    </row>
    <row r="30" spans="1:35" ht="21" x14ac:dyDescent="0.3">
      <c r="A30" t="s">
        <v>558</v>
      </c>
      <c r="B30" s="11">
        <v>29</v>
      </c>
      <c r="C30">
        <v>256</v>
      </c>
      <c r="D30">
        <v>29</v>
      </c>
      <c r="E30" s="4">
        <v>44549</v>
      </c>
      <c r="F30" t="s">
        <v>99</v>
      </c>
      <c r="H30" t="s">
        <v>72</v>
      </c>
      <c r="I30" t="s">
        <v>294</v>
      </c>
      <c r="J30" t="s">
        <v>41</v>
      </c>
      <c r="K30" s="9">
        <v>1.2673611111111112</v>
      </c>
      <c r="L30">
        <v>6</v>
      </c>
      <c r="M30">
        <v>10</v>
      </c>
      <c r="N30">
        <v>0.6</v>
      </c>
      <c r="O30">
        <v>4</v>
      </c>
      <c r="P30">
        <v>6</v>
      </c>
      <c r="Q30">
        <v>0.66700000000000004</v>
      </c>
      <c r="R30">
        <v>2</v>
      </c>
      <c r="S30">
        <v>4</v>
      </c>
      <c r="T30">
        <v>0.5</v>
      </c>
      <c r="U30">
        <v>0.8</v>
      </c>
      <c r="V30">
        <v>0</v>
      </c>
      <c r="W30">
        <v>0</v>
      </c>
      <c r="Y30">
        <v>2</v>
      </c>
      <c r="Z30">
        <v>2</v>
      </c>
      <c r="AA30">
        <v>4</v>
      </c>
      <c r="AB30">
        <v>5</v>
      </c>
      <c r="AC30">
        <v>0</v>
      </c>
      <c r="AD30">
        <v>0</v>
      </c>
      <c r="AE30">
        <v>1</v>
      </c>
      <c r="AF30">
        <v>0</v>
      </c>
      <c r="AG30">
        <v>16</v>
      </c>
      <c r="AH30">
        <v>15.9</v>
      </c>
      <c r="AI30">
        <v>17</v>
      </c>
    </row>
    <row r="31" spans="1:35" ht="21" x14ac:dyDescent="0.3">
      <c r="A31" t="s">
        <v>558</v>
      </c>
      <c r="B31" s="11">
        <v>30</v>
      </c>
      <c r="C31">
        <v>257</v>
      </c>
      <c r="D31">
        <v>30</v>
      </c>
      <c r="E31" s="4">
        <v>44551</v>
      </c>
      <c r="F31" t="s">
        <v>99</v>
      </c>
      <c r="G31" t="s">
        <v>37</v>
      </c>
      <c r="H31" t="s">
        <v>62</v>
      </c>
      <c r="I31" t="s">
        <v>295</v>
      </c>
      <c r="J31" t="s">
        <v>41</v>
      </c>
      <c r="K31" s="9">
        <v>1.4222222222222223</v>
      </c>
      <c r="L31">
        <v>5</v>
      </c>
      <c r="M31">
        <v>17</v>
      </c>
      <c r="N31">
        <v>0.29399999999999998</v>
      </c>
      <c r="O31">
        <v>0</v>
      </c>
      <c r="P31">
        <v>5</v>
      </c>
      <c r="Q31">
        <v>0</v>
      </c>
      <c r="R31">
        <v>5</v>
      </c>
      <c r="S31">
        <v>12</v>
      </c>
      <c r="T31">
        <v>0.41699999999999998</v>
      </c>
      <c r="U31">
        <v>0.29399999999999998</v>
      </c>
      <c r="V31">
        <v>4</v>
      </c>
      <c r="W31">
        <v>5</v>
      </c>
      <c r="X31">
        <v>0.8</v>
      </c>
      <c r="Y31">
        <v>0</v>
      </c>
      <c r="Z31">
        <v>5</v>
      </c>
      <c r="AA31">
        <v>5</v>
      </c>
      <c r="AB31">
        <v>1</v>
      </c>
      <c r="AC31">
        <v>1</v>
      </c>
      <c r="AD31">
        <v>2</v>
      </c>
      <c r="AE31">
        <v>0</v>
      </c>
      <c r="AF31">
        <v>1</v>
      </c>
      <c r="AG31">
        <v>14</v>
      </c>
      <c r="AH31">
        <v>7.9</v>
      </c>
      <c r="AI31">
        <v>24</v>
      </c>
    </row>
    <row r="32" spans="1:35" ht="21" x14ac:dyDescent="0.3">
      <c r="A32" t="s">
        <v>558</v>
      </c>
      <c r="B32" s="11">
        <v>31</v>
      </c>
      <c r="C32">
        <v>258</v>
      </c>
      <c r="D32">
        <v>31</v>
      </c>
      <c r="E32" s="4">
        <v>44553</v>
      </c>
      <c r="F32" t="s">
        <v>99</v>
      </c>
      <c r="H32" t="s">
        <v>68</v>
      </c>
      <c r="I32" t="s">
        <v>195</v>
      </c>
      <c r="J32" t="s">
        <v>41</v>
      </c>
      <c r="K32" s="9">
        <v>1.1805555555555556</v>
      </c>
      <c r="L32">
        <v>2</v>
      </c>
      <c r="M32">
        <v>6</v>
      </c>
      <c r="N32">
        <v>0.33300000000000002</v>
      </c>
      <c r="O32">
        <v>1</v>
      </c>
      <c r="P32">
        <v>4</v>
      </c>
      <c r="Q32">
        <v>0.25</v>
      </c>
      <c r="R32">
        <v>1</v>
      </c>
      <c r="S32">
        <v>2</v>
      </c>
      <c r="T32">
        <v>0.5</v>
      </c>
      <c r="U32">
        <v>0.41699999999999998</v>
      </c>
      <c r="V32">
        <v>0</v>
      </c>
      <c r="W32">
        <v>0</v>
      </c>
      <c r="Y32">
        <v>2</v>
      </c>
      <c r="Z32">
        <v>3</v>
      </c>
      <c r="AA32">
        <v>5</v>
      </c>
      <c r="AB32">
        <v>0</v>
      </c>
      <c r="AC32">
        <v>0</v>
      </c>
      <c r="AD32">
        <v>0</v>
      </c>
      <c r="AE32">
        <v>1</v>
      </c>
      <c r="AF32">
        <v>3</v>
      </c>
      <c r="AG32">
        <v>5</v>
      </c>
      <c r="AH32">
        <v>1.7</v>
      </c>
      <c r="AI32">
        <v>11</v>
      </c>
    </row>
    <row r="33" spans="1:35" ht="21" x14ac:dyDescent="0.3">
      <c r="A33" t="s">
        <v>558</v>
      </c>
      <c r="B33" s="11">
        <v>32</v>
      </c>
      <c r="C33">
        <v>259</v>
      </c>
      <c r="D33">
        <v>32</v>
      </c>
      <c r="E33" s="4">
        <v>44555</v>
      </c>
      <c r="F33" t="s">
        <v>99</v>
      </c>
      <c r="H33" t="s">
        <v>33</v>
      </c>
      <c r="I33" t="s">
        <v>296</v>
      </c>
      <c r="J33" t="s">
        <v>41</v>
      </c>
      <c r="K33" s="9">
        <v>1.5708333333333333</v>
      </c>
      <c r="L33">
        <v>6</v>
      </c>
      <c r="M33">
        <v>10</v>
      </c>
      <c r="N33">
        <v>0.6</v>
      </c>
      <c r="O33">
        <v>3</v>
      </c>
      <c r="P33">
        <v>5</v>
      </c>
      <c r="Q33">
        <v>0.6</v>
      </c>
      <c r="R33">
        <v>3</v>
      </c>
      <c r="S33">
        <v>5</v>
      </c>
      <c r="T33">
        <v>0.6</v>
      </c>
      <c r="U33">
        <v>0.75</v>
      </c>
      <c r="V33">
        <v>2</v>
      </c>
      <c r="W33">
        <v>2</v>
      </c>
      <c r="X33">
        <v>1</v>
      </c>
      <c r="Y33">
        <v>1</v>
      </c>
      <c r="Z33">
        <v>5</v>
      </c>
      <c r="AA33">
        <v>6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17</v>
      </c>
      <c r="AH33">
        <v>14.9</v>
      </c>
      <c r="AI33">
        <v>-8</v>
      </c>
    </row>
    <row r="34" spans="1:35" ht="21" x14ac:dyDescent="0.3">
      <c r="A34" t="s">
        <v>558</v>
      </c>
      <c r="B34" s="11">
        <v>33</v>
      </c>
      <c r="C34">
        <v>260</v>
      </c>
      <c r="D34">
        <v>33</v>
      </c>
      <c r="E34" s="4">
        <v>44557</v>
      </c>
      <c r="F34" t="s">
        <v>99</v>
      </c>
      <c r="H34" t="s">
        <v>42</v>
      </c>
      <c r="I34" t="s">
        <v>297</v>
      </c>
      <c r="J34" t="s">
        <v>41</v>
      </c>
      <c r="K34" s="9">
        <v>1.3486111111111112</v>
      </c>
      <c r="L34">
        <v>5</v>
      </c>
      <c r="M34">
        <v>5</v>
      </c>
      <c r="N34">
        <v>1</v>
      </c>
      <c r="O34">
        <v>0</v>
      </c>
      <c r="P34">
        <v>0</v>
      </c>
      <c r="R34">
        <v>5</v>
      </c>
      <c r="S34">
        <v>5</v>
      </c>
      <c r="T34">
        <v>1</v>
      </c>
      <c r="U34">
        <v>1</v>
      </c>
      <c r="V34">
        <v>0</v>
      </c>
      <c r="W34">
        <v>0</v>
      </c>
      <c r="Y34">
        <v>1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10</v>
      </c>
      <c r="AH34">
        <v>10.9</v>
      </c>
      <c r="AI34">
        <v>-15</v>
      </c>
    </row>
    <row r="35" spans="1:35" ht="21" x14ac:dyDescent="0.3">
      <c r="A35" t="s">
        <v>558</v>
      </c>
      <c r="B35" s="11">
        <v>34</v>
      </c>
      <c r="C35">
        <v>261</v>
      </c>
      <c r="D35">
        <v>34</v>
      </c>
      <c r="E35" s="4">
        <v>44559</v>
      </c>
      <c r="F35" t="s">
        <v>99</v>
      </c>
      <c r="H35" t="s">
        <v>68</v>
      </c>
      <c r="I35" t="s">
        <v>298</v>
      </c>
      <c r="J35" t="s">
        <v>41</v>
      </c>
      <c r="K35" s="9">
        <v>1.3694444444444445</v>
      </c>
      <c r="L35">
        <v>2</v>
      </c>
      <c r="M35">
        <v>6</v>
      </c>
      <c r="N35">
        <v>0.33300000000000002</v>
      </c>
      <c r="O35">
        <v>1</v>
      </c>
      <c r="P35">
        <v>4</v>
      </c>
      <c r="Q35">
        <v>0.25</v>
      </c>
      <c r="R35">
        <v>1</v>
      </c>
      <c r="S35">
        <v>2</v>
      </c>
      <c r="T35">
        <v>0.5</v>
      </c>
      <c r="U35">
        <v>0.41699999999999998</v>
      </c>
      <c r="V35">
        <v>0</v>
      </c>
      <c r="W35">
        <v>0</v>
      </c>
      <c r="Y35">
        <v>1</v>
      </c>
      <c r="Z35">
        <v>6</v>
      </c>
      <c r="AA35">
        <v>7</v>
      </c>
      <c r="AB35">
        <v>2</v>
      </c>
      <c r="AC35">
        <v>1</v>
      </c>
      <c r="AD35">
        <v>0</v>
      </c>
      <c r="AE35">
        <v>2</v>
      </c>
      <c r="AF35">
        <v>2</v>
      </c>
      <c r="AG35">
        <v>5</v>
      </c>
      <c r="AH35">
        <v>3.7</v>
      </c>
      <c r="AI35">
        <v>10</v>
      </c>
    </row>
    <row r="36" spans="1:35" ht="21" x14ac:dyDescent="0.3">
      <c r="A36" t="s">
        <v>558</v>
      </c>
      <c r="B36" s="11">
        <v>35</v>
      </c>
      <c r="C36">
        <v>262</v>
      </c>
      <c r="D36">
        <v>35</v>
      </c>
      <c r="E36" s="4">
        <v>44561</v>
      </c>
      <c r="F36" t="s">
        <v>99</v>
      </c>
      <c r="G36" t="s">
        <v>37</v>
      </c>
      <c r="H36" t="s">
        <v>55</v>
      </c>
      <c r="I36" t="s">
        <v>299</v>
      </c>
      <c r="J36" t="s">
        <v>41</v>
      </c>
      <c r="K36" s="9">
        <v>1.2215277777777778</v>
      </c>
      <c r="L36">
        <v>4</v>
      </c>
      <c r="M36">
        <v>11</v>
      </c>
      <c r="N36">
        <v>0.36399999999999999</v>
      </c>
      <c r="O36">
        <v>2</v>
      </c>
      <c r="P36">
        <v>4</v>
      </c>
      <c r="Q36">
        <v>0.5</v>
      </c>
      <c r="R36">
        <v>2</v>
      </c>
      <c r="S36">
        <v>7</v>
      </c>
      <c r="T36">
        <v>0.28599999999999998</v>
      </c>
      <c r="U36">
        <v>0.45500000000000002</v>
      </c>
      <c r="V36">
        <v>0</v>
      </c>
      <c r="W36">
        <v>0</v>
      </c>
      <c r="Y36">
        <v>0</v>
      </c>
      <c r="Z36">
        <v>4</v>
      </c>
      <c r="AA36">
        <v>4</v>
      </c>
      <c r="AB36">
        <v>2</v>
      </c>
      <c r="AC36">
        <v>2</v>
      </c>
      <c r="AD36">
        <v>1</v>
      </c>
      <c r="AE36">
        <v>0</v>
      </c>
      <c r="AF36">
        <v>3</v>
      </c>
      <c r="AG36">
        <v>10</v>
      </c>
      <c r="AH36">
        <v>8</v>
      </c>
      <c r="AI36">
        <v>9</v>
      </c>
    </row>
    <row r="37" spans="1:35" ht="21" x14ac:dyDescent="0.3">
      <c r="A37" t="s">
        <v>558</v>
      </c>
      <c r="B37" s="11">
        <v>36</v>
      </c>
      <c r="C37">
        <v>263</v>
      </c>
      <c r="D37">
        <v>36</v>
      </c>
      <c r="E37" s="4">
        <v>44563</v>
      </c>
      <c r="F37" t="s">
        <v>99</v>
      </c>
      <c r="G37" t="s">
        <v>37</v>
      </c>
      <c r="H37" t="s">
        <v>72</v>
      </c>
      <c r="I37" t="s">
        <v>300</v>
      </c>
      <c r="J37" t="s">
        <v>41</v>
      </c>
      <c r="K37" s="9">
        <v>1.0541666666666667</v>
      </c>
      <c r="L37">
        <v>6</v>
      </c>
      <c r="M37">
        <v>12</v>
      </c>
      <c r="N37">
        <v>0.5</v>
      </c>
      <c r="O37">
        <v>3</v>
      </c>
      <c r="P37">
        <v>5</v>
      </c>
      <c r="Q37">
        <v>0.6</v>
      </c>
      <c r="R37">
        <v>3</v>
      </c>
      <c r="S37">
        <v>7</v>
      </c>
      <c r="T37">
        <v>0.42899999999999999</v>
      </c>
      <c r="U37">
        <v>0.625</v>
      </c>
      <c r="V37">
        <v>0</v>
      </c>
      <c r="W37">
        <v>0</v>
      </c>
      <c r="Y37">
        <v>2</v>
      </c>
      <c r="Z37">
        <v>3</v>
      </c>
      <c r="AA37">
        <v>5</v>
      </c>
      <c r="AB37">
        <v>2</v>
      </c>
      <c r="AC37">
        <v>1</v>
      </c>
      <c r="AD37">
        <v>0</v>
      </c>
      <c r="AE37">
        <v>1</v>
      </c>
      <c r="AF37">
        <v>1</v>
      </c>
      <c r="AG37">
        <v>15</v>
      </c>
      <c r="AH37">
        <v>12.3</v>
      </c>
      <c r="AI37">
        <v>21</v>
      </c>
    </row>
    <row r="38" spans="1:35" ht="21" x14ac:dyDescent="0.3">
      <c r="A38" t="s">
        <v>558</v>
      </c>
      <c r="B38" s="11">
        <v>37</v>
      </c>
      <c r="C38">
        <v>264</v>
      </c>
      <c r="D38">
        <v>37</v>
      </c>
      <c r="E38" s="4">
        <v>44565</v>
      </c>
      <c r="F38" t="s">
        <v>99</v>
      </c>
      <c r="G38" t="s">
        <v>37</v>
      </c>
      <c r="H38" t="s">
        <v>74</v>
      </c>
      <c r="I38" t="s">
        <v>81</v>
      </c>
      <c r="J38" t="s">
        <v>41</v>
      </c>
      <c r="K38" s="9">
        <v>1.7430555555555556</v>
      </c>
      <c r="L38">
        <v>9</v>
      </c>
      <c r="M38">
        <v>13</v>
      </c>
      <c r="N38">
        <v>0.69199999999999995</v>
      </c>
      <c r="O38">
        <v>5</v>
      </c>
      <c r="P38">
        <v>9</v>
      </c>
      <c r="Q38">
        <v>0.55600000000000005</v>
      </c>
      <c r="R38">
        <v>4</v>
      </c>
      <c r="S38">
        <v>4</v>
      </c>
      <c r="T38">
        <v>1</v>
      </c>
      <c r="U38">
        <v>0.88500000000000001</v>
      </c>
      <c r="V38">
        <v>0</v>
      </c>
      <c r="W38">
        <v>1</v>
      </c>
      <c r="X38">
        <v>0</v>
      </c>
      <c r="Y38">
        <v>1</v>
      </c>
      <c r="Z38">
        <v>1</v>
      </c>
      <c r="AA38">
        <v>2</v>
      </c>
      <c r="AB38">
        <v>0</v>
      </c>
      <c r="AC38">
        <v>1</v>
      </c>
      <c r="AD38">
        <v>1</v>
      </c>
      <c r="AE38">
        <v>1</v>
      </c>
      <c r="AF38">
        <v>3</v>
      </c>
      <c r="AG38">
        <v>23</v>
      </c>
      <c r="AH38">
        <v>17.600000000000001</v>
      </c>
      <c r="AI38">
        <v>4</v>
      </c>
    </row>
    <row r="39" spans="1:35" ht="21" x14ac:dyDescent="0.3">
      <c r="A39" t="s">
        <v>558</v>
      </c>
      <c r="B39" s="11">
        <v>38</v>
      </c>
      <c r="C39">
        <v>265</v>
      </c>
      <c r="D39">
        <v>38</v>
      </c>
      <c r="E39" s="4">
        <v>44567</v>
      </c>
      <c r="F39" t="s">
        <v>99</v>
      </c>
      <c r="H39" t="s">
        <v>64</v>
      </c>
      <c r="I39" t="s">
        <v>301</v>
      </c>
      <c r="J39" t="s">
        <v>41</v>
      </c>
      <c r="K39" s="9">
        <v>1.6458333333333333</v>
      </c>
      <c r="L39">
        <v>4</v>
      </c>
      <c r="M39">
        <v>12</v>
      </c>
      <c r="N39">
        <v>0.33300000000000002</v>
      </c>
      <c r="O39">
        <v>0</v>
      </c>
      <c r="P39">
        <v>4</v>
      </c>
      <c r="Q39">
        <v>0</v>
      </c>
      <c r="R39">
        <v>4</v>
      </c>
      <c r="S39">
        <v>8</v>
      </c>
      <c r="T39">
        <v>0.5</v>
      </c>
      <c r="U39">
        <v>0.33300000000000002</v>
      </c>
      <c r="V39">
        <v>0</v>
      </c>
      <c r="W39">
        <v>0</v>
      </c>
      <c r="Y39">
        <v>2</v>
      </c>
      <c r="Z39">
        <v>2</v>
      </c>
      <c r="AA39">
        <v>4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8</v>
      </c>
      <c r="AH39">
        <v>3.8</v>
      </c>
      <c r="AI39">
        <v>8</v>
      </c>
    </row>
    <row r="40" spans="1:35" ht="21" x14ac:dyDescent="0.3">
      <c r="A40" t="s">
        <v>558</v>
      </c>
      <c r="B40" s="11">
        <v>39</v>
      </c>
      <c r="C40">
        <v>266</v>
      </c>
      <c r="D40">
        <v>39</v>
      </c>
      <c r="E40" s="4">
        <v>44569</v>
      </c>
      <c r="F40" t="s">
        <v>99</v>
      </c>
      <c r="H40" t="s">
        <v>120</v>
      </c>
      <c r="I40" t="s">
        <v>302</v>
      </c>
      <c r="J40" t="s">
        <v>41</v>
      </c>
      <c r="K40" s="9">
        <v>1.2458333333333333</v>
      </c>
      <c r="L40">
        <v>8</v>
      </c>
      <c r="M40">
        <v>11</v>
      </c>
      <c r="N40">
        <v>0.72699999999999998</v>
      </c>
      <c r="O40">
        <v>4</v>
      </c>
      <c r="P40">
        <v>7</v>
      </c>
      <c r="Q40">
        <v>0.57099999999999995</v>
      </c>
      <c r="R40">
        <v>4</v>
      </c>
      <c r="S40">
        <v>4</v>
      </c>
      <c r="T40">
        <v>1</v>
      </c>
      <c r="U40">
        <v>0.90900000000000003</v>
      </c>
      <c r="V40">
        <v>0</v>
      </c>
      <c r="W40">
        <v>0</v>
      </c>
      <c r="Y40">
        <v>0</v>
      </c>
      <c r="Z40">
        <v>1</v>
      </c>
      <c r="AA40">
        <v>1</v>
      </c>
      <c r="AB40">
        <v>6</v>
      </c>
      <c r="AC40">
        <v>1</v>
      </c>
      <c r="AD40">
        <v>0</v>
      </c>
      <c r="AE40">
        <v>3</v>
      </c>
      <c r="AF40">
        <v>1</v>
      </c>
      <c r="AG40">
        <v>20</v>
      </c>
      <c r="AH40">
        <v>17.600000000000001</v>
      </c>
      <c r="AI40">
        <v>-24</v>
      </c>
    </row>
    <row r="41" spans="1:35" ht="21" x14ac:dyDescent="0.3">
      <c r="A41" t="s">
        <v>558</v>
      </c>
      <c r="B41" s="11">
        <v>40</v>
      </c>
      <c r="C41">
        <v>267</v>
      </c>
      <c r="D41">
        <v>40</v>
      </c>
      <c r="E41" s="4">
        <v>44572</v>
      </c>
      <c r="F41" t="s">
        <v>99</v>
      </c>
      <c r="G41" t="s">
        <v>37</v>
      </c>
      <c r="H41" t="s">
        <v>92</v>
      </c>
      <c r="I41" t="s">
        <v>303</v>
      </c>
      <c r="J41" t="s">
        <v>41</v>
      </c>
      <c r="K41" s="9">
        <v>1.7027777777777777</v>
      </c>
      <c r="L41">
        <v>5</v>
      </c>
      <c r="M41">
        <v>12</v>
      </c>
      <c r="N41">
        <v>0.41699999999999998</v>
      </c>
      <c r="O41">
        <v>1</v>
      </c>
      <c r="P41">
        <v>6</v>
      </c>
      <c r="Q41">
        <v>0.16700000000000001</v>
      </c>
      <c r="R41">
        <v>4</v>
      </c>
      <c r="S41">
        <v>6</v>
      </c>
      <c r="T41">
        <v>0.66700000000000004</v>
      </c>
      <c r="U41">
        <v>0.45800000000000002</v>
      </c>
      <c r="V41">
        <v>1</v>
      </c>
      <c r="W41">
        <v>1</v>
      </c>
      <c r="X41">
        <v>1</v>
      </c>
      <c r="Y41">
        <v>0</v>
      </c>
      <c r="Z41">
        <v>3</v>
      </c>
      <c r="AA41">
        <v>3</v>
      </c>
      <c r="AB41">
        <v>1</v>
      </c>
      <c r="AC41">
        <v>1</v>
      </c>
      <c r="AD41">
        <v>0</v>
      </c>
      <c r="AE41">
        <v>2</v>
      </c>
      <c r="AF41">
        <v>2</v>
      </c>
      <c r="AG41">
        <v>12</v>
      </c>
      <c r="AH41">
        <v>5.4</v>
      </c>
      <c r="AI41">
        <v>-4</v>
      </c>
    </row>
    <row r="42" spans="1:35" ht="21" x14ac:dyDescent="0.3">
      <c r="A42" t="s">
        <v>558</v>
      </c>
      <c r="B42" s="11">
        <v>41</v>
      </c>
      <c r="C42">
        <v>268</v>
      </c>
      <c r="D42">
        <v>41</v>
      </c>
      <c r="E42" s="4">
        <v>44575</v>
      </c>
      <c r="F42" t="s">
        <v>99</v>
      </c>
      <c r="G42" t="s">
        <v>37</v>
      </c>
      <c r="H42" t="s">
        <v>108</v>
      </c>
      <c r="I42" t="s">
        <v>304</v>
      </c>
      <c r="J42" t="s">
        <v>41</v>
      </c>
      <c r="K42" s="9">
        <v>1.2694444444444444</v>
      </c>
      <c r="L42">
        <v>1</v>
      </c>
      <c r="M42">
        <v>6</v>
      </c>
      <c r="N42">
        <v>0.16700000000000001</v>
      </c>
      <c r="O42">
        <v>0</v>
      </c>
      <c r="P42">
        <v>2</v>
      </c>
      <c r="Q42">
        <v>0</v>
      </c>
      <c r="R42">
        <v>1</v>
      </c>
      <c r="S42">
        <v>4</v>
      </c>
      <c r="T42">
        <v>0.25</v>
      </c>
      <c r="U42">
        <v>0.16700000000000001</v>
      </c>
      <c r="V42">
        <v>2</v>
      </c>
      <c r="W42">
        <v>2</v>
      </c>
      <c r="X42">
        <v>1</v>
      </c>
      <c r="Y42">
        <v>0</v>
      </c>
      <c r="Z42">
        <v>4</v>
      </c>
      <c r="AA42">
        <v>4</v>
      </c>
      <c r="AB42">
        <v>2</v>
      </c>
      <c r="AC42">
        <v>0</v>
      </c>
      <c r="AD42">
        <v>0</v>
      </c>
      <c r="AE42">
        <v>1</v>
      </c>
      <c r="AF42">
        <v>0</v>
      </c>
      <c r="AG42">
        <v>4</v>
      </c>
      <c r="AH42">
        <v>1.8</v>
      </c>
      <c r="AI42">
        <v>2</v>
      </c>
    </row>
    <row r="43" spans="1:35" ht="21" x14ac:dyDescent="0.3">
      <c r="A43" t="s">
        <v>558</v>
      </c>
      <c r="B43" s="11">
        <v>42</v>
      </c>
      <c r="C43">
        <v>269</v>
      </c>
      <c r="D43">
        <v>42</v>
      </c>
      <c r="E43" s="4">
        <v>44577</v>
      </c>
      <c r="F43" t="s">
        <v>99</v>
      </c>
      <c r="G43" t="s">
        <v>37</v>
      </c>
      <c r="H43" t="s">
        <v>89</v>
      </c>
      <c r="I43" t="s">
        <v>305</v>
      </c>
      <c r="J43" t="s">
        <v>41</v>
      </c>
      <c r="K43" s="9">
        <v>1.2486111111111111</v>
      </c>
      <c r="L43">
        <v>4</v>
      </c>
      <c r="M43">
        <v>10</v>
      </c>
      <c r="N43">
        <v>0.4</v>
      </c>
      <c r="O43">
        <v>2</v>
      </c>
      <c r="P43">
        <v>6</v>
      </c>
      <c r="Q43">
        <v>0.33300000000000002</v>
      </c>
      <c r="R43">
        <v>2</v>
      </c>
      <c r="S43">
        <v>4</v>
      </c>
      <c r="T43">
        <v>0.5</v>
      </c>
      <c r="U43">
        <v>0.5</v>
      </c>
      <c r="V43">
        <v>0</v>
      </c>
      <c r="W43">
        <v>0</v>
      </c>
      <c r="Y43">
        <v>1</v>
      </c>
      <c r="Z43">
        <v>2</v>
      </c>
      <c r="AA43">
        <v>3</v>
      </c>
      <c r="AB43">
        <v>4</v>
      </c>
      <c r="AC43">
        <v>0</v>
      </c>
      <c r="AD43">
        <v>0</v>
      </c>
      <c r="AE43">
        <v>3</v>
      </c>
      <c r="AF43">
        <v>2</v>
      </c>
      <c r="AG43">
        <v>10</v>
      </c>
      <c r="AH43">
        <v>4.9000000000000004</v>
      </c>
      <c r="AI43">
        <v>20</v>
      </c>
    </row>
    <row r="44" spans="1:35" ht="21" x14ac:dyDescent="0.3">
      <c r="A44" t="s">
        <v>558</v>
      </c>
      <c r="B44" s="11">
        <v>43</v>
      </c>
      <c r="C44">
        <v>270</v>
      </c>
      <c r="D44">
        <v>43</v>
      </c>
      <c r="E44" s="4">
        <v>44578</v>
      </c>
      <c r="F44" t="s">
        <v>99</v>
      </c>
      <c r="G44" t="s">
        <v>37</v>
      </c>
      <c r="H44" t="s">
        <v>102</v>
      </c>
      <c r="I44" t="s">
        <v>306</v>
      </c>
      <c r="J44" t="s">
        <v>41</v>
      </c>
      <c r="K44" s="9">
        <v>1.4284722222222221</v>
      </c>
      <c r="L44">
        <v>2</v>
      </c>
      <c r="M44">
        <v>6</v>
      </c>
      <c r="N44">
        <v>0.33300000000000002</v>
      </c>
      <c r="O44">
        <v>0</v>
      </c>
      <c r="P44">
        <v>1</v>
      </c>
      <c r="Q44">
        <v>0</v>
      </c>
      <c r="R44">
        <v>2</v>
      </c>
      <c r="S44">
        <v>5</v>
      </c>
      <c r="T44">
        <v>0.4</v>
      </c>
      <c r="U44">
        <v>0.33300000000000002</v>
      </c>
      <c r="V44">
        <v>3</v>
      </c>
      <c r="W44">
        <v>4</v>
      </c>
      <c r="X44">
        <v>0.75</v>
      </c>
      <c r="Y44">
        <v>2</v>
      </c>
      <c r="Z44">
        <v>3</v>
      </c>
      <c r="AA44">
        <v>5</v>
      </c>
      <c r="AB44">
        <v>2</v>
      </c>
      <c r="AC44">
        <v>1</v>
      </c>
      <c r="AD44">
        <v>2</v>
      </c>
      <c r="AE44">
        <v>0</v>
      </c>
      <c r="AF44">
        <v>1</v>
      </c>
      <c r="AG44">
        <v>7</v>
      </c>
      <c r="AH44">
        <v>8.9</v>
      </c>
      <c r="AI44">
        <v>5</v>
      </c>
    </row>
    <row r="45" spans="1:35" ht="21" x14ac:dyDescent="0.3">
      <c r="A45" t="s">
        <v>558</v>
      </c>
      <c r="B45" s="11">
        <v>44</v>
      </c>
      <c r="C45">
        <v>271</v>
      </c>
      <c r="D45">
        <v>44</v>
      </c>
      <c r="E45" s="4">
        <v>44581</v>
      </c>
      <c r="F45" t="s">
        <v>99</v>
      </c>
      <c r="G45" t="s">
        <v>37</v>
      </c>
      <c r="H45" t="s">
        <v>49</v>
      </c>
      <c r="I45" t="s">
        <v>307</v>
      </c>
      <c r="J45" t="s">
        <v>41</v>
      </c>
      <c r="K45" s="9">
        <v>1.5493055555555555</v>
      </c>
      <c r="L45">
        <v>5</v>
      </c>
      <c r="M45">
        <v>11</v>
      </c>
      <c r="N45">
        <v>0.45500000000000002</v>
      </c>
      <c r="O45">
        <v>0</v>
      </c>
      <c r="P45">
        <v>4</v>
      </c>
      <c r="Q45">
        <v>0</v>
      </c>
      <c r="R45">
        <v>5</v>
      </c>
      <c r="S45">
        <v>7</v>
      </c>
      <c r="T45">
        <v>0.71399999999999997</v>
      </c>
      <c r="U45">
        <v>0.45500000000000002</v>
      </c>
      <c r="V45">
        <v>2</v>
      </c>
      <c r="W45">
        <v>2</v>
      </c>
      <c r="X45">
        <v>1</v>
      </c>
      <c r="Y45">
        <v>2</v>
      </c>
      <c r="Z45">
        <v>6</v>
      </c>
      <c r="AA45">
        <v>8</v>
      </c>
      <c r="AB45">
        <v>6</v>
      </c>
      <c r="AC45">
        <v>4</v>
      </c>
      <c r="AD45">
        <v>0</v>
      </c>
      <c r="AE45">
        <v>0</v>
      </c>
      <c r="AF45">
        <v>1</v>
      </c>
      <c r="AG45">
        <v>12</v>
      </c>
      <c r="AH45">
        <v>17.3</v>
      </c>
      <c r="AI45">
        <v>19</v>
      </c>
    </row>
    <row r="46" spans="1:35" ht="21" x14ac:dyDescent="0.3">
      <c r="A46" t="s">
        <v>558</v>
      </c>
      <c r="B46" s="11">
        <v>45</v>
      </c>
      <c r="C46">
        <v>272</v>
      </c>
      <c r="D46">
        <v>45</v>
      </c>
      <c r="E46" s="4">
        <v>44583</v>
      </c>
      <c r="F46" t="s">
        <v>99</v>
      </c>
      <c r="H46" t="s">
        <v>108</v>
      </c>
      <c r="I46" t="s">
        <v>308</v>
      </c>
      <c r="J46" t="s">
        <v>41</v>
      </c>
      <c r="K46" s="9">
        <v>1.4444444444444444</v>
      </c>
      <c r="L46">
        <v>10</v>
      </c>
      <c r="M46">
        <v>15</v>
      </c>
      <c r="N46">
        <v>0.66700000000000004</v>
      </c>
      <c r="O46">
        <v>2</v>
      </c>
      <c r="P46">
        <v>4</v>
      </c>
      <c r="Q46">
        <v>0.5</v>
      </c>
      <c r="R46">
        <v>8</v>
      </c>
      <c r="S46">
        <v>11</v>
      </c>
      <c r="T46">
        <v>0.72699999999999998</v>
      </c>
      <c r="U46">
        <v>0.73299999999999998</v>
      </c>
      <c r="V46">
        <v>1</v>
      </c>
      <c r="W46">
        <v>1</v>
      </c>
      <c r="X46">
        <v>1</v>
      </c>
      <c r="Y46">
        <v>0</v>
      </c>
      <c r="Z46">
        <v>6</v>
      </c>
      <c r="AA46">
        <v>6</v>
      </c>
      <c r="AB46">
        <v>4</v>
      </c>
      <c r="AC46">
        <v>1</v>
      </c>
      <c r="AD46">
        <v>0</v>
      </c>
      <c r="AE46">
        <v>0</v>
      </c>
      <c r="AF46">
        <v>1</v>
      </c>
      <c r="AG46">
        <v>23</v>
      </c>
      <c r="AH46">
        <v>21.7</v>
      </c>
      <c r="AI46">
        <v>11</v>
      </c>
    </row>
    <row r="47" spans="1:35" ht="21" x14ac:dyDescent="0.3">
      <c r="A47" t="s">
        <v>558</v>
      </c>
      <c r="B47" s="11">
        <v>46</v>
      </c>
      <c r="C47">
        <v>273</v>
      </c>
      <c r="D47">
        <v>46</v>
      </c>
      <c r="E47" s="4">
        <v>44585</v>
      </c>
      <c r="F47" t="s">
        <v>99</v>
      </c>
      <c r="H47" t="s">
        <v>118</v>
      </c>
      <c r="I47" t="s">
        <v>309</v>
      </c>
      <c r="J47" t="s">
        <v>41</v>
      </c>
      <c r="K47" s="9">
        <v>1.4756944444444444</v>
      </c>
      <c r="L47">
        <v>2</v>
      </c>
      <c r="M47">
        <v>8</v>
      </c>
      <c r="N47">
        <v>0.25</v>
      </c>
      <c r="O47">
        <v>0</v>
      </c>
      <c r="P47">
        <v>2</v>
      </c>
      <c r="Q47">
        <v>0</v>
      </c>
      <c r="R47">
        <v>2</v>
      </c>
      <c r="S47">
        <v>6</v>
      </c>
      <c r="T47">
        <v>0.33300000000000002</v>
      </c>
      <c r="U47">
        <v>0.25</v>
      </c>
      <c r="V47">
        <v>0</v>
      </c>
      <c r="W47">
        <v>0</v>
      </c>
      <c r="Y47">
        <v>1</v>
      </c>
      <c r="Z47">
        <v>3</v>
      </c>
      <c r="AA47">
        <v>4</v>
      </c>
      <c r="AB47">
        <v>6</v>
      </c>
      <c r="AC47">
        <v>2</v>
      </c>
      <c r="AD47">
        <v>0</v>
      </c>
      <c r="AE47">
        <v>0</v>
      </c>
      <c r="AF47">
        <v>1</v>
      </c>
      <c r="AG47">
        <v>4</v>
      </c>
      <c r="AH47">
        <v>6.6</v>
      </c>
      <c r="AI47">
        <v>5</v>
      </c>
    </row>
    <row r="48" spans="1:35" ht="21" x14ac:dyDescent="0.3">
      <c r="A48" t="s">
        <v>558</v>
      </c>
      <c r="B48" s="11">
        <v>47</v>
      </c>
      <c r="C48">
        <v>274</v>
      </c>
      <c r="D48">
        <v>47</v>
      </c>
      <c r="E48" s="4">
        <v>44587</v>
      </c>
      <c r="F48" t="s">
        <v>99</v>
      </c>
      <c r="G48" t="s">
        <v>37</v>
      </c>
      <c r="H48" t="s">
        <v>118</v>
      </c>
      <c r="I48" t="s">
        <v>310</v>
      </c>
      <c r="J48" t="s">
        <v>41</v>
      </c>
      <c r="K48" s="9">
        <v>1.8611111111111112</v>
      </c>
      <c r="L48">
        <v>3</v>
      </c>
      <c r="M48">
        <v>7</v>
      </c>
      <c r="N48">
        <v>0.42899999999999999</v>
      </c>
      <c r="O48">
        <v>0</v>
      </c>
      <c r="P48">
        <v>1</v>
      </c>
      <c r="Q48">
        <v>0</v>
      </c>
      <c r="R48">
        <v>3</v>
      </c>
      <c r="S48">
        <v>6</v>
      </c>
      <c r="T48">
        <v>0.5</v>
      </c>
      <c r="U48">
        <v>0.42899999999999999</v>
      </c>
      <c r="V48">
        <v>1</v>
      </c>
      <c r="W48">
        <v>2</v>
      </c>
      <c r="X48">
        <v>0.5</v>
      </c>
      <c r="Y48">
        <v>1</v>
      </c>
      <c r="Z48">
        <v>3</v>
      </c>
      <c r="AA48">
        <v>4</v>
      </c>
      <c r="AB48">
        <v>2</v>
      </c>
      <c r="AC48">
        <v>1</v>
      </c>
      <c r="AD48">
        <v>1</v>
      </c>
      <c r="AE48">
        <v>0</v>
      </c>
      <c r="AF48">
        <v>4</v>
      </c>
      <c r="AG48">
        <v>7</v>
      </c>
      <c r="AH48">
        <v>6</v>
      </c>
      <c r="AI48">
        <v>3</v>
      </c>
    </row>
    <row r="49" spans="1:35" ht="21" x14ac:dyDescent="0.3">
      <c r="A49" t="s">
        <v>558</v>
      </c>
      <c r="B49" s="11">
        <v>48</v>
      </c>
      <c r="C49">
        <v>275</v>
      </c>
      <c r="D49">
        <v>48</v>
      </c>
      <c r="E49" s="4">
        <v>44589</v>
      </c>
      <c r="F49" t="s">
        <v>99</v>
      </c>
      <c r="H49" t="s">
        <v>80</v>
      </c>
      <c r="I49" t="s">
        <v>311</v>
      </c>
      <c r="J49" t="s">
        <v>41</v>
      </c>
      <c r="K49" s="9">
        <v>1.7104166666666667</v>
      </c>
      <c r="L49">
        <v>6</v>
      </c>
      <c r="M49">
        <v>9</v>
      </c>
      <c r="N49">
        <v>0.66700000000000004</v>
      </c>
      <c r="O49">
        <v>2</v>
      </c>
      <c r="P49">
        <v>4</v>
      </c>
      <c r="Q49">
        <v>0.5</v>
      </c>
      <c r="R49">
        <v>4</v>
      </c>
      <c r="S49">
        <v>5</v>
      </c>
      <c r="T49">
        <v>0.8</v>
      </c>
      <c r="U49">
        <v>0.77800000000000002</v>
      </c>
      <c r="V49">
        <v>4</v>
      </c>
      <c r="W49">
        <v>4</v>
      </c>
      <c r="X49">
        <v>1</v>
      </c>
      <c r="Y49">
        <v>1</v>
      </c>
      <c r="Z49">
        <v>4</v>
      </c>
      <c r="AA49">
        <v>5</v>
      </c>
      <c r="AB49">
        <v>2</v>
      </c>
      <c r="AC49">
        <v>0</v>
      </c>
      <c r="AD49">
        <v>0</v>
      </c>
      <c r="AE49">
        <v>1</v>
      </c>
      <c r="AF49">
        <v>1</v>
      </c>
      <c r="AG49">
        <v>18</v>
      </c>
      <c r="AH49">
        <v>16</v>
      </c>
      <c r="AI49">
        <v>1</v>
      </c>
    </row>
    <row r="50" spans="1:35" ht="21" x14ac:dyDescent="0.3">
      <c r="A50" t="s">
        <v>558</v>
      </c>
      <c r="B50" s="11">
        <v>49</v>
      </c>
      <c r="C50">
        <v>276</v>
      </c>
      <c r="D50">
        <v>49</v>
      </c>
      <c r="E50" s="4">
        <v>44591</v>
      </c>
      <c r="F50" t="s">
        <v>99</v>
      </c>
      <c r="H50" t="s">
        <v>102</v>
      </c>
      <c r="I50" t="s">
        <v>312</v>
      </c>
      <c r="J50" t="s">
        <v>41</v>
      </c>
      <c r="K50" s="9">
        <v>1.6631944444444444</v>
      </c>
      <c r="L50">
        <v>11</v>
      </c>
      <c r="M50">
        <v>16</v>
      </c>
      <c r="N50">
        <v>0.68799999999999994</v>
      </c>
      <c r="O50">
        <v>2</v>
      </c>
      <c r="P50">
        <v>5</v>
      </c>
      <c r="Q50">
        <v>0.4</v>
      </c>
      <c r="R50">
        <v>9</v>
      </c>
      <c r="S50">
        <v>11</v>
      </c>
      <c r="T50">
        <v>0.81799999999999995</v>
      </c>
      <c r="U50">
        <v>0.75</v>
      </c>
      <c r="V50">
        <v>2</v>
      </c>
      <c r="W50">
        <v>2</v>
      </c>
      <c r="X50">
        <v>1</v>
      </c>
      <c r="Y50">
        <v>1</v>
      </c>
      <c r="Z50">
        <v>7</v>
      </c>
      <c r="AA50">
        <v>8</v>
      </c>
      <c r="AB50">
        <v>1</v>
      </c>
      <c r="AC50">
        <v>0</v>
      </c>
      <c r="AD50">
        <v>1</v>
      </c>
      <c r="AE50">
        <v>0</v>
      </c>
      <c r="AF50">
        <v>2</v>
      </c>
      <c r="AG50">
        <v>26</v>
      </c>
      <c r="AH50">
        <v>22.6</v>
      </c>
      <c r="AI50">
        <v>6</v>
      </c>
    </row>
    <row r="51" spans="1:35" ht="21" x14ac:dyDescent="0.3">
      <c r="A51" t="s">
        <v>558</v>
      </c>
      <c r="B51" s="11">
        <v>50</v>
      </c>
      <c r="C51">
        <v>277</v>
      </c>
      <c r="D51">
        <v>50</v>
      </c>
      <c r="E51" s="4">
        <v>44593</v>
      </c>
      <c r="F51" t="s">
        <v>99</v>
      </c>
      <c r="H51" t="s">
        <v>85</v>
      </c>
      <c r="I51" t="s">
        <v>313</v>
      </c>
      <c r="J51" t="s">
        <v>41</v>
      </c>
      <c r="K51" s="9">
        <v>1.6833333333333333</v>
      </c>
      <c r="L51">
        <v>10</v>
      </c>
      <c r="M51">
        <v>14</v>
      </c>
      <c r="N51">
        <v>0.71399999999999997</v>
      </c>
      <c r="O51">
        <v>1</v>
      </c>
      <c r="P51">
        <v>3</v>
      </c>
      <c r="Q51">
        <v>0.33300000000000002</v>
      </c>
      <c r="R51">
        <v>9</v>
      </c>
      <c r="S51">
        <v>11</v>
      </c>
      <c r="T51">
        <v>0.81799999999999995</v>
      </c>
      <c r="U51">
        <v>0.75</v>
      </c>
      <c r="V51">
        <v>6</v>
      </c>
      <c r="W51">
        <v>7</v>
      </c>
      <c r="X51">
        <v>0.85699999999999998</v>
      </c>
      <c r="Y51">
        <v>4</v>
      </c>
      <c r="Z51">
        <v>4</v>
      </c>
      <c r="AA51">
        <v>8</v>
      </c>
      <c r="AB51">
        <v>4</v>
      </c>
      <c r="AC51">
        <v>2</v>
      </c>
      <c r="AD51">
        <v>1</v>
      </c>
      <c r="AE51">
        <v>0</v>
      </c>
      <c r="AF51">
        <v>3</v>
      </c>
      <c r="AG51">
        <v>27</v>
      </c>
      <c r="AH51">
        <v>29.1</v>
      </c>
      <c r="AI51">
        <v>10</v>
      </c>
    </row>
    <row r="52" spans="1:35" ht="21" x14ac:dyDescent="0.3">
      <c r="A52" t="s">
        <v>558</v>
      </c>
      <c r="B52" s="11">
        <v>51</v>
      </c>
      <c r="C52">
        <v>278</v>
      </c>
      <c r="D52">
        <v>51</v>
      </c>
      <c r="E52" s="4">
        <v>44595</v>
      </c>
      <c r="F52" t="s">
        <v>99</v>
      </c>
      <c r="G52" t="s">
        <v>37</v>
      </c>
      <c r="H52" t="s">
        <v>78</v>
      </c>
      <c r="I52" t="s">
        <v>314</v>
      </c>
      <c r="J52" t="s">
        <v>41</v>
      </c>
      <c r="K52" s="9">
        <v>1.66875</v>
      </c>
      <c r="L52">
        <v>9</v>
      </c>
      <c r="M52">
        <v>17</v>
      </c>
      <c r="N52">
        <v>0.52900000000000003</v>
      </c>
      <c r="O52">
        <v>2</v>
      </c>
      <c r="P52">
        <v>7</v>
      </c>
      <c r="Q52">
        <v>0.28599999999999998</v>
      </c>
      <c r="R52">
        <v>7</v>
      </c>
      <c r="S52">
        <v>10</v>
      </c>
      <c r="T52">
        <v>0.7</v>
      </c>
      <c r="U52">
        <v>0.58799999999999997</v>
      </c>
      <c r="V52">
        <v>4</v>
      </c>
      <c r="W52">
        <v>4</v>
      </c>
      <c r="X52">
        <v>1</v>
      </c>
      <c r="Y52">
        <v>2</v>
      </c>
      <c r="Z52">
        <v>6</v>
      </c>
      <c r="AA52">
        <v>8</v>
      </c>
      <c r="AB52">
        <v>4</v>
      </c>
      <c r="AC52">
        <v>2</v>
      </c>
      <c r="AD52">
        <v>0</v>
      </c>
      <c r="AE52">
        <v>3</v>
      </c>
      <c r="AF52">
        <v>2</v>
      </c>
      <c r="AG52">
        <v>24</v>
      </c>
      <c r="AH52">
        <v>19.899999999999999</v>
      </c>
      <c r="AI52">
        <v>3</v>
      </c>
    </row>
    <row r="53" spans="1:35" ht="21" x14ac:dyDescent="0.3">
      <c r="A53" t="s">
        <v>558</v>
      </c>
      <c r="B53" s="11">
        <v>52</v>
      </c>
      <c r="C53">
        <v>279</v>
      </c>
      <c r="D53">
        <v>52</v>
      </c>
      <c r="E53" s="4">
        <v>44597</v>
      </c>
      <c r="F53" t="s">
        <v>99</v>
      </c>
      <c r="G53" t="s">
        <v>37</v>
      </c>
      <c r="H53" t="s">
        <v>155</v>
      </c>
      <c r="I53" t="s">
        <v>315</v>
      </c>
      <c r="J53" t="s">
        <v>41</v>
      </c>
      <c r="K53" s="9">
        <v>1.08125</v>
      </c>
      <c r="L53">
        <v>5</v>
      </c>
      <c r="M53">
        <v>10</v>
      </c>
      <c r="N53">
        <v>0.5</v>
      </c>
      <c r="O53">
        <v>2</v>
      </c>
      <c r="P53">
        <v>4</v>
      </c>
      <c r="Q53">
        <v>0.5</v>
      </c>
      <c r="R53">
        <v>3</v>
      </c>
      <c r="S53">
        <v>6</v>
      </c>
      <c r="T53">
        <v>0.5</v>
      </c>
      <c r="U53">
        <v>0.6</v>
      </c>
      <c r="V53">
        <v>0</v>
      </c>
      <c r="W53">
        <v>0</v>
      </c>
      <c r="Y53">
        <v>1</v>
      </c>
      <c r="Z53">
        <v>2</v>
      </c>
      <c r="AA53">
        <v>3</v>
      </c>
      <c r="AB53">
        <v>4</v>
      </c>
      <c r="AC53">
        <v>1</v>
      </c>
      <c r="AD53">
        <v>1</v>
      </c>
      <c r="AE53">
        <v>1</v>
      </c>
      <c r="AF53">
        <v>1</v>
      </c>
      <c r="AG53">
        <v>12</v>
      </c>
      <c r="AH53">
        <v>11.4</v>
      </c>
      <c r="AI53">
        <v>17</v>
      </c>
    </row>
    <row r="54" spans="1:35" ht="21" x14ac:dyDescent="0.3">
      <c r="A54" t="s">
        <v>558</v>
      </c>
      <c r="B54" s="11">
        <v>53</v>
      </c>
      <c r="C54">
        <v>280</v>
      </c>
      <c r="D54">
        <v>53</v>
      </c>
      <c r="E54" s="4">
        <v>44599</v>
      </c>
      <c r="F54" t="s">
        <v>99</v>
      </c>
      <c r="G54" t="s">
        <v>37</v>
      </c>
      <c r="H54" t="s">
        <v>82</v>
      </c>
      <c r="I54" t="s">
        <v>316</v>
      </c>
      <c r="J54" t="s">
        <v>41</v>
      </c>
      <c r="K54" s="9">
        <v>1.4861111111111112</v>
      </c>
      <c r="L54">
        <v>6</v>
      </c>
      <c r="M54">
        <v>12</v>
      </c>
      <c r="N54">
        <v>0.5</v>
      </c>
      <c r="O54">
        <v>2</v>
      </c>
      <c r="P54">
        <v>7</v>
      </c>
      <c r="Q54">
        <v>0.28599999999999998</v>
      </c>
      <c r="R54">
        <v>4</v>
      </c>
      <c r="S54">
        <v>5</v>
      </c>
      <c r="T54">
        <v>0.8</v>
      </c>
      <c r="U54">
        <v>0.58299999999999996</v>
      </c>
      <c r="V54">
        <v>1</v>
      </c>
      <c r="W54">
        <v>1</v>
      </c>
      <c r="X54">
        <v>1</v>
      </c>
      <c r="Y54">
        <v>1</v>
      </c>
      <c r="Z54">
        <v>3</v>
      </c>
      <c r="AA54">
        <v>4</v>
      </c>
      <c r="AB54">
        <v>3</v>
      </c>
      <c r="AC54">
        <v>1</v>
      </c>
      <c r="AD54">
        <v>1</v>
      </c>
      <c r="AE54">
        <v>0</v>
      </c>
      <c r="AF54">
        <v>3</v>
      </c>
      <c r="AG54">
        <v>15</v>
      </c>
      <c r="AH54">
        <v>13.2</v>
      </c>
      <c r="AI54">
        <v>15</v>
      </c>
    </row>
    <row r="55" spans="1:35" ht="21" x14ac:dyDescent="0.3">
      <c r="A55" t="s">
        <v>558</v>
      </c>
      <c r="B55" s="11">
        <v>54</v>
      </c>
      <c r="C55">
        <v>281</v>
      </c>
      <c r="D55">
        <v>54</v>
      </c>
      <c r="E55" s="4">
        <v>44600</v>
      </c>
      <c r="F55" t="s">
        <v>99</v>
      </c>
      <c r="G55" t="s">
        <v>37</v>
      </c>
      <c r="H55" t="s">
        <v>94</v>
      </c>
      <c r="I55" t="s">
        <v>317</v>
      </c>
      <c r="J55" t="s">
        <v>41</v>
      </c>
      <c r="K55" s="9">
        <v>1.7173611111111111</v>
      </c>
      <c r="L55">
        <v>9</v>
      </c>
      <c r="M55">
        <v>14</v>
      </c>
      <c r="N55">
        <v>0.64300000000000002</v>
      </c>
      <c r="O55">
        <v>1</v>
      </c>
      <c r="P55">
        <v>4</v>
      </c>
      <c r="Q55">
        <v>0.25</v>
      </c>
      <c r="R55">
        <v>8</v>
      </c>
      <c r="S55">
        <v>10</v>
      </c>
      <c r="T55">
        <v>0.8</v>
      </c>
      <c r="U55">
        <v>0.67900000000000005</v>
      </c>
      <c r="V55">
        <v>4</v>
      </c>
      <c r="W55">
        <v>4</v>
      </c>
      <c r="X55">
        <v>1</v>
      </c>
      <c r="Y55">
        <v>0</v>
      </c>
      <c r="Z55">
        <v>4</v>
      </c>
      <c r="AA55">
        <v>4</v>
      </c>
      <c r="AB55">
        <v>2</v>
      </c>
      <c r="AC55">
        <v>0</v>
      </c>
      <c r="AD55">
        <v>0</v>
      </c>
      <c r="AE55">
        <v>0</v>
      </c>
      <c r="AF55">
        <v>1</v>
      </c>
      <c r="AG55">
        <v>23</v>
      </c>
      <c r="AH55">
        <v>19</v>
      </c>
      <c r="AI55">
        <v>9</v>
      </c>
    </row>
    <row r="56" spans="1:35" ht="21" x14ac:dyDescent="0.3">
      <c r="A56" t="s">
        <v>558</v>
      </c>
      <c r="B56" s="11">
        <v>55</v>
      </c>
      <c r="C56">
        <v>282</v>
      </c>
      <c r="D56">
        <v>55</v>
      </c>
      <c r="E56" s="4">
        <v>44602</v>
      </c>
      <c r="F56" t="s">
        <v>99</v>
      </c>
      <c r="H56" t="s">
        <v>126</v>
      </c>
      <c r="I56" t="s">
        <v>318</v>
      </c>
      <c r="J56" t="s">
        <v>41</v>
      </c>
      <c r="K56" s="9">
        <v>1.6361111111111111</v>
      </c>
      <c r="L56">
        <v>7</v>
      </c>
      <c r="M56">
        <v>11</v>
      </c>
      <c r="N56">
        <v>0.63600000000000001</v>
      </c>
      <c r="O56">
        <v>2</v>
      </c>
      <c r="P56">
        <v>5</v>
      </c>
      <c r="Q56">
        <v>0.4</v>
      </c>
      <c r="R56">
        <v>5</v>
      </c>
      <c r="S56">
        <v>6</v>
      </c>
      <c r="T56">
        <v>0.83299999999999996</v>
      </c>
      <c r="U56">
        <v>0.72699999999999998</v>
      </c>
      <c r="V56">
        <v>2</v>
      </c>
      <c r="W56">
        <v>3</v>
      </c>
      <c r="X56">
        <v>0.66700000000000004</v>
      </c>
      <c r="Y56">
        <v>0</v>
      </c>
      <c r="Z56">
        <v>1</v>
      </c>
      <c r="AA56">
        <v>1</v>
      </c>
      <c r="AB56">
        <v>2</v>
      </c>
      <c r="AC56">
        <v>2</v>
      </c>
      <c r="AD56">
        <v>0</v>
      </c>
      <c r="AE56">
        <v>1</v>
      </c>
      <c r="AF56">
        <v>3</v>
      </c>
      <c r="AG56">
        <v>18</v>
      </c>
      <c r="AH56">
        <v>14.2</v>
      </c>
      <c r="AI56">
        <v>20</v>
      </c>
    </row>
    <row r="57" spans="1:35" ht="21" x14ac:dyDescent="0.3">
      <c r="A57" t="s">
        <v>558</v>
      </c>
      <c r="B57" s="11">
        <v>56</v>
      </c>
      <c r="C57">
        <v>283</v>
      </c>
      <c r="D57">
        <v>56</v>
      </c>
      <c r="E57" s="4">
        <v>44604</v>
      </c>
      <c r="F57" t="s">
        <v>99</v>
      </c>
      <c r="H57" t="s">
        <v>104</v>
      </c>
      <c r="I57" t="s">
        <v>319</v>
      </c>
      <c r="J57" t="s">
        <v>41</v>
      </c>
      <c r="K57" s="9">
        <v>1.2326388888888888</v>
      </c>
      <c r="L57">
        <v>6</v>
      </c>
      <c r="M57">
        <v>8</v>
      </c>
      <c r="N57">
        <v>0.75</v>
      </c>
      <c r="O57">
        <v>2</v>
      </c>
      <c r="P57">
        <v>4</v>
      </c>
      <c r="Q57">
        <v>0.5</v>
      </c>
      <c r="R57">
        <v>4</v>
      </c>
      <c r="S57">
        <v>4</v>
      </c>
      <c r="T57">
        <v>1</v>
      </c>
      <c r="U57">
        <v>0.875</v>
      </c>
      <c r="V57">
        <v>0</v>
      </c>
      <c r="W57">
        <v>0</v>
      </c>
      <c r="Y57">
        <v>0</v>
      </c>
      <c r="Z57">
        <v>4</v>
      </c>
      <c r="AA57">
        <v>4</v>
      </c>
      <c r="AB57">
        <v>2</v>
      </c>
      <c r="AC57">
        <v>1</v>
      </c>
      <c r="AD57">
        <v>0</v>
      </c>
      <c r="AE57">
        <v>1</v>
      </c>
      <c r="AF57">
        <v>2</v>
      </c>
      <c r="AG57">
        <v>14</v>
      </c>
      <c r="AH57">
        <v>12.6</v>
      </c>
      <c r="AI57">
        <v>2</v>
      </c>
    </row>
    <row r="58" spans="1:35" ht="21" x14ac:dyDescent="0.3">
      <c r="A58" t="s">
        <v>558</v>
      </c>
      <c r="B58" s="11">
        <v>57</v>
      </c>
      <c r="C58">
        <v>284</v>
      </c>
      <c r="D58">
        <v>57</v>
      </c>
      <c r="E58" s="4">
        <v>44607</v>
      </c>
      <c r="F58" t="s">
        <v>99</v>
      </c>
      <c r="H58" t="s">
        <v>64</v>
      </c>
      <c r="I58" t="s">
        <v>320</v>
      </c>
      <c r="J58" t="s">
        <v>41</v>
      </c>
      <c r="K58" s="9">
        <v>1.3736111111111111</v>
      </c>
      <c r="L58">
        <v>8</v>
      </c>
      <c r="M58">
        <v>14</v>
      </c>
      <c r="N58">
        <v>0.57099999999999995</v>
      </c>
      <c r="O58">
        <v>1</v>
      </c>
      <c r="P58">
        <v>4</v>
      </c>
      <c r="Q58">
        <v>0.25</v>
      </c>
      <c r="R58">
        <v>7</v>
      </c>
      <c r="S58">
        <v>10</v>
      </c>
      <c r="T58">
        <v>0.7</v>
      </c>
      <c r="U58">
        <v>0.60699999999999998</v>
      </c>
      <c r="V58">
        <v>2</v>
      </c>
      <c r="W58">
        <v>3</v>
      </c>
      <c r="X58">
        <v>0.66700000000000004</v>
      </c>
      <c r="Y58">
        <v>1</v>
      </c>
      <c r="Z58">
        <v>8</v>
      </c>
      <c r="AA58">
        <v>9</v>
      </c>
      <c r="AB58">
        <v>2</v>
      </c>
      <c r="AC58">
        <v>1</v>
      </c>
      <c r="AD58">
        <v>0</v>
      </c>
      <c r="AE58">
        <v>1</v>
      </c>
      <c r="AF58">
        <v>1</v>
      </c>
      <c r="AG58">
        <v>19</v>
      </c>
      <c r="AH58">
        <v>16.100000000000001</v>
      </c>
      <c r="AI58">
        <v>8</v>
      </c>
    </row>
    <row r="59" spans="1:35" ht="21" x14ac:dyDescent="0.3">
      <c r="A59" t="s">
        <v>558</v>
      </c>
      <c r="B59" s="11">
        <v>58</v>
      </c>
      <c r="C59">
        <v>285</v>
      </c>
      <c r="D59">
        <v>58</v>
      </c>
      <c r="E59" s="4">
        <v>44608</v>
      </c>
      <c r="F59" t="s">
        <v>99</v>
      </c>
      <c r="H59" t="s">
        <v>76</v>
      </c>
      <c r="I59" t="s">
        <v>321</v>
      </c>
      <c r="J59" t="s">
        <v>41</v>
      </c>
      <c r="K59" s="9">
        <v>1.6756944444444444</v>
      </c>
      <c r="L59">
        <v>6</v>
      </c>
      <c r="M59">
        <v>10</v>
      </c>
      <c r="N59">
        <v>0.6</v>
      </c>
      <c r="O59">
        <v>0</v>
      </c>
      <c r="P59">
        <v>3</v>
      </c>
      <c r="Q59">
        <v>0</v>
      </c>
      <c r="R59">
        <v>6</v>
      </c>
      <c r="S59">
        <v>7</v>
      </c>
      <c r="T59">
        <v>0.85699999999999998</v>
      </c>
      <c r="U59">
        <v>0.6</v>
      </c>
      <c r="V59">
        <v>5</v>
      </c>
      <c r="W59">
        <v>8</v>
      </c>
      <c r="X59">
        <v>0.625</v>
      </c>
      <c r="Y59">
        <v>2</v>
      </c>
      <c r="Z59">
        <v>5</v>
      </c>
      <c r="AA59">
        <v>7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17</v>
      </c>
      <c r="AH59">
        <v>12.7</v>
      </c>
      <c r="AI59">
        <v>2</v>
      </c>
    </row>
    <row r="60" spans="1:35" ht="21" x14ac:dyDescent="0.3">
      <c r="A60" t="s">
        <v>558</v>
      </c>
      <c r="B60" s="11">
        <v>59</v>
      </c>
      <c r="C60">
        <v>286</v>
      </c>
      <c r="D60">
        <v>59</v>
      </c>
      <c r="E60" s="4">
        <v>44616</v>
      </c>
      <c r="F60" t="s">
        <v>99</v>
      </c>
      <c r="G60" t="s">
        <v>37</v>
      </c>
      <c r="H60" t="s">
        <v>68</v>
      </c>
      <c r="I60" t="s">
        <v>322</v>
      </c>
      <c r="J60" t="s">
        <v>41</v>
      </c>
      <c r="K60" s="9">
        <v>1.3111111111111111</v>
      </c>
      <c r="L60">
        <v>10</v>
      </c>
      <c r="M60">
        <v>17</v>
      </c>
      <c r="N60">
        <v>0.58799999999999997</v>
      </c>
      <c r="O60">
        <v>1</v>
      </c>
      <c r="P60">
        <v>5</v>
      </c>
      <c r="Q60">
        <v>0.2</v>
      </c>
      <c r="R60">
        <v>9</v>
      </c>
      <c r="S60">
        <v>12</v>
      </c>
      <c r="T60">
        <v>0.75</v>
      </c>
      <c r="U60">
        <v>0.61799999999999999</v>
      </c>
      <c r="V60">
        <v>0</v>
      </c>
      <c r="W60">
        <v>0</v>
      </c>
      <c r="Y60">
        <v>1</v>
      </c>
      <c r="Z60">
        <v>4</v>
      </c>
      <c r="AA60">
        <v>5</v>
      </c>
      <c r="AB60">
        <v>4</v>
      </c>
      <c r="AC60">
        <v>1</v>
      </c>
      <c r="AD60">
        <v>1</v>
      </c>
      <c r="AE60">
        <v>0</v>
      </c>
      <c r="AF60">
        <v>2</v>
      </c>
      <c r="AG60">
        <v>21</v>
      </c>
      <c r="AH60">
        <v>18.7</v>
      </c>
      <c r="AI60">
        <v>17</v>
      </c>
    </row>
    <row r="61" spans="1:35" ht="21" x14ac:dyDescent="0.3">
      <c r="A61" t="s">
        <v>558</v>
      </c>
      <c r="B61" s="11">
        <v>60</v>
      </c>
      <c r="C61">
        <v>287</v>
      </c>
      <c r="D61">
        <v>60</v>
      </c>
      <c r="E61" s="4">
        <v>44617</v>
      </c>
      <c r="F61" t="s">
        <v>99</v>
      </c>
      <c r="H61" t="s">
        <v>74</v>
      </c>
      <c r="I61" t="s">
        <v>323</v>
      </c>
      <c r="J61" t="s">
        <v>41</v>
      </c>
      <c r="K61" s="9">
        <v>1.6104166666666666</v>
      </c>
      <c r="L61">
        <v>3</v>
      </c>
      <c r="M61">
        <v>7</v>
      </c>
      <c r="N61">
        <v>0.42899999999999999</v>
      </c>
      <c r="O61">
        <v>1</v>
      </c>
      <c r="P61">
        <v>4</v>
      </c>
      <c r="Q61">
        <v>0.25</v>
      </c>
      <c r="R61">
        <v>2</v>
      </c>
      <c r="S61">
        <v>3</v>
      </c>
      <c r="T61">
        <v>0.66700000000000004</v>
      </c>
      <c r="U61">
        <v>0.5</v>
      </c>
      <c r="V61">
        <v>1</v>
      </c>
      <c r="W61">
        <v>2</v>
      </c>
      <c r="X61">
        <v>0.5</v>
      </c>
      <c r="Y61">
        <v>1</v>
      </c>
      <c r="Z61">
        <v>5</v>
      </c>
      <c r="AA61">
        <v>6</v>
      </c>
      <c r="AB61">
        <v>6</v>
      </c>
      <c r="AC61">
        <v>0</v>
      </c>
      <c r="AD61">
        <v>0</v>
      </c>
      <c r="AE61">
        <v>1</v>
      </c>
      <c r="AF61">
        <v>3</v>
      </c>
      <c r="AG61">
        <v>8</v>
      </c>
      <c r="AH61">
        <v>8.1</v>
      </c>
      <c r="AI61">
        <v>-4</v>
      </c>
    </row>
    <row r="62" spans="1:35" ht="21" x14ac:dyDescent="0.3">
      <c r="A62" t="s">
        <v>558</v>
      </c>
      <c r="B62" s="11">
        <v>61</v>
      </c>
      <c r="C62">
        <v>288</v>
      </c>
      <c r="D62">
        <v>61</v>
      </c>
      <c r="E62" s="4">
        <v>44619</v>
      </c>
      <c r="F62" t="s">
        <v>99</v>
      </c>
      <c r="H62" t="s">
        <v>118</v>
      </c>
      <c r="I62" t="s">
        <v>324</v>
      </c>
      <c r="J62" t="s">
        <v>41</v>
      </c>
      <c r="K62" s="9">
        <v>1.5833333333333333</v>
      </c>
      <c r="L62">
        <v>5</v>
      </c>
      <c r="M62">
        <v>7</v>
      </c>
      <c r="N62">
        <v>0.71399999999999997</v>
      </c>
      <c r="O62">
        <v>0</v>
      </c>
      <c r="P62">
        <v>1</v>
      </c>
      <c r="Q62">
        <v>0</v>
      </c>
      <c r="R62">
        <v>5</v>
      </c>
      <c r="S62">
        <v>6</v>
      </c>
      <c r="T62">
        <v>0.83299999999999996</v>
      </c>
      <c r="U62">
        <v>0.71399999999999997</v>
      </c>
      <c r="V62">
        <v>1</v>
      </c>
      <c r="W62">
        <v>1</v>
      </c>
      <c r="X62">
        <v>1</v>
      </c>
      <c r="Y62">
        <v>2</v>
      </c>
      <c r="Z62">
        <v>2</v>
      </c>
      <c r="AA62">
        <v>4</v>
      </c>
      <c r="AB62">
        <v>2</v>
      </c>
      <c r="AC62">
        <v>1</v>
      </c>
      <c r="AD62">
        <v>0</v>
      </c>
      <c r="AE62">
        <v>1</v>
      </c>
      <c r="AF62">
        <v>3</v>
      </c>
      <c r="AG62">
        <v>11</v>
      </c>
      <c r="AH62">
        <v>10.3</v>
      </c>
      <c r="AI62">
        <v>-2</v>
      </c>
    </row>
    <row r="63" spans="1:35" ht="21" x14ac:dyDescent="0.3">
      <c r="A63" t="s">
        <v>558</v>
      </c>
      <c r="B63" s="11">
        <v>62</v>
      </c>
      <c r="C63">
        <v>289</v>
      </c>
      <c r="D63">
        <v>62</v>
      </c>
      <c r="E63" s="4">
        <v>44622</v>
      </c>
      <c r="F63" t="s">
        <v>99</v>
      </c>
      <c r="H63" t="s">
        <v>96</v>
      </c>
      <c r="I63" t="s">
        <v>325</v>
      </c>
      <c r="J63" t="s">
        <v>41</v>
      </c>
      <c r="K63" s="9">
        <v>1.20625</v>
      </c>
      <c r="L63">
        <v>6</v>
      </c>
      <c r="M63">
        <v>9</v>
      </c>
      <c r="N63">
        <v>0.66700000000000004</v>
      </c>
      <c r="O63">
        <v>2</v>
      </c>
      <c r="P63">
        <v>5</v>
      </c>
      <c r="Q63">
        <v>0.4</v>
      </c>
      <c r="R63">
        <v>4</v>
      </c>
      <c r="S63">
        <v>4</v>
      </c>
      <c r="T63">
        <v>1</v>
      </c>
      <c r="U63">
        <v>0.77800000000000002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2</v>
      </c>
      <c r="AC63">
        <v>2</v>
      </c>
      <c r="AD63">
        <v>0</v>
      </c>
      <c r="AE63">
        <v>0</v>
      </c>
      <c r="AF63">
        <v>2</v>
      </c>
      <c r="AG63">
        <v>15</v>
      </c>
      <c r="AH63">
        <v>13.7</v>
      </c>
      <c r="AI63">
        <v>28</v>
      </c>
    </row>
    <row r="64" spans="1:35" ht="21" x14ac:dyDescent="0.3">
      <c r="A64" t="s">
        <v>558</v>
      </c>
      <c r="B64" s="11">
        <v>63</v>
      </c>
      <c r="C64">
        <v>290</v>
      </c>
      <c r="D64">
        <v>63</v>
      </c>
      <c r="E64" s="4">
        <v>44624</v>
      </c>
      <c r="F64" t="s">
        <v>99</v>
      </c>
      <c r="H64" t="s">
        <v>110</v>
      </c>
      <c r="I64" t="s">
        <v>326</v>
      </c>
      <c r="J64" t="s">
        <v>41</v>
      </c>
      <c r="K64" s="9">
        <v>1.60625</v>
      </c>
      <c r="L64">
        <v>6</v>
      </c>
      <c r="M64">
        <v>11</v>
      </c>
      <c r="N64">
        <v>0.54500000000000004</v>
      </c>
      <c r="O64">
        <v>3</v>
      </c>
      <c r="P64">
        <v>4</v>
      </c>
      <c r="Q64">
        <v>0.75</v>
      </c>
      <c r="R64">
        <v>3</v>
      </c>
      <c r="S64">
        <v>7</v>
      </c>
      <c r="T64">
        <v>0.42899999999999999</v>
      </c>
      <c r="U64">
        <v>0.68200000000000005</v>
      </c>
      <c r="V64">
        <v>5</v>
      </c>
      <c r="W64">
        <v>6</v>
      </c>
      <c r="X64">
        <v>0.83299999999999996</v>
      </c>
      <c r="Y64">
        <v>1</v>
      </c>
      <c r="Z64">
        <v>5</v>
      </c>
      <c r="AA64">
        <v>6</v>
      </c>
      <c r="AB64">
        <v>4</v>
      </c>
      <c r="AC64">
        <v>2</v>
      </c>
      <c r="AD64">
        <v>0</v>
      </c>
      <c r="AE64">
        <v>0</v>
      </c>
      <c r="AF64">
        <v>2</v>
      </c>
      <c r="AG64">
        <v>20</v>
      </c>
      <c r="AH64">
        <v>20.5</v>
      </c>
      <c r="AI64">
        <v>-5</v>
      </c>
    </row>
    <row r="65" spans="1:35" ht="21" x14ac:dyDescent="0.3">
      <c r="A65" t="s">
        <v>558</v>
      </c>
      <c r="B65" s="11">
        <v>64</v>
      </c>
      <c r="C65">
        <v>291</v>
      </c>
      <c r="D65">
        <v>64</v>
      </c>
      <c r="E65" s="4">
        <v>44626</v>
      </c>
      <c r="F65" t="s">
        <v>99</v>
      </c>
      <c r="G65" t="s">
        <v>37</v>
      </c>
      <c r="H65" t="s">
        <v>126</v>
      </c>
      <c r="I65" t="s">
        <v>327</v>
      </c>
      <c r="J65" t="s">
        <v>41</v>
      </c>
      <c r="K65" s="9">
        <v>1.7618055555555556</v>
      </c>
      <c r="L65">
        <v>6</v>
      </c>
      <c r="M65">
        <v>14</v>
      </c>
      <c r="N65">
        <v>0.42899999999999999</v>
      </c>
      <c r="O65">
        <v>2</v>
      </c>
      <c r="P65">
        <v>5</v>
      </c>
      <c r="Q65">
        <v>0.4</v>
      </c>
      <c r="R65">
        <v>4</v>
      </c>
      <c r="S65">
        <v>9</v>
      </c>
      <c r="T65">
        <v>0.44400000000000001</v>
      </c>
      <c r="U65">
        <v>0.5</v>
      </c>
      <c r="V65">
        <v>0</v>
      </c>
      <c r="W65">
        <v>0</v>
      </c>
      <c r="Y65">
        <v>0</v>
      </c>
      <c r="Z65">
        <v>0</v>
      </c>
      <c r="AA65">
        <v>0</v>
      </c>
      <c r="AB65">
        <v>6</v>
      </c>
      <c r="AC65">
        <v>1</v>
      </c>
      <c r="AD65">
        <v>0</v>
      </c>
      <c r="AE65">
        <v>1</v>
      </c>
      <c r="AF65">
        <v>3</v>
      </c>
      <c r="AG65">
        <v>14</v>
      </c>
      <c r="AH65">
        <v>9.6</v>
      </c>
      <c r="AI65">
        <v>-11</v>
      </c>
    </row>
    <row r="66" spans="1:35" ht="21" x14ac:dyDescent="0.3">
      <c r="A66" t="s">
        <v>558</v>
      </c>
      <c r="B66" s="11">
        <v>65</v>
      </c>
      <c r="C66">
        <v>292</v>
      </c>
      <c r="D66">
        <v>65</v>
      </c>
      <c r="E66" s="4">
        <v>44628</v>
      </c>
      <c r="F66" t="s">
        <v>99</v>
      </c>
      <c r="G66" t="s">
        <v>37</v>
      </c>
      <c r="H66" t="s">
        <v>104</v>
      </c>
      <c r="I66" t="s">
        <v>328</v>
      </c>
      <c r="J66" t="s">
        <v>41</v>
      </c>
      <c r="K66" s="9">
        <v>1.5923611111111111</v>
      </c>
      <c r="L66">
        <v>3</v>
      </c>
      <c r="M66">
        <v>12</v>
      </c>
      <c r="N66">
        <v>0.25</v>
      </c>
      <c r="O66">
        <v>2</v>
      </c>
      <c r="P66">
        <v>6</v>
      </c>
      <c r="Q66">
        <v>0.33300000000000002</v>
      </c>
      <c r="R66">
        <v>1</v>
      </c>
      <c r="S66">
        <v>6</v>
      </c>
      <c r="T66">
        <v>0.16700000000000001</v>
      </c>
      <c r="U66">
        <v>0.33300000000000002</v>
      </c>
      <c r="V66">
        <v>5</v>
      </c>
      <c r="W66">
        <v>6</v>
      </c>
      <c r="X66">
        <v>0.83299999999999996</v>
      </c>
      <c r="Y66">
        <v>0</v>
      </c>
      <c r="Z66">
        <v>3</v>
      </c>
      <c r="AA66">
        <v>3</v>
      </c>
      <c r="AB66">
        <v>1</v>
      </c>
      <c r="AC66">
        <v>3</v>
      </c>
      <c r="AD66">
        <v>1</v>
      </c>
      <c r="AE66">
        <v>1</v>
      </c>
      <c r="AF66">
        <v>2</v>
      </c>
      <c r="AG66">
        <v>13</v>
      </c>
      <c r="AH66">
        <v>8.9</v>
      </c>
      <c r="AI66">
        <v>12</v>
      </c>
    </row>
    <row r="67" spans="1:35" ht="21" x14ac:dyDescent="0.3">
      <c r="A67" t="s">
        <v>558</v>
      </c>
      <c r="B67" s="11">
        <v>66</v>
      </c>
      <c r="C67">
        <v>293</v>
      </c>
      <c r="D67">
        <v>66</v>
      </c>
      <c r="E67" s="4">
        <v>44629</v>
      </c>
      <c r="F67" t="s">
        <v>99</v>
      </c>
      <c r="G67" t="s">
        <v>37</v>
      </c>
      <c r="H67" t="s">
        <v>120</v>
      </c>
      <c r="I67" t="s">
        <v>290</v>
      </c>
      <c r="J67" t="s">
        <v>41</v>
      </c>
      <c r="K67" s="9">
        <v>1.4493055555555556</v>
      </c>
      <c r="L67">
        <v>9</v>
      </c>
      <c r="M67">
        <v>13</v>
      </c>
      <c r="N67">
        <v>0.69199999999999995</v>
      </c>
      <c r="O67">
        <v>0</v>
      </c>
      <c r="P67">
        <v>3</v>
      </c>
      <c r="Q67">
        <v>0</v>
      </c>
      <c r="R67">
        <v>9</v>
      </c>
      <c r="S67">
        <v>10</v>
      </c>
      <c r="T67">
        <v>0.9</v>
      </c>
      <c r="U67">
        <v>0.69199999999999995</v>
      </c>
      <c r="V67">
        <v>3</v>
      </c>
      <c r="W67">
        <v>3</v>
      </c>
      <c r="X67">
        <v>1</v>
      </c>
      <c r="Y67">
        <v>1</v>
      </c>
      <c r="Z67">
        <v>8</v>
      </c>
      <c r="AA67">
        <v>9</v>
      </c>
      <c r="AB67">
        <v>3</v>
      </c>
      <c r="AC67">
        <v>0</v>
      </c>
      <c r="AD67">
        <v>1</v>
      </c>
      <c r="AE67">
        <v>0</v>
      </c>
      <c r="AF67">
        <v>2</v>
      </c>
      <c r="AG67">
        <v>21</v>
      </c>
      <c r="AH67">
        <v>20.6</v>
      </c>
      <c r="AI67">
        <v>24</v>
      </c>
    </row>
    <row r="68" spans="1:35" ht="21" x14ac:dyDescent="0.3">
      <c r="A68" t="s">
        <v>558</v>
      </c>
      <c r="B68" s="11">
        <v>67</v>
      </c>
      <c r="C68">
        <v>294</v>
      </c>
      <c r="D68">
        <v>67</v>
      </c>
      <c r="E68" s="4">
        <v>44631</v>
      </c>
      <c r="F68" t="s">
        <v>99</v>
      </c>
      <c r="H68" t="s">
        <v>92</v>
      </c>
      <c r="I68" t="s">
        <v>329</v>
      </c>
      <c r="J68" t="s">
        <v>41</v>
      </c>
      <c r="K68" s="9">
        <v>1.5756944444444445</v>
      </c>
      <c r="L68">
        <v>7</v>
      </c>
      <c r="M68">
        <v>16</v>
      </c>
      <c r="N68">
        <v>0.438</v>
      </c>
      <c r="O68">
        <v>2</v>
      </c>
      <c r="P68">
        <v>6</v>
      </c>
      <c r="Q68">
        <v>0.33300000000000002</v>
      </c>
      <c r="R68">
        <v>5</v>
      </c>
      <c r="S68">
        <v>10</v>
      </c>
      <c r="T68">
        <v>0.5</v>
      </c>
      <c r="U68">
        <v>0.5</v>
      </c>
      <c r="V68">
        <v>2</v>
      </c>
      <c r="W68">
        <v>2</v>
      </c>
      <c r="X68">
        <v>1</v>
      </c>
      <c r="Y68">
        <v>1</v>
      </c>
      <c r="Z68">
        <v>6</v>
      </c>
      <c r="AA68">
        <v>7</v>
      </c>
      <c r="AB68">
        <v>1</v>
      </c>
      <c r="AC68">
        <v>0</v>
      </c>
      <c r="AD68">
        <v>1</v>
      </c>
      <c r="AE68">
        <v>3</v>
      </c>
      <c r="AF68">
        <v>3</v>
      </c>
      <c r="AG68">
        <v>18</v>
      </c>
      <c r="AH68">
        <v>9.3000000000000007</v>
      </c>
      <c r="AI68">
        <v>0</v>
      </c>
    </row>
    <row r="69" spans="1:35" ht="21" x14ac:dyDescent="0.3">
      <c r="A69" t="s">
        <v>558</v>
      </c>
      <c r="B69" s="11">
        <v>68</v>
      </c>
      <c r="C69">
        <v>295</v>
      </c>
      <c r="D69">
        <v>68</v>
      </c>
      <c r="E69" s="4">
        <v>44633</v>
      </c>
      <c r="F69" t="s">
        <v>99</v>
      </c>
      <c r="H69" t="s">
        <v>62</v>
      </c>
      <c r="I69" t="s">
        <v>330</v>
      </c>
      <c r="J69" t="s">
        <v>41</v>
      </c>
      <c r="K69" s="9">
        <v>1.2118055555555556</v>
      </c>
      <c r="L69">
        <v>8</v>
      </c>
      <c r="M69">
        <v>13</v>
      </c>
      <c r="N69">
        <v>0.61499999999999999</v>
      </c>
      <c r="O69">
        <v>1</v>
      </c>
      <c r="P69">
        <v>2</v>
      </c>
      <c r="Q69">
        <v>0.5</v>
      </c>
      <c r="R69">
        <v>7</v>
      </c>
      <c r="S69">
        <v>11</v>
      </c>
      <c r="T69">
        <v>0.63600000000000001</v>
      </c>
      <c r="U69">
        <v>0.65400000000000003</v>
      </c>
      <c r="V69">
        <v>1</v>
      </c>
      <c r="W69">
        <v>1</v>
      </c>
      <c r="X69">
        <v>1</v>
      </c>
      <c r="Y69">
        <v>4</v>
      </c>
      <c r="Z69">
        <v>2</v>
      </c>
      <c r="AA69">
        <v>6</v>
      </c>
      <c r="AB69">
        <v>3</v>
      </c>
      <c r="AC69">
        <v>1</v>
      </c>
      <c r="AD69">
        <v>0</v>
      </c>
      <c r="AE69">
        <v>0</v>
      </c>
      <c r="AF69">
        <v>0</v>
      </c>
      <c r="AG69">
        <v>18</v>
      </c>
      <c r="AH69">
        <v>18.600000000000001</v>
      </c>
      <c r="AI69">
        <v>25</v>
      </c>
    </row>
    <row r="70" spans="1:35" ht="21" x14ac:dyDescent="0.3">
      <c r="A70" t="s">
        <v>558</v>
      </c>
      <c r="B70" s="11">
        <v>69</v>
      </c>
      <c r="C70">
        <v>296</v>
      </c>
      <c r="D70">
        <v>69</v>
      </c>
      <c r="E70" s="4">
        <v>44635</v>
      </c>
      <c r="F70" t="s">
        <v>99</v>
      </c>
      <c r="G70" t="s">
        <v>37</v>
      </c>
      <c r="H70" t="s">
        <v>74</v>
      </c>
      <c r="I70" t="s">
        <v>331</v>
      </c>
      <c r="J70" t="s">
        <v>41</v>
      </c>
      <c r="K70" s="9">
        <v>1.5159722222222223</v>
      </c>
      <c r="L70">
        <v>7</v>
      </c>
      <c r="M70">
        <v>14</v>
      </c>
      <c r="N70">
        <v>0.5</v>
      </c>
      <c r="O70">
        <v>4</v>
      </c>
      <c r="P70">
        <v>5</v>
      </c>
      <c r="Q70">
        <v>0.8</v>
      </c>
      <c r="R70">
        <v>3</v>
      </c>
      <c r="S70">
        <v>9</v>
      </c>
      <c r="T70">
        <v>0.33300000000000002</v>
      </c>
      <c r="U70">
        <v>0.64300000000000002</v>
      </c>
      <c r="V70">
        <v>2</v>
      </c>
      <c r="W70">
        <v>2</v>
      </c>
      <c r="X70">
        <v>1</v>
      </c>
      <c r="Y70">
        <v>1</v>
      </c>
      <c r="Z70">
        <v>2</v>
      </c>
      <c r="AA70">
        <v>3</v>
      </c>
      <c r="AB70">
        <v>3</v>
      </c>
      <c r="AC70">
        <v>1</v>
      </c>
      <c r="AD70">
        <v>1</v>
      </c>
      <c r="AE70">
        <v>2</v>
      </c>
      <c r="AF70">
        <v>4</v>
      </c>
      <c r="AG70">
        <v>20</v>
      </c>
      <c r="AH70">
        <v>14.5</v>
      </c>
      <c r="AI70">
        <v>11</v>
      </c>
    </row>
    <row r="71" spans="1:35" ht="21" x14ac:dyDescent="0.3">
      <c r="A71" t="s">
        <v>558</v>
      </c>
      <c r="B71" s="11">
        <v>70</v>
      </c>
      <c r="C71">
        <v>297</v>
      </c>
      <c r="D71">
        <v>70</v>
      </c>
      <c r="E71" s="4">
        <v>44636</v>
      </c>
      <c r="F71" t="s">
        <v>99</v>
      </c>
      <c r="G71" t="s">
        <v>37</v>
      </c>
      <c r="H71" t="s">
        <v>76</v>
      </c>
      <c r="I71" t="s">
        <v>332</v>
      </c>
      <c r="J71" t="s">
        <v>41</v>
      </c>
      <c r="K71" s="9">
        <v>1.8125</v>
      </c>
      <c r="L71">
        <v>10</v>
      </c>
      <c r="M71">
        <v>17</v>
      </c>
      <c r="N71">
        <v>0.58799999999999997</v>
      </c>
      <c r="O71">
        <v>3</v>
      </c>
      <c r="P71">
        <v>6</v>
      </c>
      <c r="Q71">
        <v>0.5</v>
      </c>
      <c r="R71">
        <v>7</v>
      </c>
      <c r="S71">
        <v>11</v>
      </c>
      <c r="T71">
        <v>0.63600000000000001</v>
      </c>
      <c r="U71">
        <v>0.67600000000000005</v>
      </c>
      <c r="V71">
        <v>3</v>
      </c>
      <c r="W71">
        <v>4</v>
      </c>
      <c r="X71">
        <v>0.75</v>
      </c>
      <c r="Y71">
        <v>0</v>
      </c>
      <c r="Z71">
        <v>3</v>
      </c>
      <c r="AA71">
        <v>3</v>
      </c>
      <c r="AB71">
        <v>5</v>
      </c>
      <c r="AC71">
        <v>3</v>
      </c>
      <c r="AD71">
        <v>0</v>
      </c>
      <c r="AE71">
        <v>1</v>
      </c>
      <c r="AF71">
        <v>1</v>
      </c>
      <c r="AG71">
        <v>26</v>
      </c>
      <c r="AH71">
        <v>23.7</v>
      </c>
      <c r="AI71">
        <v>23</v>
      </c>
    </row>
    <row r="72" spans="1:35" ht="21" x14ac:dyDescent="0.3">
      <c r="A72" t="s">
        <v>558</v>
      </c>
      <c r="B72" s="11">
        <v>71</v>
      </c>
      <c r="C72">
        <v>298</v>
      </c>
      <c r="D72">
        <v>71</v>
      </c>
      <c r="E72" s="4">
        <v>44638</v>
      </c>
      <c r="F72" t="s">
        <v>99</v>
      </c>
      <c r="H72" t="s">
        <v>82</v>
      </c>
      <c r="I72" t="s">
        <v>333</v>
      </c>
      <c r="J72" t="s">
        <v>41</v>
      </c>
      <c r="K72" s="9">
        <v>1.5743055555555556</v>
      </c>
      <c r="L72">
        <v>4</v>
      </c>
      <c r="M72">
        <v>10</v>
      </c>
      <c r="N72">
        <v>0.4</v>
      </c>
      <c r="O72">
        <v>2</v>
      </c>
      <c r="P72">
        <v>6</v>
      </c>
      <c r="Q72">
        <v>0.33300000000000002</v>
      </c>
      <c r="R72">
        <v>2</v>
      </c>
      <c r="S72">
        <v>4</v>
      </c>
      <c r="T72">
        <v>0.5</v>
      </c>
      <c r="U72">
        <v>0.5</v>
      </c>
      <c r="V72">
        <v>1</v>
      </c>
      <c r="W72">
        <v>2</v>
      </c>
      <c r="X72">
        <v>0.5</v>
      </c>
      <c r="Y72">
        <v>0</v>
      </c>
      <c r="Z72">
        <v>6</v>
      </c>
      <c r="AA72">
        <v>6</v>
      </c>
      <c r="AB72">
        <v>3</v>
      </c>
      <c r="AC72">
        <v>0</v>
      </c>
      <c r="AD72">
        <v>3</v>
      </c>
      <c r="AE72">
        <v>1</v>
      </c>
      <c r="AF72">
        <v>3</v>
      </c>
      <c r="AG72">
        <v>11</v>
      </c>
      <c r="AH72">
        <v>9</v>
      </c>
      <c r="AI72">
        <v>23</v>
      </c>
    </row>
    <row r="73" spans="1:35" ht="21" x14ac:dyDescent="0.3">
      <c r="A73" t="s">
        <v>558</v>
      </c>
      <c r="B73" s="11">
        <v>72</v>
      </c>
      <c r="C73">
        <v>299</v>
      </c>
      <c r="D73">
        <v>72</v>
      </c>
      <c r="E73" s="4">
        <v>44640</v>
      </c>
      <c r="F73" t="s">
        <v>99</v>
      </c>
      <c r="G73" t="s">
        <v>37</v>
      </c>
      <c r="H73" t="s">
        <v>66</v>
      </c>
      <c r="I73" t="s">
        <v>334</v>
      </c>
      <c r="J73" t="s">
        <v>41</v>
      </c>
      <c r="K73" s="9">
        <v>2.0902777777777777</v>
      </c>
      <c r="L73">
        <v>9</v>
      </c>
      <c r="M73">
        <v>18</v>
      </c>
      <c r="N73">
        <v>0.5</v>
      </c>
      <c r="O73">
        <v>2</v>
      </c>
      <c r="P73">
        <v>6</v>
      </c>
      <c r="Q73">
        <v>0.33300000000000002</v>
      </c>
      <c r="R73">
        <v>7</v>
      </c>
      <c r="S73">
        <v>12</v>
      </c>
      <c r="T73">
        <v>0.58299999999999996</v>
      </c>
      <c r="U73">
        <v>0.55600000000000005</v>
      </c>
      <c r="V73">
        <v>7</v>
      </c>
      <c r="W73">
        <v>8</v>
      </c>
      <c r="X73">
        <v>0.875</v>
      </c>
      <c r="Y73">
        <v>0</v>
      </c>
      <c r="Z73">
        <v>2</v>
      </c>
      <c r="AA73">
        <v>2</v>
      </c>
      <c r="AB73">
        <v>1</v>
      </c>
      <c r="AC73">
        <v>2</v>
      </c>
      <c r="AD73">
        <v>0</v>
      </c>
      <c r="AE73">
        <v>0</v>
      </c>
      <c r="AF73">
        <v>1</v>
      </c>
      <c r="AG73">
        <v>27</v>
      </c>
      <c r="AH73">
        <v>20.5</v>
      </c>
      <c r="AI73">
        <v>0</v>
      </c>
    </row>
    <row r="74" spans="1:35" ht="21" x14ac:dyDescent="0.3">
      <c r="A74" t="s">
        <v>558</v>
      </c>
      <c r="B74" s="11">
        <v>73</v>
      </c>
      <c r="C74">
        <v>300</v>
      </c>
      <c r="D74">
        <v>73</v>
      </c>
      <c r="E74" s="4">
        <v>44643</v>
      </c>
      <c r="F74" t="s">
        <v>99</v>
      </c>
      <c r="G74" t="s">
        <v>37</v>
      </c>
      <c r="H74" t="s">
        <v>80</v>
      </c>
      <c r="I74" t="s">
        <v>335</v>
      </c>
      <c r="J74" t="s">
        <v>41</v>
      </c>
      <c r="K74" s="9">
        <v>1.6243055555555554</v>
      </c>
      <c r="L74">
        <v>6</v>
      </c>
      <c r="M74">
        <v>11</v>
      </c>
      <c r="N74">
        <v>0.54500000000000004</v>
      </c>
      <c r="O74">
        <v>2</v>
      </c>
      <c r="P74">
        <v>6</v>
      </c>
      <c r="Q74">
        <v>0.33300000000000002</v>
      </c>
      <c r="R74">
        <v>4</v>
      </c>
      <c r="S74">
        <v>5</v>
      </c>
      <c r="T74">
        <v>0.8</v>
      </c>
      <c r="U74">
        <v>0.63600000000000001</v>
      </c>
      <c r="V74">
        <v>2</v>
      </c>
      <c r="W74">
        <v>5</v>
      </c>
      <c r="X74">
        <v>0.4</v>
      </c>
      <c r="Y74">
        <v>1</v>
      </c>
      <c r="Z74">
        <v>5</v>
      </c>
      <c r="AA74">
        <v>6</v>
      </c>
      <c r="AB74">
        <v>3</v>
      </c>
      <c r="AC74">
        <v>1</v>
      </c>
      <c r="AD74">
        <v>0</v>
      </c>
      <c r="AE74">
        <v>0</v>
      </c>
      <c r="AF74">
        <v>1</v>
      </c>
      <c r="AG74">
        <v>16</v>
      </c>
      <c r="AH74">
        <v>14.4</v>
      </c>
      <c r="AI74">
        <v>16</v>
      </c>
    </row>
    <row r="75" spans="1:35" ht="21" x14ac:dyDescent="0.3">
      <c r="A75" t="s">
        <v>558</v>
      </c>
      <c r="B75" s="11">
        <v>74</v>
      </c>
      <c r="C75">
        <v>301</v>
      </c>
      <c r="D75">
        <v>74</v>
      </c>
      <c r="E75" s="4">
        <v>44644</v>
      </c>
      <c r="F75" t="s">
        <v>99</v>
      </c>
      <c r="G75" t="s">
        <v>37</v>
      </c>
      <c r="H75" t="s">
        <v>34</v>
      </c>
      <c r="I75" t="s">
        <v>336</v>
      </c>
      <c r="J75" t="s">
        <v>41</v>
      </c>
      <c r="K75" s="9">
        <v>1.5881944444444445</v>
      </c>
      <c r="L75">
        <v>8</v>
      </c>
      <c r="M75">
        <v>9</v>
      </c>
      <c r="N75">
        <v>0.88900000000000001</v>
      </c>
      <c r="O75">
        <v>3</v>
      </c>
      <c r="P75">
        <v>4</v>
      </c>
      <c r="Q75">
        <v>0.75</v>
      </c>
      <c r="R75">
        <v>5</v>
      </c>
      <c r="S75">
        <v>5</v>
      </c>
      <c r="T75">
        <v>1</v>
      </c>
      <c r="U75">
        <v>1.056</v>
      </c>
      <c r="V75">
        <v>3</v>
      </c>
      <c r="W75">
        <v>3</v>
      </c>
      <c r="X75">
        <v>1</v>
      </c>
      <c r="Y75">
        <v>0</v>
      </c>
      <c r="Z75">
        <v>1</v>
      </c>
      <c r="AA75">
        <v>1</v>
      </c>
      <c r="AB75">
        <v>2</v>
      </c>
      <c r="AC75">
        <v>0</v>
      </c>
      <c r="AD75">
        <v>0</v>
      </c>
      <c r="AE75">
        <v>0</v>
      </c>
      <c r="AF75">
        <v>1</v>
      </c>
      <c r="AG75">
        <v>22</v>
      </c>
      <c r="AH75">
        <v>20.2</v>
      </c>
      <c r="AI75">
        <v>9</v>
      </c>
    </row>
    <row r="76" spans="1:35" ht="21" x14ac:dyDescent="0.3">
      <c r="A76" t="s">
        <v>558</v>
      </c>
      <c r="B76" s="11">
        <v>75</v>
      </c>
      <c r="C76">
        <v>302</v>
      </c>
      <c r="D76">
        <v>75</v>
      </c>
      <c r="E76" s="4">
        <v>44647</v>
      </c>
      <c r="F76" t="s">
        <v>99</v>
      </c>
      <c r="H76" t="s">
        <v>94</v>
      </c>
      <c r="I76" t="s">
        <v>337</v>
      </c>
      <c r="J76" t="s">
        <v>41</v>
      </c>
      <c r="K76" s="9">
        <v>1.7027777777777777</v>
      </c>
      <c r="L76">
        <v>5</v>
      </c>
      <c r="M76">
        <v>11</v>
      </c>
      <c r="N76">
        <v>0.45500000000000002</v>
      </c>
      <c r="O76">
        <v>1</v>
      </c>
      <c r="P76">
        <v>2</v>
      </c>
      <c r="Q76">
        <v>0.5</v>
      </c>
      <c r="R76">
        <v>4</v>
      </c>
      <c r="S76">
        <v>9</v>
      </c>
      <c r="T76">
        <v>0.44400000000000001</v>
      </c>
      <c r="U76">
        <v>0.5</v>
      </c>
      <c r="V76">
        <v>0</v>
      </c>
      <c r="W76">
        <v>0</v>
      </c>
      <c r="Y76">
        <v>0</v>
      </c>
      <c r="Z76">
        <v>5</v>
      </c>
      <c r="AA76">
        <v>5</v>
      </c>
      <c r="AB76">
        <v>1</v>
      </c>
      <c r="AC76">
        <v>1</v>
      </c>
      <c r="AD76">
        <v>2</v>
      </c>
      <c r="AE76">
        <v>3</v>
      </c>
      <c r="AF76">
        <v>0</v>
      </c>
      <c r="AG76">
        <v>11</v>
      </c>
      <c r="AH76">
        <v>6.9</v>
      </c>
      <c r="AI76">
        <v>13</v>
      </c>
    </row>
    <row r="77" spans="1:35" ht="21" x14ac:dyDescent="0.3">
      <c r="A77" t="s">
        <v>558</v>
      </c>
      <c r="B77" s="11">
        <v>76</v>
      </c>
      <c r="C77">
        <v>303</v>
      </c>
      <c r="D77">
        <v>76</v>
      </c>
      <c r="E77" s="4">
        <v>44650</v>
      </c>
      <c r="F77" t="s">
        <v>99</v>
      </c>
      <c r="G77" t="s">
        <v>37</v>
      </c>
      <c r="H77" t="s">
        <v>33</v>
      </c>
      <c r="I77" t="s">
        <v>338</v>
      </c>
      <c r="J77" t="s">
        <v>41</v>
      </c>
      <c r="K77" s="9">
        <v>1.6875</v>
      </c>
      <c r="L77">
        <v>8</v>
      </c>
      <c r="M77">
        <v>14</v>
      </c>
      <c r="N77">
        <v>0.57099999999999995</v>
      </c>
      <c r="O77">
        <v>1</v>
      </c>
      <c r="P77">
        <v>2</v>
      </c>
      <c r="Q77">
        <v>0.5</v>
      </c>
      <c r="R77">
        <v>7</v>
      </c>
      <c r="S77">
        <v>12</v>
      </c>
      <c r="T77">
        <v>0.58299999999999996</v>
      </c>
      <c r="U77">
        <v>0.60699999999999998</v>
      </c>
      <c r="V77">
        <v>5</v>
      </c>
      <c r="W77">
        <v>6</v>
      </c>
      <c r="X77">
        <v>0.83299999999999996</v>
      </c>
      <c r="Y77">
        <v>2</v>
      </c>
      <c r="Z77">
        <v>5</v>
      </c>
      <c r="AA77">
        <v>7</v>
      </c>
      <c r="AB77">
        <v>2</v>
      </c>
      <c r="AC77">
        <v>1</v>
      </c>
      <c r="AD77">
        <v>0</v>
      </c>
      <c r="AE77">
        <v>2</v>
      </c>
      <c r="AF77">
        <v>1</v>
      </c>
      <c r="AG77">
        <v>22</v>
      </c>
      <c r="AH77">
        <v>17.899999999999999</v>
      </c>
      <c r="AI77">
        <v>8</v>
      </c>
    </row>
    <row r="78" spans="1:35" ht="21" x14ac:dyDescent="0.3">
      <c r="A78" t="s">
        <v>558</v>
      </c>
      <c r="B78" s="11">
        <v>77</v>
      </c>
      <c r="C78">
        <v>304</v>
      </c>
      <c r="D78">
        <v>77</v>
      </c>
      <c r="E78" s="4">
        <v>44652</v>
      </c>
      <c r="F78" t="s">
        <v>99</v>
      </c>
      <c r="G78" t="s">
        <v>37</v>
      </c>
      <c r="H78" t="s">
        <v>42</v>
      </c>
      <c r="I78" t="s">
        <v>339</v>
      </c>
      <c r="J78" t="s">
        <v>41</v>
      </c>
      <c r="K78" s="9">
        <v>1.3701388888888888</v>
      </c>
      <c r="L78">
        <v>8</v>
      </c>
      <c r="M78">
        <v>11</v>
      </c>
      <c r="N78">
        <v>0.72699999999999998</v>
      </c>
      <c r="O78">
        <v>1</v>
      </c>
      <c r="P78">
        <v>3</v>
      </c>
      <c r="Q78">
        <v>0.33300000000000002</v>
      </c>
      <c r="R78">
        <v>7</v>
      </c>
      <c r="S78">
        <v>8</v>
      </c>
      <c r="T78">
        <v>0.875</v>
      </c>
      <c r="U78">
        <v>0.77300000000000002</v>
      </c>
      <c r="V78">
        <v>1</v>
      </c>
      <c r="W78">
        <v>2</v>
      </c>
      <c r="X78">
        <v>0.5</v>
      </c>
      <c r="Y78">
        <v>0</v>
      </c>
      <c r="Z78">
        <v>2</v>
      </c>
      <c r="AA78">
        <v>2</v>
      </c>
      <c r="AB78">
        <v>3</v>
      </c>
      <c r="AC78">
        <v>2</v>
      </c>
      <c r="AD78">
        <v>1</v>
      </c>
      <c r="AE78">
        <v>2</v>
      </c>
      <c r="AF78">
        <v>2</v>
      </c>
      <c r="AG78">
        <v>18</v>
      </c>
      <c r="AH78">
        <v>15.7</v>
      </c>
      <c r="AI78">
        <v>-8</v>
      </c>
    </row>
    <row r="79" spans="1:35" ht="21" x14ac:dyDescent="0.3">
      <c r="A79" t="s">
        <v>558</v>
      </c>
      <c r="B79" s="11">
        <v>78</v>
      </c>
      <c r="C79">
        <v>305</v>
      </c>
      <c r="D79">
        <v>78</v>
      </c>
      <c r="E79" s="4">
        <v>44654</v>
      </c>
      <c r="F79" t="s">
        <v>99</v>
      </c>
      <c r="G79" t="s">
        <v>37</v>
      </c>
      <c r="H79" t="s">
        <v>68</v>
      </c>
      <c r="I79" t="s">
        <v>340</v>
      </c>
      <c r="J79" t="s">
        <v>41</v>
      </c>
      <c r="K79" s="9">
        <v>1.2694444444444444</v>
      </c>
      <c r="L79">
        <v>7</v>
      </c>
      <c r="M79">
        <v>17</v>
      </c>
      <c r="N79">
        <v>0.41199999999999998</v>
      </c>
      <c r="O79">
        <v>1</v>
      </c>
      <c r="P79">
        <v>7</v>
      </c>
      <c r="Q79">
        <v>0.14299999999999999</v>
      </c>
      <c r="R79">
        <v>6</v>
      </c>
      <c r="S79">
        <v>10</v>
      </c>
      <c r="T79">
        <v>0.6</v>
      </c>
      <c r="U79">
        <v>0.441</v>
      </c>
      <c r="V79">
        <v>3</v>
      </c>
      <c r="W79">
        <v>3</v>
      </c>
      <c r="X79">
        <v>1</v>
      </c>
      <c r="Y79">
        <v>0</v>
      </c>
      <c r="Z79">
        <v>2</v>
      </c>
      <c r="AA79">
        <v>2</v>
      </c>
      <c r="AB79">
        <v>0</v>
      </c>
      <c r="AC79">
        <v>1</v>
      </c>
      <c r="AD79">
        <v>0</v>
      </c>
      <c r="AE79">
        <v>1</v>
      </c>
      <c r="AF79">
        <v>1</v>
      </c>
      <c r="AG79">
        <v>18</v>
      </c>
      <c r="AH79">
        <v>9.1</v>
      </c>
      <c r="AI79">
        <v>-10</v>
      </c>
    </row>
    <row r="80" spans="1:35" ht="21" x14ac:dyDescent="0.3">
      <c r="A80" t="s">
        <v>558</v>
      </c>
      <c r="B80" s="11">
        <v>79</v>
      </c>
      <c r="C80">
        <v>306</v>
      </c>
      <c r="D80">
        <v>79</v>
      </c>
      <c r="E80" s="4">
        <v>44656</v>
      </c>
      <c r="F80" t="s">
        <v>99</v>
      </c>
      <c r="H80" t="s">
        <v>62</v>
      </c>
      <c r="I80" t="s">
        <v>341</v>
      </c>
      <c r="J80" t="s">
        <v>41</v>
      </c>
      <c r="K80" s="9">
        <v>1.1201388888888888</v>
      </c>
      <c r="L80">
        <v>5</v>
      </c>
      <c r="M80">
        <v>7</v>
      </c>
      <c r="N80">
        <v>0.71399999999999997</v>
      </c>
      <c r="O80">
        <v>0</v>
      </c>
      <c r="P80">
        <v>1</v>
      </c>
      <c r="Q80">
        <v>0</v>
      </c>
      <c r="R80">
        <v>5</v>
      </c>
      <c r="S80">
        <v>6</v>
      </c>
      <c r="T80">
        <v>0.83299999999999996</v>
      </c>
      <c r="U80">
        <v>0.71399999999999997</v>
      </c>
      <c r="V80">
        <v>0</v>
      </c>
      <c r="W80">
        <v>0</v>
      </c>
      <c r="Y80">
        <v>0</v>
      </c>
      <c r="Z80">
        <v>4</v>
      </c>
      <c r="AA80">
        <v>4</v>
      </c>
      <c r="AB80">
        <v>2</v>
      </c>
      <c r="AC80">
        <v>2</v>
      </c>
      <c r="AD80">
        <v>0</v>
      </c>
      <c r="AE80">
        <v>0</v>
      </c>
      <c r="AF80">
        <v>2</v>
      </c>
      <c r="AG80">
        <v>10</v>
      </c>
      <c r="AH80">
        <v>10.9</v>
      </c>
      <c r="AI80">
        <v>17</v>
      </c>
    </row>
    <row r="81" spans="1:35" ht="21" x14ac:dyDescent="0.3">
      <c r="A81" t="s">
        <v>558</v>
      </c>
      <c r="B81" s="11">
        <v>80</v>
      </c>
      <c r="C81">
        <v>307</v>
      </c>
      <c r="D81">
        <v>80</v>
      </c>
      <c r="E81" s="4">
        <v>44657</v>
      </c>
      <c r="F81" t="s">
        <v>99</v>
      </c>
      <c r="G81" t="s">
        <v>37</v>
      </c>
      <c r="H81" t="s">
        <v>64</v>
      </c>
      <c r="I81" t="s">
        <v>342</v>
      </c>
      <c r="J81" t="s">
        <v>41</v>
      </c>
      <c r="K81" s="7">
        <v>0.89930555555555558</v>
      </c>
      <c r="L81">
        <v>3</v>
      </c>
      <c r="M81">
        <v>7</v>
      </c>
      <c r="N81">
        <v>0.42899999999999999</v>
      </c>
      <c r="O81">
        <v>1</v>
      </c>
      <c r="P81">
        <v>2</v>
      </c>
      <c r="Q81">
        <v>0.5</v>
      </c>
      <c r="R81">
        <v>2</v>
      </c>
      <c r="S81">
        <v>5</v>
      </c>
      <c r="T81">
        <v>0.4</v>
      </c>
      <c r="U81">
        <v>0.5</v>
      </c>
      <c r="V81">
        <v>2</v>
      </c>
      <c r="W81">
        <v>2</v>
      </c>
      <c r="X81">
        <v>1</v>
      </c>
      <c r="Y81">
        <v>1</v>
      </c>
      <c r="Z81">
        <v>2</v>
      </c>
      <c r="AA81">
        <v>3</v>
      </c>
      <c r="AB81">
        <v>1</v>
      </c>
      <c r="AC81">
        <v>1</v>
      </c>
      <c r="AD81">
        <v>0</v>
      </c>
      <c r="AE81">
        <v>2</v>
      </c>
      <c r="AF81">
        <v>0</v>
      </c>
      <c r="AG81">
        <v>9</v>
      </c>
      <c r="AH81">
        <v>6.3</v>
      </c>
      <c r="AI81">
        <v>-32</v>
      </c>
    </row>
    <row r="82" spans="1:35" ht="21" x14ac:dyDescent="0.3">
      <c r="A82" t="s">
        <v>558</v>
      </c>
      <c r="B82" s="11">
        <v>81</v>
      </c>
      <c r="C82">
        <v>308</v>
      </c>
      <c r="D82">
        <v>81</v>
      </c>
      <c r="E82" s="4">
        <v>44659</v>
      </c>
      <c r="F82" t="s">
        <v>99</v>
      </c>
      <c r="G82" t="s">
        <v>37</v>
      </c>
      <c r="H82" t="s">
        <v>118</v>
      </c>
      <c r="I82" t="s">
        <v>343</v>
      </c>
      <c r="J82" t="s">
        <v>41</v>
      </c>
      <c r="K82" s="9">
        <v>1.4145833333333333</v>
      </c>
      <c r="L82">
        <v>7</v>
      </c>
      <c r="M82">
        <v>10</v>
      </c>
      <c r="N82">
        <v>0.7</v>
      </c>
      <c r="O82">
        <v>0</v>
      </c>
      <c r="P82">
        <v>1</v>
      </c>
      <c r="Q82">
        <v>0</v>
      </c>
      <c r="R82">
        <v>7</v>
      </c>
      <c r="S82">
        <v>9</v>
      </c>
      <c r="T82">
        <v>0.77800000000000002</v>
      </c>
      <c r="U82">
        <v>0.7</v>
      </c>
      <c r="V82">
        <v>4</v>
      </c>
      <c r="W82">
        <v>4</v>
      </c>
      <c r="X82">
        <v>1</v>
      </c>
      <c r="Y82">
        <v>0</v>
      </c>
      <c r="Z82">
        <v>4</v>
      </c>
      <c r="AA82">
        <v>4</v>
      </c>
      <c r="AB82">
        <v>2</v>
      </c>
      <c r="AC82">
        <v>0</v>
      </c>
      <c r="AD82">
        <v>0</v>
      </c>
      <c r="AE82">
        <v>0</v>
      </c>
      <c r="AF82">
        <v>2</v>
      </c>
      <c r="AG82">
        <v>18</v>
      </c>
      <c r="AH82">
        <v>15.6</v>
      </c>
      <c r="AI82">
        <v>27</v>
      </c>
    </row>
    <row r="83" spans="1:35" ht="21" x14ac:dyDescent="0.3">
      <c r="A83" t="s">
        <v>558</v>
      </c>
      <c r="B83" s="11">
        <v>82</v>
      </c>
      <c r="C83">
        <v>309</v>
      </c>
      <c r="D83">
        <v>82</v>
      </c>
      <c r="E83" s="4">
        <v>44661</v>
      </c>
      <c r="F83" t="s">
        <v>99</v>
      </c>
      <c r="H83" t="s">
        <v>66</v>
      </c>
      <c r="I83" t="s">
        <v>344</v>
      </c>
      <c r="J83" t="s">
        <v>41</v>
      </c>
      <c r="K83" s="7">
        <v>0.24374999999999999</v>
      </c>
      <c r="L83">
        <v>0</v>
      </c>
      <c r="M83">
        <v>2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Y83">
        <v>0</v>
      </c>
      <c r="Z83">
        <v>1</v>
      </c>
      <c r="AA83">
        <v>1</v>
      </c>
      <c r="AB83">
        <v>2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-0.7</v>
      </c>
      <c r="AI83">
        <v>-8</v>
      </c>
    </row>
    <row r="84" spans="1:35" ht="21" x14ac:dyDescent="0.3">
      <c r="A84" t="s">
        <v>558</v>
      </c>
      <c r="B84" s="11">
        <v>1</v>
      </c>
      <c r="C84">
        <v>23</v>
      </c>
      <c r="D84">
        <v>1</v>
      </c>
      <c r="E84" s="4">
        <v>44668</v>
      </c>
      <c r="F84" t="s">
        <v>99</v>
      </c>
      <c r="H84" t="s">
        <v>74</v>
      </c>
      <c r="I84" t="s">
        <v>345</v>
      </c>
      <c r="J84" t="s">
        <v>41</v>
      </c>
      <c r="K84" s="9">
        <v>1.5833333333333333</v>
      </c>
      <c r="L84">
        <v>4</v>
      </c>
      <c r="M84">
        <v>9</v>
      </c>
      <c r="N84">
        <v>0.44400000000000001</v>
      </c>
      <c r="O84">
        <v>0</v>
      </c>
      <c r="P84">
        <v>3</v>
      </c>
      <c r="Q84">
        <v>0</v>
      </c>
      <c r="R84">
        <v>4</v>
      </c>
      <c r="S84">
        <v>6</v>
      </c>
      <c r="T84">
        <v>0.66700000000000004</v>
      </c>
      <c r="U84">
        <v>0.44400000000000001</v>
      </c>
      <c r="V84">
        <v>3</v>
      </c>
      <c r="W84">
        <v>4</v>
      </c>
      <c r="X84">
        <v>0.75</v>
      </c>
      <c r="Y84">
        <v>0</v>
      </c>
      <c r="Z84">
        <v>5</v>
      </c>
      <c r="AA84">
        <v>5</v>
      </c>
      <c r="AB84">
        <v>3</v>
      </c>
      <c r="AC84">
        <v>0</v>
      </c>
      <c r="AD84">
        <v>2</v>
      </c>
      <c r="AE84">
        <v>0</v>
      </c>
      <c r="AF84">
        <v>4</v>
      </c>
      <c r="AG84">
        <v>11</v>
      </c>
      <c r="AH84">
        <v>9.3000000000000007</v>
      </c>
      <c r="AI84">
        <v>4</v>
      </c>
    </row>
    <row r="85" spans="1:35" ht="21" x14ac:dyDescent="0.3">
      <c r="A85" t="s">
        <v>558</v>
      </c>
      <c r="B85" s="11">
        <v>2</v>
      </c>
      <c r="C85">
        <v>24</v>
      </c>
      <c r="D85">
        <v>2</v>
      </c>
      <c r="E85" s="4">
        <v>44670</v>
      </c>
      <c r="F85" t="s">
        <v>99</v>
      </c>
      <c r="H85" t="s">
        <v>74</v>
      </c>
      <c r="I85" t="s">
        <v>346</v>
      </c>
      <c r="J85" t="s">
        <v>41</v>
      </c>
      <c r="K85" s="9">
        <v>1.6868055555555554</v>
      </c>
      <c r="L85">
        <v>7</v>
      </c>
      <c r="M85">
        <v>11</v>
      </c>
      <c r="N85">
        <v>0.63600000000000001</v>
      </c>
      <c r="O85">
        <v>2</v>
      </c>
      <c r="P85">
        <v>3</v>
      </c>
      <c r="Q85">
        <v>0.66700000000000004</v>
      </c>
      <c r="R85">
        <v>5</v>
      </c>
      <c r="S85">
        <v>8</v>
      </c>
      <c r="T85">
        <v>0.625</v>
      </c>
      <c r="U85">
        <v>0.72699999999999998</v>
      </c>
      <c r="V85">
        <v>3</v>
      </c>
      <c r="W85">
        <v>4</v>
      </c>
      <c r="X85">
        <v>0.75</v>
      </c>
      <c r="Y85">
        <v>2</v>
      </c>
      <c r="Z85">
        <v>4</v>
      </c>
      <c r="AA85">
        <v>6</v>
      </c>
      <c r="AB85">
        <v>2</v>
      </c>
      <c r="AC85">
        <v>1</v>
      </c>
      <c r="AD85">
        <v>1</v>
      </c>
      <c r="AE85">
        <v>2</v>
      </c>
      <c r="AF85">
        <v>3</v>
      </c>
      <c r="AG85">
        <v>19</v>
      </c>
      <c r="AH85">
        <v>16.2</v>
      </c>
      <c r="AI85">
        <v>-8</v>
      </c>
    </row>
    <row r="86" spans="1:35" ht="21" x14ac:dyDescent="0.3">
      <c r="A86" t="s">
        <v>558</v>
      </c>
      <c r="B86" s="11">
        <v>3</v>
      </c>
      <c r="C86">
        <v>25</v>
      </c>
      <c r="D86">
        <v>3</v>
      </c>
      <c r="E86" s="4">
        <v>44673</v>
      </c>
      <c r="F86" t="s">
        <v>99</v>
      </c>
      <c r="G86" t="s">
        <v>37</v>
      </c>
      <c r="H86" t="s">
        <v>74</v>
      </c>
      <c r="I86" t="s">
        <v>347</v>
      </c>
      <c r="J86" t="s">
        <v>41</v>
      </c>
      <c r="K86" s="9">
        <v>1.6805555555555556</v>
      </c>
      <c r="L86">
        <v>4</v>
      </c>
      <c r="M86">
        <v>9</v>
      </c>
      <c r="N86">
        <v>0.44400000000000001</v>
      </c>
      <c r="O86">
        <v>0</v>
      </c>
      <c r="P86">
        <v>1</v>
      </c>
      <c r="Q86">
        <v>0</v>
      </c>
      <c r="R86">
        <v>4</v>
      </c>
      <c r="S86">
        <v>8</v>
      </c>
      <c r="T86">
        <v>0.5</v>
      </c>
      <c r="U86">
        <v>0.44400000000000001</v>
      </c>
      <c r="V86">
        <v>9</v>
      </c>
      <c r="W86">
        <v>9</v>
      </c>
      <c r="X86">
        <v>1</v>
      </c>
      <c r="Y86">
        <v>0</v>
      </c>
      <c r="Z86">
        <v>2</v>
      </c>
      <c r="AA86">
        <v>2</v>
      </c>
      <c r="AB86">
        <v>2</v>
      </c>
      <c r="AC86">
        <v>1</v>
      </c>
      <c r="AD86">
        <v>1</v>
      </c>
      <c r="AE86">
        <v>1</v>
      </c>
      <c r="AF86">
        <v>3</v>
      </c>
      <c r="AG86">
        <v>17</v>
      </c>
      <c r="AH86">
        <v>13.8</v>
      </c>
      <c r="AI86">
        <v>10</v>
      </c>
    </row>
    <row r="87" spans="1:35" ht="21" x14ac:dyDescent="0.3">
      <c r="A87" t="s">
        <v>558</v>
      </c>
      <c r="B87" s="11">
        <v>4</v>
      </c>
      <c r="C87">
        <v>26</v>
      </c>
      <c r="D87">
        <v>4</v>
      </c>
      <c r="E87" s="4">
        <v>44675</v>
      </c>
      <c r="F87" t="s">
        <v>99</v>
      </c>
      <c r="G87" t="s">
        <v>37</v>
      </c>
      <c r="H87" t="s">
        <v>74</v>
      </c>
      <c r="I87" t="s">
        <v>348</v>
      </c>
      <c r="J87" t="s">
        <v>41</v>
      </c>
      <c r="K87" s="9">
        <v>1.71875</v>
      </c>
      <c r="L87">
        <v>4</v>
      </c>
      <c r="M87">
        <v>11</v>
      </c>
      <c r="N87">
        <v>0.36399999999999999</v>
      </c>
      <c r="O87">
        <v>0</v>
      </c>
      <c r="P87">
        <v>2</v>
      </c>
      <c r="Q87">
        <v>0</v>
      </c>
      <c r="R87">
        <v>4</v>
      </c>
      <c r="S87">
        <v>9</v>
      </c>
      <c r="T87">
        <v>0.44400000000000001</v>
      </c>
      <c r="U87">
        <v>0.36399999999999999</v>
      </c>
      <c r="V87">
        <v>0</v>
      </c>
      <c r="W87">
        <v>0</v>
      </c>
      <c r="Y87">
        <v>1</v>
      </c>
      <c r="Z87">
        <v>5</v>
      </c>
      <c r="AA87">
        <v>6</v>
      </c>
      <c r="AB87">
        <v>5</v>
      </c>
      <c r="AC87">
        <v>0</v>
      </c>
      <c r="AD87">
        <v>1</v>
      </c>
      <c r="AE87">
        <v>0</v>
      </c>
      <c r="AF87">
        <v>3</v>
      </c>
      <c r="AG87">
        <v>8</v>
      </c>
      <c r="AH87">
        <v>7.1</v>
      </c>
      <c r="AI87">
        <v>-15</v>
      </c>
    </row>
    <row r="88" spans="1:35" ht="21" x14ac:dyDescent="0.3">
      <c r="A88" t="s">
        <v>558</v>
      </c>
      <c r="B88" s="11">
        <v>5</v>
      </c>
      <c r="C88">
        <v>27</v>
      </c>
      <c r="D88">
        <v>5</v>
      </c>
      <c r="E88" s="4">
        <v>44677</v>
      </c>
      <c r="F88" t="s">
        <v>99</v>
      </c>
      <c r="H88" t="s">
        <v>74</v>
      </c>
      <c r="I88" t="s">
        <v>152</v>
      </c>
      <c r="J88" t="s">
        <v>41</v>
      </c>
      <c r="K88" s="9">
        <v>1.9541666666666666</v>
      </c>
      <c r="L88">
        <v>12</v>
      </c>
      <c r="M88">
        <v>17</v>
      </c>
      <c r="N88">
        <v>0.70599999999999996</v>
      </c>
      <c r="O88">
        <v>4</v>
      </c>
      <c r="P88">
        <v>4</v>
      </c>
      <c r="Q88">
        <v>1</v>
      </c>
      <c r="R88">
        <v>8</v>
      </c>
      <c r="S88">
        <v>13</v>
      </c>
      <c r="T88">
        <v>0.61499999999999999</v>
      </c>
      <c r="U88">
        <v>0.82399999999999995</v>
      </c>
      <c r="V88">
        <v>3</v>
      </c>
      <c r="W88">
        <v>3</v>
      </c>
      <c r="X88">
        <v>1</v>
      </c>
      <c r="Y88">
        <v>0</v>
      </c>
      <c r="Z88">
        <v>5</v>
      </c>
      <c r="AA88">
        <v>5</v>
      </c>
      <c r="AB88">
        <v>2</v>
      </c>
      <c r="AC88">
        <v>1</v>
      </c>
      <c r="AD88">
        <v>4</v>
      </c>
      <c r="AE88">
        <v>1</v>
      </c>
      <c r="AF88">
        <v>1</v>
      </c>
      <c r="AG88">
        <v>31</v>
      </c>
      <c r="AH88">
        <v>29.2</v>
      </c>
      <c r="AI88">
        <v>13</v>
      </c>
    </row>
    <row r="89" spans="1:35" ht="21" x14ac:dyDescent="0.3">
      <c r="A89" t="s">
        <v>558</v>
      </c>
      <c r="B89" s="11">
        <v>6</v>
      </c>
      <c r="C89">
        <v>28</v>
      </c>
      <c r="D89">
        <v>6</v>
      </c>
      <c r="E89" s="4">
        <v>44679</v>
      </c>
      <c r="F89" t="s">
        <v>99</v>
      </c>
      <c r="G89" t="s">
        <v>37</v>
      </c>
      <c r="H89" t="s">
        <v>74</v>
      </c>
      <c r="I89" t="s">
        <v>309</v>
      </c>
      <c r="J89" t="s">
        <v>41</v>
      </c>
      <c r="K89" s="9">
        <v>1.8374999999999999</v>
      </c>
      <c r="L89">
        <v>7</v>
      </c>
      <c r="M89">
        <v>12</v>
      </c>
      <c r="N89">
        <v>0.58299999999999996</v>
      </c>
      <c r="O89">
        <v>2</v>
      </c>
      <c r="P89">
        <v>2</v>
      </c>
      <c r="Q89">
        <v>1</v>
      </c>
      <c r="R89">
        <v>5</v>
      </c>
      <c r="S89">
        <v>10</v>
      </c>
      <c r="T89">
        <v>0.5</v>
      </c>
      <c r="U89">
        <v>0.66700000000000004</v>
      </c>
      <c r="V89">
        <v>2</v>
      </c>
      <c r="W89">
        <v>2</v>
      </c>
      <c r="X89">
        <v>1</v>
      </c>
      <c r="Y89">
        <v>0</v>
      </c>
      <c r="Z89">
        <v>3</v>
      </c>
      <c r="AA89">
        <v>3</v>
      </c>
      <c r="AB89">
        <v>2</v>
      </c>
      <c r="AC89">
        <v>2</v>
      </c>
      <c r="AD89">
        <v>0</v>
      </c>
      <c r="AE89">
        <v>4</v>
      </c>
      <c r="AF89">
        <v>1</v>
      </c>
      <c r="AG89">
        <v>18</v>
      </c>
      <c r="AH89">
        <v>12.3</v>
      </c>
      <c r="AI89">
        <v>7</v>
      </c>
    </row>
    <row r="90" spans="1:35" ht="21" x14ac:dyDescent="0.3">
      <c r="A90" t="s">
        <v>558</v>
      </c>
      <c r="B90" s="11">
        <v>7</v>
      </c>
      <c r="C90">
        <v>29</v>
      </c>
      <c r="D90">
        <v>7</v>
      </c>
      <c r="E90" s="4">
        <v>44683</v>
      </c>
      <c r="F90" t="s">
        <v>99</v>
      </c>
      <c r="H90" t="s">
        <v>49</v>
      </c>
      <c r="I90" t="s">
        <v>63</v>
      </c>
      <c r="J90" t="s">
        <v>41</v>
      </c>
      <c r="K90" s="9">
        <v>1.7611111111111111</v>
      </c>
      <c r="L90">
        <v>4</v>
      </c>
      <c r="M90">
        <v>9</v>
      </c>
      <c r="N90">
        <v>0.44400000000000001</v>
      </c>
      <c r="O90">
        <v>1</v>
      </c>
      <c r="P90">
        <v>3</v>
      </c>
      <c r="Q90">
        <v>0.33300000000000002</v>
      </c>
      <c r="R90">
        <v>3</v>
      </c>
      <c r="S90">
        <v>6</v>
      </c>
      <c r="T90">
        <v>0.5</v>
      </c>
      <c r="U90">
        <v>0.5</v>
      </c>
      <c r="V90">
        <v>4</v>
      </c>
      <c r="W90">
        <v>4</v>
      </c>
      <c r="X90">
        <v>1</v>
      </c>
      <c r="Y90">
        <v>3</v>
      </c>
      <c r="Z90">
        <v>4</v>
      </c>
      <c r="AA90">
        <v>7</v>
      </c>
      <c r="AB90">
        <v>4</v>
      </c>
      <c r="AC90">
        <v>1</v>
      </c>
      <c r="AD90">
        <v>2</v>
      </c>
      <c r="AE90">
        <v>0</v>
      </c>
      <c r="AF90">
        <v>5</v>
      </c>
      <c r="AG90">
        <v>13</v>
      </c>
      <c r="AH90">
        <v>14.8</v>
      </c>
      <c r="AI90">
        <v>7</v>
      </c>
    </row>
    <row r="91" spans="1:35" ht="21" x14ac:dyDescent="0.3">
      <c r="A91" t="s">
        <v>558</v>
      </c>
      <c r="B91" s="11">
        <v>8</v>
      </c>
      <c r="C91">
        <v>30</v>
      </c>
      <c r="D91">
        <v>8</v>
      </c>
      <c r="E91" s="4">
        <v>44685</v>
      </c>
      <c r="F91" t="s">
        <v>99</v>
      </c>
      <c r="H91" t="s">
        <v>49</v>
      </c>
      <c r="I91" t="s">
        <v>349</v>
      </c>
      <c r="J91" t="s">
        <v>41</v>
      </c>
      <c r="K91" s="9">
        <v>1.6215277777777777</v>
      </c>
      <c r="L91">
        <v>5</v>
      </c>
      <c r="M91">
        <v>6</v>
      </c>
      <c r="N91">
        <v>0.83299999999999996</v>
      </c>
      <c r="O91">
        <v>1</v>
      </c>
      <c r="P91">
        <v>2</v>
      </c>
      <c r="Q91">
        <v>0.5</v>
      </c>
      <c r="R91">
        <v>4</v>
      </c>
      <c r="S91">
        <v>4</v>
      </c>
      <c r="T91">
        <v>1</v>
      </c>
      <c r="U91">
        <v>0.91700000000000004</v>
      </c>
      <c r="V91">
        <v>0</v>
      </c>
      <c r="W91">
        <v>0</v>
      </c>
      <c r="Y91">
        <v>1</v>
      </c>
      <c r="Z91">
        <v>2</v>
      </c>
      <c r="AA91">
        <v>3</v>
      </c>
      <c r="AB91">
        <v>6</v>
      </c>
      <c r="AC91">
        <v>2</v>
      </c>
      <c r="AD91">
        <v>0</v>
      </c>
      <c r="AE91">
        <v>0</v>
      </c>
      <c r="AF91">
        <v>1</v>
      </c>
      <c r="AG91">
        <v>11</v>
      </c>
      <c r="AH91">
        <v>15.9</v>
      </c>
      <c r="AI91">
        <v>31</v>
      </c>
    </row>
    <row r="92" spans="1:35" ht="21" x14ac:dyDescent="0.3">
      <c r="A92" t="s">
        <v>558</v>
      </c>
      <c r="B92" s="11">
        <v>9</v>
      </c>
      <c r="C92">
        <v>31</v>
      </c>
      <c r="D92">
        <v>9</v>
      </c>
      <c r="E92" s="4">
        <v>44687</v>
      </c>
      <c r="F92" t="s">
        <v>99</v>
      </c>
      <c r="G92" t="s">
        <v>37</v>
      </c>
      <c r="H92" t="s">
        <v>49</v>
      </c>
      <c r="I92" t="s">
        <v>350</v>
      </c>
      <c r="J92" t="s">
        <v>41</v>
      </c>
      <c r="K92" s="9">
        <v>1.5847222222222221</v>
      </c>
      <c r="L92">
        <v>5</v>
      </c>
      <c r="M92">
        <v>14</v>
      </c>
      <c r="N92">
        <v>0.35699999999999998</v>
      </c>
      <c r="O92">
        <v>0</v>
      </c>
      <c r="P92">
        <v>2</v>
      </c>
      <c r="Q92">
        <v>0</v>
      </c>
      <c r="R92">
        <v>5</v>
      </c>
      <c r="S92">
        <v>12</v>
      </c>
      <c r="T92">
        <v>0.41699999999999998</v>
      </c>
      <c r="U92">
        <v>0.35699999999999998</v>
      </c>
      <c r="V92">
        <v>2</v>
      </c>
      <c r="W92">
        <v>2</v>
      </c>
      <c r="X92">
        <v>1</v>
      </c>
      <c r="Y92">
        <v>2</v>
      </c>
      <c r="Z92">
        <v>4</v>
      </c>
      <c r="AA92">
        <v>6</v>
      </c>
      <c r="AB92">
        <v>2</v>
      </c>
      <c r="AC92">
        <v>1</v>
      </c>
      <c r="AD92">
        <v>1</v>
      </c>
      <c r="AE92">
        <v>1</v>
      </c>
      <c r="AF92">
        <v>2</v>
      </c>
      <c r="AG92">
        <v>12</v>
      </c>
      <c r="AH92">
        <v>8.1</v>
      </c>
      <c r="AI92">
        <v>-12</v>
      </c>
    </row>
    <row r="93" spans="1:35" ht="21" x14ac:dyDescent="0.3">
      <c r="A93" t="s">
        <v>558</v>
      </c>
      <c r="B93" s="11">
        <v>10</v>
      </c>
      <c r="C93">
        <v>32</v>
      </c>
      <c r="D93">
        <v>10</v>
      </c>
      <c r="E93" s="4">
        <v>44689</v>
      </c>
      <c r="F93" t="s">
        <v>99</v>
      </c>
      <c r="G93" t="s">
        <v>37</v>
      </c>
      <c r="H93" t="s">
        <v>49</v>
      </c>
      <c r="I93" t="s">
        <v>351</v>
      </c>
      <c r="J93" t="s">
        <v>41</v>
      </c>
      <c r="K93" s="9">
        <v>1.3423611111111111</v>
      </c>
      <c r="L93">
        <v>3</v>
      </c>
      <c r="M93">
        <v>9</v>
      </c>
      <c r="N93">
        <v>0.33300000000000002</v>
      </c>
      <c r="O93">
        <v>0</v>
      </c>
      <c r="P93">
        <v>2</v>
      </c>
      <c r="Q93">
        <v>0</v>
      </c>
      <c r="R93">
        <v>3</v>
      </c>
      <c r="S93">
        <v>7</v>
      </c>
      <c r="T93">
        <v>0.42899999999999999</v>
      </c>
      <c r="U93">
        <v>0.33300000000000002</v>
      </c>
      <c r="V93">
        <v>0</v>
      </c>
      <c r="W93">
        <v>0</v>
      </c>
      <c r="Y93">
        <v>1</v>
      </c>
      <c r="Z93">
        <v>3</v>
      </c>
      <c r="AA93">
        <v>4</v>
      </c>
      <c r="AB93">
        <v>2</v>
      </c>
      <c r="AC93">
        <v>1</v>
      </c>
      <c r="AD93">
        <v>0</v>
      </c>
      <c r="AE93">
        <v>0</v>
      </c>
      <c r="AF93">
        <v>4</v>
      </c>
      <c r="AG93">
        <v>6</v>
      </c>
      <c r="AH93">
        <v>3.3</v>
      </c>
      <c r="AI93">
        <v>-7</v>
      </c>
    </row>
    <row r="94" spans="1:35" ht="21" x14ac:dyDescent="0.3">
      <c r="A94" t="s">
        <v>558</v>
      </c>
      <c r="B94" s="11">
        <v>11</v>
      </c>
      <c r="C94">
        <v>33</v>
      </c>
      <c r="D94">
        <v>11</v>
      </c>
      <c r="E94" s="4">
        <v>44691</v>
      </c>
      <c r="F94" t="s">
        <v>99</v>
      </c>
      <c r="H94" t="s">
        <v>49</v>
      </c>
      <c r="I94" t="s">
        <v>352</v>
      </c>
      <c r="J94" t="s">
        <v>41</v>
      </c>
      <c r="K94" s="9">
        <v>1.4013888888888888</v>
      </c>
      <c r="L94">
        <v>6</v>
      </c>
      <c r="M94">
        <v>13</v>
      </c>
      <c r="N94">
        <v>0.46200000000000002</v>
      </c>
      <c r="O94">
        <v>2</v>
      </c>
      <c r="P94">
        <v>5</v>
      </c>
      <c r="Q94">
        <v>0.4</v>
      </c>
      <c r="R94">
        <v>4</v>
      </c>
      <c r="S94">
        <v>8</v>
      </c>
      <c r="T94">
        <v>0.5</v>
      </c>
      <c r="U94">
        <v>0.53800000000000003</v>
      </c>
      <c r="V94">
        <v>0</v>
      </c>
      <c r="W94">
        <v>0</v>
      </c>
      <c r="Y94">
        <v>1</v>
      </c>
      <c r="Z94">
        <v>6</v>
      </c>
      <c r="AA94">
        <v>7</v>
      </c>
      <c r="AB94">
        <v>1</v>
      </c>
      <c r="AC94">
        <v>4</v>
      </c>
      <c r="AD94">
        <v>0</v>
      </c>
      <c r="AE94">
        <v>0</v>
      </c>
      <c r="AF94">
        <v>2</v>
      </c>
      <c r="AG94">
        <v>14</v>
      </c>
      <c r="AH94">
        <v>13.7</v>
      </c>
      <c r="AI94">
        <v>23</v>
      </c>
    </row>
    <row r="95" spans="1:35" ht="21" x14ac:dyDescent="0.3">
      <c r="A95" t="s">
        <v>558</v>
      </c>
      <c r="B95" s="11">
        <v>12</v>
      </c>
      <c r="C95">
        <v>34</v>
      </c>
      <c r="D95">
        <v>12</v>
      </c>
      <c r="E95" s="4">
        <v>44693</v>
      </c>
      <c r="F95" t="s">
        <v>99</v>
      </c>
      <c r="G95" t="s">
        <v>37</v>
      </c>
      <c r="H95" t="s">
        <v>49</v>
      </c>
      <c r="I95" t="s">
        <v>353</v>
      </c>
      <c r="J95" t="s">
        <v>41</v>
      </c>
      <c r="K95" s="9">
        <v>1.2875000000000001</v>
      </c>
      <c r="L95">
        <v>2</v>
      </c>
      <c r="M95">
        <v>7</v>
      </c>
      <c r="N95">
        <v>0.28599999999999998</v>
      </c>
      <c r="O95">
        <v>1</v>
      </c>
      <c r="P95">
        <v>1</v>
      </c>
      <c r="Q95">
        <v>1</v>
      </c>
      <c r="R95">
        <v>1</v>
      </c>
      <c r="S95">
        <v>6</v>
      </c>
      <c r="T95">
        <v>0.16700000000000001</v>
      </c>
      <c r="U95">
        <v>0.35699999999999998</v>
      </c>
      <c r="V95">
        <v>2</v>
      </c>
      <c r="W95">
        <v>2</v>
      </c>
      <c r="X95">
        <v>1</v>
      </c>
      <c r="Y95">
        <v>1</v>
      </c>
      <c r="Z95">
        <v>4</v>
      </c>
      <c r="AA95">
        <v>5</v>
      </c>
      <c r="AB95">
        <v>5</v>
      </c>
      <c r="AC95">
        <v>0</v>
      </c>
      <c r="AD95">
        <v>1</v>
      </c>
      <c r="AE95">
        <v>2</v>
      </c>
      <c r="AF95">
        <v>1</v>
      </c>
      <c r="AG95">
        <v>7</v>
      </c>
      <c r="AH95">
        <v>6.6</v>
      </c>
      <c r="AI95">
        <v>-18</v>
      </c>
    </row>
    <row r="96" spans="1:35" ht="21" x14ac:dyDescent="0.3">
      <c r="A96" t="s">
        <v>558</v>
      </c>
      <c r="B96" s="11">
        <v>13</v>
      </c>
      <c r="C96">
        <v>35</v>
      </c>
      <c r="D96">
        <v>13</v>
      </c>
      <c r="E96" s="4">
        <v>44696</v>
      </c>
      <c r="F96" t="s">
        <v>99</v>
      </c>
      <c r="H96" t="s">
        <v>49</v>
      </c>
      <c r="I96" t="s">
        <v>354</v>
      </c>
      <c r="J96" t="s">
        <v>41</v>
      </c>
      <c r="K96" s="9">
        <v>1.3875</v>
      </c>
      <c r="L96">
        <v>3</v>
      </c>
      <c r="M96">
        <v>11</v>
      </c>
      <c r="N96">
        <v>0.27300000000000002</v>
      </c>
      <c r="O96">
        <v>0</v>
      </c>
      <c r="P96">
        <v>3</v>
      </c>
      <c r="Q96">
        <v>0</v>
      </c>
      <c r="R96">
        <v>3</v>
      </c>
      <c r="S96">
        <v>8</v>
      </c>
      <c r="T96">
        <v>0.375</v>
      </c>
      <c r="U96">
        <v>0.27300000000000002</v>
      </c>
      <c r="V96">
        <v>0</v>
      </c>
      <c r="W96">
        <v>0</v>
      </c>
      <c r="Y96">
        <v>0</v>
      </c>
      <c r="Z96">
        <v>2</v>
      </c>
      <c r="AA96">
        <v>2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6</v>
      </c>
      <c r="AH96">
        <v>0.4</v>
      </c>
      <c r="AI96">
        <v>-40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ED69-20C5-794F-9BA2-7B117245F5CD}">
  <dimension ref="A1:AI83"/>
  <sheetViews>
    <sheetView workbookViewId="0">
      <selection activeCell="H2" sqref="H2:H83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559</v>
      </c>
      <c r="B2" s="11">
        <v>1</v>
      </c>
      <c r="C2">
        <v>707</v>
      </c>
      <c r="D2">
        <v>1</v>
      </c>
      <c r="E2" s="4">
        <v>44490</v>
      </c>
      <c r="F2" t="s">
        <v>64</v>
      </c>
      <c r="G2" t="s">
        <v>37</v>
      </c>
      <c r="H2" t="s">
        <v>33</v>
      </c>
      <c r="I2" t="s">
        <v>368</v>
      </c>
      <c r="J2" t="s">
        <v>41</v>
      </c>
      <c r="K2" s="9">
        <v>1.5229166666666667</v>
      </c>
      <c r="L2">
        <v>12</v>
      </c>
      <c r="M2">
        <v>23</v>
      </c>
      <c r="N2">
        <v>0.52200000000000002</v>
      </c>
      <c r="O2">
        <v>5</v>
      </c>
      <c r="P2">
        <v>11</v>
      </c>
      <c r="Q2">
        <v>0.45500000000000002</v>
      </c>
      <c r="R2">
        <v>7</v>
      </c>
      <c r="S2">
        <v>12</v>
      </c>
      <c r="T2">
        <v>0.58299999999999996</v>
      </c>
      <c r="U2">
        <v>0.63</v>
      </c>
      <c r="V2">
        <v>0</v>
      </c>
      <c r="W2">
        <v>0</v>
      </c>
      <c r="Y2">
        <v>1</v>
      </c>
      <c r="Z2">
        <v>10</v>
      </c>
      <c r="AA2">
        <v>11</v>
      </c>
      <c r="AB2">
        <v>6</v>
      </c>
      <c r="AC2">
        <v>2</v>
      </c>
      <c r="AD2">
        <v>0</v>
      </c>
      <c r="AE2">
        <v>3</v>
      </c>
      <c r="AF2">
        <v>3</v>
      </c>
      <c r="AG2">
        <v>29</v>
      </c>
      <c r="AH2">
        <v>23.4</v>
      </c>
      <c r="AI2">
        <v>3</v>
      </c>
    </row>
    <row r="3" spans="1:35" ht="21" x14ac:dyDescent="0.3">
      <c r="A3" t="s">
        <v>559</v>
      </c>
      <c r="B3" s="11">
        <v>2</v>
      </c>
      <c r="C3">
        <v>708</v>
      </c>
      <c r="D3">
        <v>2</v>
      </c>
      <c r="E3" s="4">
        <v>44492</v>
      </c>
      <c r="F3" t="s">
        <v>64</v>
      </c>
      <c r="H3" t="s">
        <v>42</v>
      </c>
      <c r="I3" t="s">
        <v>369</v>
      </c>
      <c r="J3" t="s">
        <v>41</v>
      </c>
      <c r="K3" s="9">
        <v>1.45</v>
      </c>
      <c r="L3">
        <v>15</v>
      </c>
      <c r="M3">
        <v>25</v>
      </c>
      <c r="N3">
        <v>0.6</v>
      </c>
      <c r="O3">
        <v>5</v>
      </c>
      <c r="P3">
        <v>12</v>
      </c>
      <c r="Q3">
        <v>0.41699999999999998</v>
      </c>
      <c r="R3">
        <v>10</v>
      </c>
      <c r="S3">
        <v>13</v>
      </c>
      <c r="T3">
        <v>0.76900000000000002</v>
      </c>
      <c r="U3">
        <v>0.7</v>
      </c>
      <c r="V3">
        <v>6</v>
      </c>
      <c r="W3">
        <v>6</v>
      </c>
      <c r="X3">
        <v>1</v>
      </c>
      <c r="Y3">
        <v>0</v>
      </c>
      <c r="Z3">
        <v>10</v>
      </c>
      <c r="AA3">
        <v>10</v>
      </c>
      <c r="AB3">
        <v>4</v>
      </c>
      <c r="AC3">
        <v>2</v>
      </c>
      <c r="AD3">
        <v>0</v>
      </c>
      <c r="AE3">
        <v>3</v>
      </c>
      <c r="AF3">
        <v>2</v>
      </c>
      <c r="AG3">
        <v>41</v>
      </c>
      <c r="AH3">
        <v>33.5</v>
      </c>
      <c r="AI3">
        <v>-14</v>
      </c>
    </row>
    <row r="4" spans="1:35" ht="21" x14ac:dyDescent="0.3">
      <c r="A4" t="s">
        <v>559</v>
      </c>
      <c r="B4" s="11">
        <v>3</v>
      </c>
      <c r="C4">
        <v>709</v>
      </c>
      <c r="D4">
        <v>3</v>
      </c>
      <c r="E4" s="4">
        <v>44494</v>
      </c>
      <c r="F4" t="s">
        <v>64</v>
      </c>
      <c r="H4" t="s">
        <v>96</v>
      </c>
      <c r="I4" t="s">
        <v>370</v>
      </c>
      <c r="J4" t="s">
        <v>41</v>
      </c>
      <c r="K4" s="9">
        <v>1.1076388888888888</v>
      </c>
      <c r="L4">
        <v>6</v>
      </c>
      <c r="M4">
        <v>16</v>
      </c>
      <c r="N4">
        <v>0.375</v>
      </c>
      <c r="O4">
        <v>2</v>
      </c>
      <c r="P4">
        <v>8</v>
      </c>
      <c r="Q4">
        <v>0.25</v>
      </c>
      <c r="R4">
        <v>4</v>
      </c>
      <c r="S4">
        <v>8</v>
      </c>
      <c r="T4">
        <v>0.5</v>
      </c>
      <c r="U4">
        <v>0.438</v>
      </c>
      <c r="V4">
        <v>0</v>
      </c>
      <c r="W4">
        <v>0</v>
      </c>
      <c r="Y4">
        <v>0</v>
      </c>
      <c r="Z4">
        <v>0</v>
      </c>
      <c r="AA4">
        <v>0</v>
      </c>
      <c r="AB4">
        <v>5</v>
      </c>
      <c r="AC4">
        <v>8</v>
      </c>
      <c r="AD4">
        <v>1</v>
      </c>
      <c r="AE4">
        <v>3</v>
      </c>
      <c r="AF4">
        <v>3</v>
      </c>
      <c r="AG4">
        <v>14</v>
      </c>
      <c r="AH4">
        <v>13.2</v>
      </c>
      <c r="AI4">
        <v>21</v>
      </c>
    </row>
    <row r="5" spans="1:35" ht="21" x14ac:dyDescent="0.3">
      <c r="A5" t="s">
        <v>559</v>
      </c>
      <c r="B5" s="11">
        <v>4</v>
      </c>
      <c r="C5">
        <v>710</v>
      </c>
      <c r="D5">
        <v>4</v>
      </c>
      <c r="E5" s="4">
        <v>44496</v>
      </c>
      <c r="F5" t="s">
        <v>64</v>
      </c>
      <c r="H5" t="s">
        <v>87</v>
      </c>
      <c r="I5" t="s">
        <v>371</v>
      </c>
      <c r="J5" t="s">
        <v>41</v>
      </c>
      <c r="K5" s="9">
        <v>1.4229166666666666</v>
      </c>
      <c r="L5">
        <v>6</v>
      </c>
      <c r="M5">
        <v>20</v>
      </c>
      <c r="N5">
        <v>0.3</v>
      </c>
      <c r="O5">
        <v>0</v>
      </c>
      <c r="P5">
        <v>8</v>
      </c>
      <c r="Q5">
        <v>0</v>
      </c>
      <c r="R5">
        <v>6</v>
      </c>
      <c r="S5">
        <v>12</v>
      </c>
      <c r="T5">
        <v>0.5</v>
      </c>
      <c r="U5">
        <v>0.3</v>
      </c>
      <c r="V5">
        <v>0</v>
      </c>
      <c r="W5">
        <v>0</v>
      </c>
      <c r="Y5">
        <v>0</v>
      </c>
      <c r="Z5">
        <v>10</v>
      </c>
      <c r="AA5">
        <v>10</v>
      </c>
      <c r="AB5">
        <v>1</v>
      </c>
      <c r="AC5">
        <v>4</v>
      </c>
      <c r="AD5">
        <v>0</v>
      </c>
      <c r="AE5">
        <v>4</v>
      </c>
      <c r="AF5">
        <v>4</v>
      </c>
      <c r="AG5">
        <v>12</v>
      </c>
      <c r="AH5">
        <v>2.5</v>
      </c>
      <c r="AI5">
        <v>-3</v>
      </c>
    </row>
    <row r="6" spans="1:35" ht="21" x14ac:dyDescent="0.3">
      <c r="A6" t="s">
        <v>559</v>
      </c>
      <c r="B6" s="11">
        <v>5</v>
      </c>
      <c r="C6">
        <v>711</v>
      </c>
      <c r="D6">
        <v>5</v>
      </c>
      <c r="E6" s="4">
        <v>44498</v>
      </c>
      <c r="F6" t="s">
        <v>64</v>
      </c>
      <c r="G6" t="s">
        <v>37</v>
      </c>
      <c r="H6" t="s">
        <v>96</v>
      </c>
      <c r="I6" t="s">
        <v>372</v>
      </c>
      <c r="J6" t="s">
        <v>41</v>
      </c>
      <c r="K6" s="9">
        <v>1.4006944444444445</v>
      </c>
      <c r="L6">
        <v>15</v>
      </c>
      <c r="M6">
        <v>24</v>
      </c>
      <c r="N6">
        <v>0.625</v>
      </c>
      <c r="O6">
        <v>6</v>
      </c>
      <c r="P6">
        <v>9</v>
      </c>
      <c r="Q6">
        <v>0.66700000000000004</v>
      </c>
      <c r="R6">
        <v>9</v>
      </c>
      <c r="S6">
        <v>15</v>
      </c>
      <c r="T6">
        <v>0.6</v>
      </c>
      <c r="U6">
        <v>0.75</v>
      </c>
      <c r="V6">
        <v>6</v>
      </c>
      <c r="W6">
        <v>9</v>
      </c>
      <c r="X6">
        <v>0.66700000000000004</v>
      </c>
      <c r="Y6">
        <v>1</v>
      </c>
      <c r="Z6">
        <v>7</v>
      </c>
      <c r="AA6">
        <v>8</v>
      </c>
      <c r="AB6">
        <v>2</v>
      </c>
      <c r="AC6">
        <v>1</v>
      </c>
      <c r="AD6">
        <v>1</v>
      </c>
      <c r="AE6">
        <v>4</v>
      </c>
      <c r="AF6">
        <v>2</v>
      </c>
      <c r="AG6">
        <v>42</v>
      </c>
      <c r="AH6">
        <v>31.1</v>
      </c>
      <c r="AI6">
        <v>-10</v>
      </c>
    </row>
    <row r="7" spans="1:35" ht="21" x14ac:dyDescent="0.3">
      <c r="A7" t="s">
        <v>559</v>
      </c>
      <c r="B7" s="11">
        <v>6</v>
      </c>
      <c r="C7">
        <v>712</v>
      </c>
      <c r="D7">
        <v>6</v>
      </c>
      <c r="E7" s="4">
        <v>44501</v>
      </c>
      <c r="F7" t="s">
        <v>64</v>
      </c>
      <c r="H7" t="s">
        <v>68</v>
      </c>
      <c r="I7" t="s">
        <v>241</v>
      </c>
      <c r="J7" t="s">
        <v>41</v>
      </c>
      <c r="K7" s="9">
        <v>1.6826388888888888</v>
      </c>
      <c r="L7">
        <v>11</v>
      </c>
      <c r="M7">
        <v>24</v>
      </c>
      <c r="N7">
        <v>0.45800000000000002</v>
      </c>
      <c r="O7">
        <v>5</v>
      </c>
      <c r="P7">
        <v>8</v>
      </c>
      <c r="Q7">
        <v>0.625</v>
      </c>
      <c r="R7">
        <v>6</v>
      </c>
      <c r="S7">
        <v>16</v>
      </c>
      <c r="T7">
        <v>0.375</v>
      </c>
      <c r="U7">
        <v>0.56299999999999994</v>
      </c>
      <c r="V7">
        <v>5</v>
      </c>
      <c r="W7">
        <v>6</v>
      </c>
      <c r="X7">
        <v>0.83299999999999996</v>
      </c>
      <c r="Y7">
        <v>0</v>
      </c>
      <c r="Z7">
        <v>9</v>
      </c>
      <c r="AA7">
        <v>9</v>
      </c>
      <c r="AB7">
        <v>7</v>
      </c>
      <c r="AC7">
        <v>3</v>
      </c>
      <c r="AD7">
        <v>1</v>
      </c>
      <c r="AE7">
        <v>4</v>
      </c>
      <c r="AF7">
        <v>3</v>
      </c>
      <c r="AG7">
        <v>32</v>
      </c>
      <c r="AH7">
        <v>25.3</v>
      </c>
      <c r="AI7">
        <v>1</v>
      </c>
    </row>
    <row r="8" spans="1:35" ht="21" x14ac:dyDescent="0.3">
      <c r="A8" t="s">
        <v>559</v>
      </c>
      <c r="B8" s="11">
        <v>7</v>
      </c>
      <c r="C8">
        <v>713</v>
      </c>
      <c r="D8">
        <v>7</v>
      </c>
      <c r="E8" s="4">
        <v>44503</v>
      </c>
      <c r="F8" t="s">
        <v>64</v>
      </c>
      <c r="G8" t="s">
        <v>37</v>
      </c>
      <c r="H8" t="s">
        <v>80</v>
      </c>
      <c r="I8" t="s">
        <v>373</v>
      </c>
      <c r="J8" t="s">
        <v>41</v>
      </c>
      <c r="K8" s="9">
        <v>1.4916666666666667</v>
      </c>
      <c r="L8">
        <v>11</v>
      </c>
      <c r="M8">
        <v>18</v>
      </c>
      <c r="N8">
        <v>0.61099999999999999</v>
      </c>
      <c r="O8">
        <v>4</v>
      </c>
      <c r="P8">
        <v>8</v>
      </c>
      <c r="Q8">
        <v>0.5</v>
      </c>
      <c r="R8">
        <v>7</v>
      </c>
      <c r="S8">
        <v>10</v>
      </c>
      <c r="T8">
        <v>0.7</v>
      </c>
      <c r="U8">
        <v>0.72199999999999998</v>
      </c>
      <c r="V8">
        <v>6</v>
      </c>
      <c r="W8">
        <v>6</v>
      </c>
      <c r="X8">
        <v>1</v>
      </c>
      <c r="Y8">
        <v>0</v>
      </c>
      <c r="Z8">
        <v>6</v>
      </c>
      <c r="AA8">
        <v>6</v>
      </c>
      <c r="AB8">
        <v>8</v>
      </c>
      <c r="AC8">
        <v>1</v>
      </c>
      <c r="AD8">
        <v>1</v>
      </c>
      <c r="AE8">
        <v>8</v>
      </c>
      <c r="AF8">
        <v>3</v>
      </c>
      <c r="AG8">
        <v>32</v>
      </c>
      <c r="AH8">
        <v>23.7</v>
      </c>
      <c r="AI8">
        <v>8</v>
      </c>
    </row>
    <row r="9" spans="1:35" ht="21" x14ac:dyDescent="0.3">
      <c r="A9" t="s">
        <v>559</v>
      </c>
      <c r="B9" s="11">
        <v>8</v>
      </c>
      <c r="C9">
        <v>714</v>
      </c>
      <c r="D9">
        <v>8</v>
      </c>
      <c r="E9" s="4">
        <v>44505</v>
      </c>
      <c r="F9" t="s">
        <v>64</v>
      </c>
      <c r="G9" t="s">
        <v>37</v>
      </c>
      <c r="H9" t="s">
        <v>80</v>
      </c>
      <c r="I9" t="s">
        <v>374</v>
      </c>
      <c r="J9" t="s">
        <v>41</v>
      </c>
      <c r="K9" s="9">
        <v>1.5763888888888888</v>
      </c>
      <c r="L9">
        <v>4</v>
      </c>
      <c r="M9">
        <v>20</v>
      </c>
      <c r="N9">
        <v>0.2</v>
      </c>
      <c r="O9">
        <v>0</v>
      </c>
      <c r="P9">
        <v>7</v>
      </c>
      <c r="Q9">
        <v>0</v>
      </c>
      <c r="R9">
        <v>4</v>
      </c>
      <c r="S9">
        <v>13</v>
      </c>
      <c r="T9">
        <v>0.308</v>
      </c>
      <c r="U9">
        <v>0.2</v>
      </c>
      <c r="V9">
        <v>13</v>
      </c>
      <c r="W9">
        <v>14</v>
      </c>
      <c r="X9">
        <v>0.92900000000000005</v>
      </c>
      <c r="Y9">
        <v>0</v>
      </c>
      <c r="Z9">
        <v>10</v>
      </c>
      <c r="AA9">
        <v>10</v>
      </c>
      <c r="AB9">
        <v>6</v>
      </c>
      <c r="AC9">
        <v>3</v>
      </c>
      <c r="AD9">
        <v>0</v>
      </c>
      <c r="AE9">
        <v>6</v>
      </c>
      <c r="AF9">
        <v>4</v>
      </c>
      <c r="AG9">
        <v>21</v>
      </c>
      <c r="AH9">
        <v>10.8</v>
      </c>
      <c r="AI9">
        <v>18</v>
      </c>
    </row>
    <row r="10" spans="1:35" ht="21" x14ac:dyDescent="0.3">
      <c r="A10" t="s">
        <v>559</v>
      </c>
      <c r="B10" s="11">
        <v>9</v>
      </c>
      <c r="C10">
        <v>715</v>
      </c>
      <c r="D10">
        <v>9</v>
      </c>
      <c r="E10" s="4">
        <v>44507</v>
      </c>
      <c r="F10" t="s">
        <v>64</v>
      </c>
      <c r="H10" t="s">
        <v>72</v>
      </c>
      <c r="I10" t="s">
        <v>375</v>
      </c>
      <c r="J10" t="s">
        <v>41</v>
      </c>
      <c r="K10" s="9">
        <v>1.5694444444444444</v>
      </c>
      <c r="L10">
        <v>9</v>
      </c>
      <c r="M10">
        <v>22</v>
      </c>
      <c r="N10">
        <v>0.40899999999999997</v>
      </c>
      <c r="O10">
        <v>2</v>
      </c>
      <c r="P10">
        <v>10</v>
      </c>
      <c r="Q10">
        <v>0.2</v>
      </c>
      <c r="R10">
        <v>7</v>
      </c>
      <c r="S10">
        <v>12</v>
      </c>
      <c r="T10">
        <v>0.58299999999999996</v>
      </c>
      <c r="U10">
        <v>0.45500000000000002</v>
      </c>
      <c r="V10">
        <v>0</v>
      </c>
      <c r="W10">
        <v>0</v>
      </c>
      <c r="Y10">
        <v>1</v>
      </c>
      <c r="Z10">
        <v>8</v>
      </c>
      <c r="AA10">
        <v>9</v>
      </c>
      <c r="AB10">
        <v>8</v>
      </c>
      <c r="AC10">
        <v>0</v>
      </c>
      <c r="AD10">
        <v>1</v>
      </c>
      <c r="AE10">
        <v>8</v>
      </c>
      <c r="AF10">
        <v>1</v>
      </c>
      <c r="AG10">
        <v>20</v>
      </c>
      <c r="AH10">
        <v>9.1999999999999993</v>
      </c>
      <c r="AI10">
        <v>13</v>
      </c>
    </row>
    <row r="11" spans="1:35" ht="21" x14ac:dyDescent="0.3">
      <c r="A11" t="s">
        <v>559</v>
      </c>
      <c r="B11" s="11">
        <v>10</v>
      </c>
      <c r="C11">
        <v>716</v>
      </c>
      <c r="D11">
        <v>10</v>
      </c>
      <c r="E11" s="4">
        <v>44509</v>
      </c>
      <c r="F11" t="s">
        <v>64</v>
      </c>
      <c r="H11" t="s">
        <v>96</v>
      </c>
      <c r="I11" t="s">
        <v>376</v>
      </c>
      <c r="J11" t="s">
        <v>41</v>
      </c>
      <c r="K11" s="9">
        <v>1.367361111111111</v>
      </c>
      <c r="L11">
        <v>10</v>
      </c>
      <c r="M11">
        <v>24</v>
      </c>
      <c r="N11">
        <v>0.41699999999999998</v>
      </c>
      <c r="O11">
        <v>3</v>
      </c>
      <c r="P11">
        <v>7</v>
      </c>
      <c r="Q11">
        <v>0.42899999999999999</v>
      </c>
      <c r="R11">
        <v>7</v>
      </c>
      <c r="S11">
        <v>17</v>
      </c>
      <c r="T11">
        <v>0.41199999999999998</v>
      </c>
      <c r="U11">
        <v>0.47899999999999998</v>
      </c>
      <c r="V11">
        <v>1</v>
      </c>
      <c r="W11">
        <v>2</v>
      </c>
      <c r="X11">
        <v>0.5</v>
      </c>
      <c r="Y11">
        <v>1</v>
      </c>
      <c r="Z11">
        <v>8</v>
      </c>
      <c r="AA11">
        <v>9</v>
      </c>
      <c r="AB11">
        <v>7</v>
      </c>
      <c r="AC11">
        <v>1</v>
      </c>
      <c r="AD11">
        <v>0</v>
      </c>
      <c r="AE11">
        <v>3</v>
      </c>
      <c r="AF11">
        <v>5</v>
      </c>
      <c r="AG11">
        <v>24</v>
      </c>
      <c r="AH11">
        <v>14.8</v>
      </c>
      <c r="AI11">
        <v>9</v>
      </c>
    </row>
    <row r="12" spans="1:35" ht="21" x14ac:dyDescent="0.3">
      <c r="A12" t="s">
        <v>559</v>
      </c>
      <c r="B12" s="11">
        <v>11</v>
      </c>
      <c r="C12">
        <v>717</v>
      </c>
      <c r="D12">
        <v>11</v>
      </c>
      <c r="E12" s="4">
        <v>44511</v>
      </c>
      <c r="F12" t="s">
        <v>64</v>
      </c>
      <c r="H12" t="s">
        <v>120</v>
      </c>
      <c r="I12" t="s">
        <v>377</v>
      </c>
      <c r="J12" t="s">
        <v>41</v>
      </c>
      <c r="K12" s="9">
        <v>1.5923611111111111</v>
      </c>
      <c r="L12">
        <v>11</v>
      </c>
      <c r="M12">
        <v>25</v>
      </c>
      <c r="N12">
        <v>0.44</v>
      </c>
      <c r="O12">
        <v>3</v>
      </c>
      <c r="P12">
        <v>9</v>
      </c>
      <c r="Q12">
        <v>0.33300000000000002</v>
      </c>
      <c r="R12">
        <v>8</v>
      </c>
      <c r="S12">
        <v>16</v>
      </c>
      <c r="T12">
        <v>0.5</v>
      </c>
      <c r="U12">
        <v>0.5</v>
      </c>
      <c r="V12">
        <v>2</v>
      </c>
      <c r="W12">
        <v>2</v>
      </c>
      <c r="X12">
        <v>1</v>
      </c>
      <c r="Y12">
        <v>2</v>
      </c>
      <c r="Z12">
        <v>2</v>
      </c>
      <c r="AA12">
        <v>4</v>
      </c>
      <c r="AB12">
        <v>5</v>
      </c>
      <c r="AC12">
        <v>3</v>
      </c>
      <c r="AD12">
        <v>0</v>
      </c>
      <c r="AE12">
        <v>3</v>
      </c>
      <c r="AF12">
        <v>1</v>
      </c>
      <c r="AG12">
        <v>27</v>
      </c>
      <c r="AH12">
        <v>19</v>
      </c>
      <c r="AI12">
        <v>-1</v>
      </c>
    </row>
    <row r="13" spans="1:35" ht="21" x14ac:dyDescent="0.3">
      <c r="A13" t="s">
        <v>559</v>
      </c>
      <c r="B13" s="11">
        <v>12</v>
      </c>
      <c r="C13">
        <v>718</v>
      </c>
      <c r="D13">
        <v>12</v>
      </c>
      <c r="E13" s="4">
        <v>44513</v>
      </c>
      <c r="F13" t="s">
        <v>64</v>
      </c>
      <c r="H13" t="s">
        <v>80</v>
      </c>
      <c r="I13" t="s">
        <v>333</v>
      </c>
      <c r="J13" t="s">
        <v>41</v>
      </c>
      <c r="K13" s="9">
        <v>1.1194444444444445</v>
      </c>
      <c r="L13">
        <v>10</v>
      </c>
      <c r="M13">
        <v>17</v>
      </c>
      <c r="N13">
        <v>0.58799999999999997</v>
      </c>
      <c r="O13">
        <v>3</v>
      </c>
      <c r="P13">
        <v>5</v>
      </c>
      <c r="Q13">
        <v>0.6</v>
      </c>
      <c r="R13">
        <v>7</v>
      </c>
      <c r="S13">
        <v>12</v>
      </c>
      <c r="T13">
        <v>0.58299999999999996</v>
      </c>
      <c r="U13">
        <v>0.67600000000000005</v>
      </c>
      <c r="V13">
        <v>0</v>
      </c>
      <c r="W13">
        <v>0</v>
      </c>
      <c r="Y13">
        <v>1</v>
      </c>
      <c r="Z13">
        <v>8</v>
      </c>
      <c r="AA13">
        <v>9</v>
      </c>
      <c r="AB13">
        <v>4</v>
      </c>
      <c r="AC13">
        <v>0</v>
      </c>
      <c r="AD13">
        <v>0</v>
      </c>
      <c r="AE13">
        <v>4</v>
      </c>
      <c r="AF13">
        <v>2</v>
      </c>
      <c r="AG13">
        <v>23</v>
      </c>
      <c r="AH13">
        <v>16.2</v>
      </c>
      <c r="AI13">
        <v>17</v>
      </c>
    </row>
    <row r="14" spans="1:35" ht="21" x14ac:dyDescent="0.3">
      <c r="A14" t="s">
        <v>559</v>
      </c>
      <c r="B14" s="11">
        <v>13</v>
      </c>
      <c r="C14">
        <v>719</v>
      </c>
      <c r="D14">
        <v>13</v>
      </c>
      <c r="E14" s="4">
        <v>44514</v>
      </c>
      <c r="F14" t="s">
        <v>64</v>
      </c>
      <c r="H14" t="s">
        <v>82</v>
      </c>
      <c r="I14" t="s">
        <v>378</v>
      </c>
      <c r="J14" t="s">
        <v>41</v>
      </c>
      <c r="K14" s="9">
        <v>1.7215277777777778</v>
      </c>
      <c r="L14">
        <v>7</v>
      </c>
      <c r="M14">
        <v>25</v>
      </c>
      <c r="N14">
        <v>0.28000000000000003</v>
      </c>
      <c r="O14">
        <v>2</v>
      </c>
      <c r="P14">
        <v>10</v>
      </c>
      <c r="Q14">
        <v>0.2</v>
      </c>
      <c r="R14">
        <v>5</v>
      </c>
      <c r="S14">
        <v>15</v>
      </c>
      <c r="T14">
        <v>0.33300000000000002</v>
      </c>
      <c r="U14">
        <v>0.32</v>
      </c>
      <c r="V14">
        <v>11</v>
      </c>
      <c r="W14">
        <v>11</v>
      </c>
      <c r="X14">
        <v>1</v>
      </c>
      <c r="Y14">
        <v>1</v>
      </c>
      <c r="Z14">
        <v>10</v>
      </c>
      <c r="AA14">
        <v>11</v>
      </c>
      <c r="AB14">
        <v>4</v>
      </c>
      <c r="AC14">
        <v>1</v>
      </c>
      <c r="AD14">
        <v>1</v>
      </c>
      <c r="AE14">
        <v>3</v>
      </c>
      <c r="AF14">
        <v>2</v>
      </c>
      <c r="AG14">
        <v>27</v>
      </c>
      <c r="AH14">
        <v>16.7</v>
      </c>
      <c r="AI14">
        <v>-3</v>
      </c>
    </row>
    <row r="15" spans="1:35" ht="21" x14ac:dyDescent="0.3">
      <c r="A15" t="s">
        <v>559</v>
      </c>
      <c r="B15" s="11">
        <v>14</v>
      </c>
      <c r="C15">
        <v>720</v>
      </c>
      <c r="D15">
        <v>14</v>
      </c>
      <c r="E15" s="4">
        <v>44516</v>
      </c>
      <c r="F15" t="s">
        <v>64</v>
      </c>
      <c r="H15" t="s">
        <v>102</v>
      </c>
      <c r="I15" t="s">
        <v>379</v>
      </c>
      <c r="J15" t="s">
        <v>41</v>
      </c>
      <c r="K15" s="9">
        <v>1.4125000000000001</v>
      </c>
      <c r="L15">
        <v>10</v>
      </c>
      <c r="M15">
        <v>24</v>
      </c>
      <c r="N15">
        <v>0.41699999999999998</v>
      </c>
      <c r="O15">
        <v>2</v>
      </c>
      <c r="P15">
        <v>9</v>
      </c>
      <c r="Q15">
        <v>0.222</v>
      </c>
      <c r="R15">
        <v>8</v>
      </c>
      <c r="S15">
        <v>15</v>
      </c>
      <c r="T15">
        <v>0.53300000000000003</v>
      </c>
      <c r="U15">
        <v>0.45800000000000002</v>
      </c>
      <c r="V15">
        <v>12</v>
      </c>
      <c r="W15">
        <v>13</v>
      </c>
      <c r="X15">
        <v>0.92300000000000004</v>
      </c>
      <c r="Y15">
        <v>0</v>
      </c>
      <c r="Z15">
        <v>9</v>
      </c>
      <c r="AA15">
        <v>9</v>
      </c>
      <c r="AB15">
        <v>4</v>
      </c>
      <c r="AC15">
        <v>2</v>
      </c>
      <c r="AD15">
        <v>0</v>
      </c>
      <c r="AE15">
        <v>6</v>
      </c>
      <c r="AF15">
        <v>1</v>
      </c>
      <c r="AG15">
        <v>34</v>
      </c>
      <c r="AH15">
        <v>21.9</v>
      </c>
      <c r="AI15">
        <v>-3</v>
      </c>
    </row>
    <row r="16" spans="1:35" ht="21" x14ac:dyDescent="0.3">
      <c r="A16" t="s">
        <v>559</v>
      </c>
      <c r="B16" s="11">
        <v>15</v>
      </c>
      <c r="C16">
        <v>721</v>
      </c>
      <c r="D16">
        <v>15</v>
      </c>
      <c r="E16" s="4">
        <v>44518</v>
      </c>
      <c r="F16" t="s">
        <v>64</v>
      </c>
      <c r="G16" t="s">
        <v>37</v>
      </c>
      <c r="H16" t="s">
        <v>42</v>
      </c>
      <c r="I16" t="s">
        <v>186</v>
      </c>
      <c r="J16" t="s">
        <v>41</v>
      </c>
      <c r="K16" s="9">
        <v>1.3006944444444444</v>
      </c>
      <c r="L16">
        <v>9</v>
      </c>
      <c r="M16">
        <v>18</v>
      </c>
      <c r="N16">
        <v>0.5</v>
      </c>
      <c r="O16">
        <v>5</v>
      </c>
      <c r="P16">
        <v>9</v>
      </c>
      <c r="Q16">
        <v>0.55600000000000005</v>
      </c>
      <c r="R16">
        <v>4</v>
      </c>
      <c r="S16">
        <v>9</v>
      </c>
      <c r="T16">
        <v>0.44400000000000001</v>
      </c>
      <c r="U16">
        <v>0.63900000000000001</v>
      </c>
      <c r="V16">
        <v>0</v>
      </c>
      <c r="W16">
        <v>0</v>
      </c>
      <c r="Y16">
        <v>1</v>
      </c>
      <c r="Z16">
        <v>4</v>
      </c>
      <c r="AA16">
        <v>5</v>
      </c>
      <c r="AB16">
        <v>6</v>
      </c>
      <c r="AC16">
        <v>0</v>
      </c>
      <c r="AD16">
        <v>1</v>
      </c>
      <c r="AE16">
        <v>1</v>
      </c>
      <c r="AF16">
        <v>1</v>
      </c>
      <c r="AG16">
        <v>23</v>
      </c>
      <c r="AH16">
        <v>19.399999999999999</v>
      </c>
      <c r="AI16">
        <v>-18</v>
      </c>
    </row>
    <row r="17" spans="1:35" ht="21" x14ac:dyDescent="0.3">
      <c r="A17" t="s">
        <v>559</v>
      </c>
      <c r="B17" s="11">
        <v>16</v>
      </c>
      <c r="C17">
        <v>722</v>
      </c>
      <c r="D17">
        <v>16</v>
      </c>
      <c r="E17" s="4">
        <v>44519</v>
      </c>
      <c r="F17" t="s">
        <v>64</v>
      </c>
      <c r="G17" t="s">
        <v>37</v>
      </c>
      <c r="H17" t="s">
        <v>74</v>
      </c>
      <c r="I17" t="s">
        <v>380</v>
      </c>
      <c r="J17" t="s">
        <v>41</v>
      </c>
      <c r="K17" s="9">
        <v>1.4430555555555555</v>
      </c>
      <c r="L17">
        <v>8</v>
      </c>
      <c r="M17">
        <v>26</v>
      </c>
      <c r="N17">
        <v>0.308</v>
      </c>
      <c r="O17">
        <v>3</v>
      </c>
      <c r="P17">
        <v>14</v>
      </c>
      <c r="Q17">
        <v>0.214</v>
      </c>
      <c r="R17">
        <v>5</v>
      </c>
      <c r="S17">
        <v>12</v>
      </c>
      <c r="T17">
        <v>0.41699999999999998</v>
      </c>
      <c r="U17">
        <v>0.36499999999999999</v>
      </c>
      <c r="V17">
        <v>0</v>
      </c>
      <c r="W17">
        <v>0</v>
      </c>
      <c r="Y17">
        <v>0</v>
      </c>
      <c r="Z17">
        <v>7</v>
      </c>
      <c r="AA17">
        <v>7</v>
      </c>
      <c r="AB17">
        <v>6</v>
      </c>
      <c r="AC17">
        <v>1</v>
      </c>
      <c r="AD17">
        <v>0</v>
      </c>
      <c r="AE17">
        <v>1</v>
      </c>
      <c r="AF17">
        <v>2</v>
      </c>
      <c r="AG17">
        <v>19</v>
      </c>
      <c r="AH17">
        <v>9.5</v>
      </c>
      <c r="AI17">
        <v>-17</v>
      </c>
    </row>
    <row r="18" spans="1:35" ht="21" x14ac:dyDescent="0.3">
      <c r="A18" t="s">
        <v>559</v>
      </c>
      <c r="B18" s="11">
        <v>17</v>
      </c>
      <c r="C18">
        <v>723</v>
      </c>
      <c r="D18">
        <v>17</v>
      </c>
      <c r="E18" s="4">
        <v>44521</v>
      </c>
      <c r="F18" t="s">
        <v>64</v>
      </c>
      <c r="H18" t="s">
        <v>49</v>
      </c>
      <c r="I18" t="s">
        <v>381</v>
      </c>
      <c r="J18" t="s">
        <v>41</v>
      </c>
      <c r="K18" s="9">
        <v>1.5659722222222223</v>
      </c>
      <c r="L18">
        <v>12</v>
      </c>
      <c r="M18">
        <v>25</v>
      </c>
      <c r="N18">
        <v>0.48</v>
      </c>
      <c r="O18">
        <v>3</v>
      </c>
      <c r="P18">
        <v>8</v>
      </c>
      <c r="Q18">
        <v>0.375</v>
      </c>
      <c r="R18">
        <v>9</v>
      </c>
      <c r="S18">
        <v>17</v>
      </c>
      <c r="T18">
        <v>0.52900000000000003</v>
      </c>
      <c r="U18">
        <v>0.54</v>
      </c>
      <c r="V18">
        <v>2</v>
      </c>
      <c r="W18">
        <v>2</v>
      </c>
      <c r="X18">
        <v>1</v>
      </c>
      <c r="Y18">
        <v>0</v>
      </c>
      <c r="Z18">
        <v>4</v>
      </c>
      <c r="AA18">
        <v>4</v>
      </c>
      <c r="AB18">
        <v>6</v>
      </c>
      <c r="AC18">
        <v>1</v>
      </c>
      <c r="AD18">
        <v>0</v>
      </c>
      <c r="AE18">
        <v>6</v>
      </c>
      <c r="AF18">
        <v>4</v>
      </c>
      <c r="AG18">
        <v>29</v>
      </c>
      <c r="AH18">
        <v>15.1</v>
      </c>
      <c r="AI18">
        <v>11</v>
      </c>
    </row>
    <row r="19" spans="1:35" ht="21" x14ac:dyDescent="0.3">
      <c r="A19" t="s">
        <v>559</v>
      </c>
      <c r="B19" s="11">
        <v>18</v>
      </c>
      <c r="C19">
        <v>724</v>
      </c>
      <c r="D19">
        <v>18</v>
      </c>
      <c r="E19" s="4">
        <v>44523</v>
      </c>
      <c r="F19" t="s">
        <v>64</v>
      </c>
      <c r="H19" t="s">
        <v>49</v>
      </c>
      <c r="I19" t="s">
        <v>382</v>
      </c>
      <c r="J19" t="s">
        <v>41</v>
      </c>
      <c r="K19" s="9">
        <v>2.0173611111111112</v>
      </c>
      <c r="L19">
        <v>7</v>
      </c>
      <c r="M19">
        <v>23</v>
      </c>
      <c r="N19">
        <v>0.30399999999999999</v>
      </c>
      <c r="O19">
        <v>1</v>
      </c>
      <c r="P19">
        <v>6</v>
      </c>
      <c r="Q19">
        <v>0.16700000000000001</v>
      </c>
      <c r="R19">
        <v>6</v>
      </c>
      <c r="S19">
        <v>17</v>
      </c>
      <c r="T19">
        <v>0.35299999999999998</v>
      </c>
      <c r="U19">
        <v>0.32600000000000001</v>
      </c>
      <c r="V19">
        <v>11</v>
      </c>
      <c r="W19">
        <v>12</v>
      </c>
      <c r="X19">
        <v>0.91700000000000004</v>
      </c>
      <c r="Y19">
        <v>0</v>
      </c>
      <c r="Z19">
        <v>9</v>
      </c>
      <c r="AA19">
        <v>9</v>
      </c>
      <c r="AB19">
        <v>6</v>
      </c>
      <c r="AC19">
        <v>0</v>
      </c>
      <c r="AD19">
        <v>1</v>
      </c>
      <c r="AE19">
        <v>3</v>
      </c>
      <c r="AF19">
        <v>4</v>
      </c>
      <c r="AG19">
        <v>26</v>
      </c>
      <c r="AH19">
        <v>15.3</v>
      </c>
      <c r="AI19">
        <v>-2</v>
      </c>
    </row>
    <row r="20" spans="1:35" ht="21" x14ac:dyDescent="0.3">
      <c r="A20" t="s">
        <v>559</v>
      </c>
      <c r="B20" s="11">
        <v>19</v>
      </c>
      <c r="C20">
        <v>725</v>
      </c>
      <c r="D20">
        <v>19</v>
      </c>
      <c r="E20" s="4">
        <v>44526</v>
      </c>
      <c r="F20" t="s">
        <v>64</v>
      </c>
      <c r="H20" t="s">
        <v>89</v>
      </c>
      <c r="I20" t="s">
        <v>383</v>
      </c>
      <c r="J20" t="s">
        <v>41</v>
      </c>
      <c r="K20" s="9">
        <v>1.35</v>
      </c>
      <c r="L20">
        <v>5</v>
      </c>
      <c r="M20">
        <v>19</v>
      </c>
      <c r="N20">
        <v>0.26300000000000001</v>
      </c>
      <c r="O20">
        <v>1</v>
      </c>
      <c r="P20">
        <v>9</v>
      </c>
      <c r="Q20">
        <v>0.111</v>
      </c>
      <c r="R20">
        <v>4</v>
      </c>
      <c r="S20">
        <v>10</v>
      </c>
      <c r="T20">
        <v>0.4</v>
      </c>
      <c r="U20">
        <v>0.28899999999999998</v>
      </c>
      <c r="V20">
        <v>1</v>
      </c>
      <c r="W20">
        <v>2</v>
      </c>
      <c r="X20">
        <v>0.5</v>
      </c>
      <c r="Y20">
        <v>0</v>
      </c>
      <c r="Z20">
        <v>5</v>
      </c>
      <c r="AA20">
        <v>5</v>
      </c>
      <c r="AB20">
        <v>4</v>
      </c>
      <c r="AC20">
        <v>3</v>
      </c>
      <c r="AD20">
        <v>1</v>
      </c>
      <c r="AE20">
        <v>2</v>
      </c>
      <c r="AF20">
        <v>2</v>
      </c>
      <c r="AG20">
        <v>12</v>
      </c>
      <c r="AH20">
        <v>5.5</v>
      </c>
      <c r="AI20">
        <v>10</v>
      </c>
    </row>
    <row r="21" spans="1:35" ht="21" x14ac:dyDescent="0.3">
      <c r="A21" t="s">
        <v>559</v>
      </c>
      <c r="B21" s="11">
        <v>20</v>
      </c>
      <c r="C21">
        <v>726</v>
      </c>
      <c r="D21">
        <v>20</v>
      </c>
      <c r="E21" s="4">
        <v>44528</v>
      </c>
      <c r="F21" t="s">
        <v>64</v>
      </c>
      <c r="H21" t="s">
        <v>33</v>
      </c>
      <c r="I21" t="s">
        <v>199</v>
      </c>
      <c r="J21" t="s">
        <v>41</v>
      </c>
      <c r="K21" s="9">
        <v>1.5215277777777778</v>
      </c>
      <c r="L21">
        <v>11</v>
      </c>
      <c r="M21">
        <v>24</v>
      </c>
      <c r="N21">
        <v>0.45800000000000002</v>
      </c>
      <c r="O21">
        <v>3</v>
      </c>
      <c r="P21">
        <v>7</v>
      </c>
      <c r="Q21">
        <v>0.42899999999999999</v>
      </c>
      <c r="R21">
        <v>8</v>
      </c>
      <c r="S21">
        <v>17</v>
      </c>
      <c r="T21">
        <v>0.47099999999999997</v>
      </c>
      <c r="U21">
        <v>0.52100000000000002</v>
      </c>
      <c r="V21">
        <v>5</v>
      </c>
      <c r="W21">
        <v>6</v>
      </c>
      <c r="X21">
        <v>0.83299999999999996</v>
      </c>
      <c r="Y21">
        <v>0</v>
      </c>
      <c r="Z21">
        <v>5</v>
      </c>
      <c r="AA21">
        <v>5</v>
      </c>
      <c r="AB21">
        <v>5</v>
      </c>
      <c r="AC21">
        <v>0</v>
      </c>
      <c r="AD21">
        <v>0</v>
      </c>
      <c r="AE21">
        <v>8</v>
      </c>
      <c r="AF21">
        <v>3</v>
      </c>
      <c r="AG21">
        <v>30</v>
      </c>
      <c r="AH21">
        <v>13</v>
      </c>
      <c r="AI21">
        <v>-9</v>
      </c>
    </row>
    <row r="22" spans="1:35" ht="21" x14ac:dyDescent="0.3">
      <c r="A22" t="s">
        <v>559</v>
      </c>
      <c r="B22" s="11">
        <v>21</v>
      </c>
      <c r="C22">
        <v>727</v>
      </c>
      <c r="D22">
        <v>21</v>
      </c>
      <c r="E22" s="4">
        <v>44529</v>
      </c>
      <c r="F22" t="s">
        <v>64</v>
      </c>
      <c r="H22" t="s">
        <v>74</v>
      </c>
      <c r="I22" t="s">
        <v>384</v>
      </c>
      <c r="J22" t="s">
        <v>41</v>
      </c>
      <c r="K22" s="9">
        <v>1.4125000000000001</v>
      </c>
      <c r="L22">
        <v>10</v>
      </c>
      <c r="M22">
        <v>20</v>
      </c>
      <c r="N22">
        <v>0.5</v>
      </c>
      <c r="O22">
        <v>3</v>
      </c>
      <c r="P22">
        <v>10</v>
      </c>
      <c r="Q22">
        <v>0.3</v>
      </c>
      <c r="R22">
        <v>7</v>
      </c>
      <c r="S22">
        <v>10</v>
      </c>
      <c r="T22">
        <v>0.7</v>
      </c>
      <c r="U22">
        <v>0.57499999999999996</v>
      </c>
      <c r="V22">
        <v>4</v>
      </c>
      <c r="W22">
        <v>4</v>
      </c>
      <c r="X22">
        <v>1</v>
      </c>
      <c r="Y22">
        <v>0</v>
      </c>
      <c r="Z22">
        <v>3</v>
      </c>
      <c r="AA22">
        <v>3</v>
      </c>
      <c r="AB22">
        <v>3</v>
      </c>
      <c r="AC22">
        <v>1</v>
      </c>
      <c r="AD22">
        <v>0</v>
      </c>
      <c r="AE22">
        <v>7</v>
      </c>
      <c r="AF22">
        <v>3</v>
      </c>
      <c r="AG22">
        <v>27</v>
      </c>
      <c r="AH22">
        <v>12.8</v>
      </c>
      <c r="AI22">
        <v>-21</v>
      </c>
    </row>
    <row r="23" spans="1:35" ht="21" x14ac:dyDescent="0.3">
      <c r="A23" t="s">
        <v>559</v>
      </c>
      <c r="B23" s="11">
        <v>21</v>
      </c>
      <c r="D23">
        <v>22</v>
      </c>
      <c r="E23" s="4">
        <v>44531</v>
      </c>
      <c r="F23" t="s">
        <v>64</v>
      </c>
      <c r="H23" t="s">
        <v>66</v>
      </c>
      <c r="I23" t="s">
        <v>314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91</v>
      </c>
      <c r="Q23" t="s">
        <v>91</v>
      </c>
      <c r="R23" t="s">
        <v>91</v>
      </c>
      <c r="S23" t="s">
        <v>91</v>
      </c>
      <c r="T23" t="s">
        <v>91</v>
      </c>
      <c r="U23" t="s">
        <v>91</v>
      </c>
      <c r="V23" t="s">
        <v>91</v>
      </c>
      <c r="W23" t="s">
        <v>91</v>
      </c>
      <c r="X23" t="s">
        <v>91</v>
      </c>
      <c r="Y23" t="s">
        <v>91</v>
      </c>
      <c r="Z23" t="s">
        <v>91</v>
      </c>
      <c r="AA23" t="s">
        <v>91</v>
      </c>
      <c r="AB23" t="s">
        <v>91</v>
      </c>
      <c r="AC23" t="s">
        <v>91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91</v>
      </c>
    </row>
    <row r="24" spans="1:35" ht="21" x14ac:dyDescent="0.3">
      <c r="A24" t="s">
        <v>559</v>
      </c>
      <c r="B24" s="11">
        <v>22</v>
      </c>
      <c r="C24">
        <v>728</v>
      </c>
      <c r="D24">
        <v>23</v>
      </c>
      <c r="E24" s="4">
        <v>44533</v>
      </c>
      <c r="F24" t="s">
        <v>64</v>
      </c>
      <c r="G24" t="s">
        <v>37</v>
      </c>
      <c r="H24" t="s">
        <v>62</v>
      </c>
      <c r="I24" t="s">
        <v>385</v>
      </c>
      <c r="J24" t="s">
        <v>41</v>
      </c>
      <c r="K24" s="9">
        <v>1.6444444444444444</v>
      </c>
      <c r="L24">
        <v>7</v>
      </c>
      <c r="M24">
        <v>20</v>
      </c>
      <c r="N24">
        <v>0.35</v>
      </c>
      <c r="O24">
        <v>0</v>
      </c>
      <c r="P24">
        <v>7</v>
      </c>
      <c r="Q24">
        <v>0</v>
      </c>
      <c r="R24">
        <v>7</v>
      </c>
      <c r="S24">
        <v>13</v>
      </c>
      <c r="T24">
        <v>0.53800000000000003</v>
      </c>
      <c r="U24">
        <v>0.35</v>
      </c>
      <c r="V24">
        <v>5</v>
      </c>
      <c r="W24">
        <v>6</v>
      </c>
      <c r="X24">
        <v>0.83299999999999996</v>
      </c>
      <c r="Y24">
        <v>1</v>
      </c>
      <c r="Z24">
        <v>7</v>
      </c>
      <c r="AA24">
        <v>8</v>
      </c>
      <c r="AB24">
        <v>9</v>
      </c>
      <c r="AC24">
        <v>2</v>
      </c>
      <c r="AD24">
        <v>0</v>
      </c>
      <c r="AE24">
        <v>3</v>
      </c>
      <c r="AF24">
        <v>1</v>
      </c>
      <c r="AG24">
        <v>19</v>
      </c>
      <c r="AH24">
        <v>15.1</v>
      </c>
      <c r="AI24">
        <v>10</v>
      </c>
    </row>
    <row r="25" spans="1:35" ht="21" x14ac:dyDescent="0.3">
      <c r="A25" t="s">
        <v>559</v>
      </c>
      <c r="B25" s="11">
        <v>23</v>
      </c>
      <c r="C25">
        <v>729</v>
      </c>
      <c r="D25">
        <v>24</v>
      </c>
      <c r="E25" s="4">
        <v>44534</v>
      </c>
      <c r="F25" t="s">
        <v>64</v>
      </c>
      <c r="G25" t="s">
        <v>37</v>
      </c>
      <c r="H25" t="s">
        <v>66</v>
      </c>
      <c r="I25" t="s">
        <v>225</v>
      </c>
      <c r="J25" t="s">
        <v>41</v>
      </c>
      <c r="K25" s="9">
        <v>1.575</v>
      </c>
      <c r="L25">
        <v>5</v>
      </c>
      <c r="M25">
        <v>21</v>
      </c>
      <c r="N25">
        <v>0.23799999999999999</v>
      </c>
      <c r="O25">
        <v>3</v>
      </c>
      <c r="P25">
        <v>7</v>
      </c>
      <c r="Q25">
        <v>0.42899999999999999</v>
      </c>
      <c r="R25">
        <v>2</v>
      </c>
      <c r="S25">
        <v>14</v>
      </c>
      <c r="T25">
        <v>0.14299999999999999</v>
      </c>
      <c r="U25">
        <v>0.31</v>
      </c>
      <c r="V25">
        <v>2</v>
      </c>
      <c r="W25">
        <v>2</v>
      </c>
      <c r="X25">
        <v>1</v>
      </c>
      <c r="Y25">
        <v>0</v>
      </c>
      <c r="Z25">
        <v>6</v>
      </c>
      <c r="AA25">
        <v>6</v>
      </c>
      <c r="AB25">
        <v>10</v>
      </c>
      <c r="AC25">
        <v>2</v>
      </c>
      <c r="AD25">
        <v>0</v>
      </c>
      <c r="AE25">
        <v>5</v>
      </c>
      <c r="AF25">
        <v>4</v>
      </c>
      <c r="AG25">
        <v>15</v>
      </c>
      <c r="AH25">
        <v>6.5</v>
      </c>
      <c r="AI25">
        <v>-2</v>
      </c>
    </row>
    <row r="26" spans="1:35" ht="21" x14ac:dyDescent="0.3">
      <c r="A26" t="s">
        <v>559</v>
      </c>
      <c r="B26" s="11">
        <v>24</v>
      </c>
      <c r="C26">
        <v>730</v>
      </c>
      <c r="D26">
        <v>25</v>
      </c>
      <c r="E26" s="4">
        <v>44536</v>
      </c>
      <c r="F26" t="s">
        <v>64</v>
      </c>
      <c r="G26" t="s">
        <v>37</v>
      </c>
      <c r="H26" t="s">
        <v>96</v>
      </c>
      <c r="I26" t="s">
        <v>386</v>
      </c>
      <c r="J26" t="s">
        <v>41</v>
      </c>
      <c r="K26" s="9">
        <v>1.6076388888888888</v>
      </c>
      <c r="L26">
        <v>9</v>
      </c>
      <c r="M26">
        <v>18</v>
      </c>
      <c r="N26">
        <v>0.5</v>
      </c>
      <c r="O26">
        <v>0</v>
      </c>
      <c r="P26">
        <v>3</v>
      </c>
      <c r="Q26">
        <v>0</v>
      </c>
      <c r="R26">
        <v>9</v>
      </c>
      <c r="S26">
        <v>15</v>
      </c>
      <c r="T26">
        <v>0.6</v>
      </c>
      <c r="U26">
        <v>0.5</v>
      </c>
      <c r="V26">
        <v>3</v>
      </c>
      <c r="W26">
        <v>5</v>
      </c>
      <c r="X26">
        <v>0.6</v>
      </c>
      <c r="Y26">
        <v>0</v>
      </c>
      <c r="Z26">
        <v>8</v>
      </c>
      <c r="AA26">
        <v>8</v>
      </c>
      <c r="AB26">
        <v>4</v>
      </c>
      <c r="AC26">
        <v>4</v>
      </c>
      <c r="AD26">
        <v>0</v>
      </c>
      <c r="AE26">
        <v>4</v>
      </c>
      <c r="AF26">
        <v>2</v>
      </c>
      <c r="AG26">
        <v>21</v>
      </c>
      <c r="AH26">
        <v>15.6</v>
      </c>
      <c r="AI26">
        <v>11</v>
      </c>
    </row>
    <row r="27" spans="1:35" ht="21" x14ac:dyDescent="0.3">
      <c r="A27" t="s">
        <v>559</v>
      </c>
      <c r="B27" s="11">
        <v>24</v>
      </c>
      <c r="D27">
        <v>26</v>
      </c>
      <c r="E27" s="4">
        <v>44538</v>
      </c>
      <c r="F27" t="s">
        <v>64</v>
      </c>
      <c r="H27" t="s">
        <v>55</v>
      </c>
      <c r="I27" t="s">
        <v>347</v>
      </c>
      <c r="J27" t="s">
        <v>358</v>
      </c>
      <c r="K27" t="s">
        <v>358</v>
      </c>
      <c r="L27" t="s">
        <v>358</v>
      </c>
      <c r="M27" t="s">
        <v>358</v>
      </c>
      <c r="N27" t="s">
        <v>358</v>
      </c>
      <c r="O27" t="s">
        <v>358</v>
      </c>
      <c r="P27" t="s">
        <v>358</v>
      </c>
      <c r="Q27" t="s">
        <v>358</v>
      </c>
      <c r="R27" t="s">
        <v>358</v>
      </c>
      <c r="S27" t="s">
        <v>358</v>
      </c>
      <c r="T27" t="s">
        <v>358</v>
      </c>
      <c r="U27" t="s">
        <v>358</v>
      </c>
      <c r="V27" t="s">
        <v>358</v>
      </c>
      <c r="W27" t="s">
        <v>358</v>
      </c>
      <c r="X27" t="s">
        <v>358</v>
      </c>
      <c r="Y27" t="s">
        <v>358</v>
      </c>
      <c r="Z27" t="s">
        <v>358</v>
      </c>
      <c r="AA27" t="s">
        <v>358</v>
      </c>
      <c r="AB27" t="s">
        <v>358</v>
      </c>
      <c r="AC27" t="s">
        <v>358</v>
      </c>
      <c r="AD27" t="s">
        <v>358</v>
      </c>
      <c r="AE27" t="s">
        <v>358</v>
      </c>
      <c r="AF27" t="s">
        <v>358</v>
      </c>
      <c r="AG27" t="s">
        <v>358</v>
      </c>
      <c r="AH27" t="s">
        <v>358</v>
      </c>
      <c r="AI27" t="s">
        <v>358</v>
      </c>
    </row>
    <row r="28" spans="1:35" ht="21" x14ac:dyDescent="0.3">
      <c r="A28" t="s">
        <v>559</v>
      </c>
      <c r="B28" s="11">
        <v>24</v>
      </c>
      <c r="D28">
        <v>27</v>
      </c>
      <c r="E28" s="4">
        <v>44541</v>
      </c>
      <c r="F28" t="s">
        <v>64</v>
      </c>
      <c r="H28" t="s">
        <v>104</v>
      </c>
      <c r="I28" t="s">
        <v>387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91</v>
      </c>
      <c r="Q28" t="s">
        <v>91</v>
      </c>
      <c r="R28" t="s">
        <v>91</v>
      </c>
      <c r="S28" t="s">
        <v>91</v>
      </c>
      <c r="T28" t="s">
        <v>91</v>
      </c>
      <c r="U28" t="s">
        <v>91</v>
      </c>
      <c r="V28" t="s">
        <v>91</v>
      </c>
      <c r="W28" t="s">
        <v>91</v>
      </c>
      <c r="X28" t="s">
        <v>91</v>
      </c>
      <c r="Y28" t="s">
        <v>91</v>
      </c>
      <c r="Z28" t="s">
        <v>91</v>
      </c>
      <c r="AA28" t="s">
        <v>91</v>
      </c>
      <c r="AB28" t="s">
        <v>91</v>
      </c>
      <c r="AC28" t="s">
        <v>91</v>
      </c>
      <c r="AD28" t="s">
        <v>91</v>
      </c>
      <c r="AE28" t="s">
        <v>91</v>
      </c>
      <c r="AF28" t="s">
        <v>91</v>
      </c>
      <c r="AG28" t="s">
        <v>91</v>
      </c>
      <c r="AH28" t="s">
        <v>91</v>
      </c>
      <c r="AI28" t="s">
        <v>91</v>
      </c>
    </row>
    <row r="29" spans="1:35" ht="21" x14ac:dyDescent="0.3">
      <c r="A29" t="s">
        <v>559</v>
      </c>
      <c r="B29" s="11">
        <v>24</v>
      </c>
      <c r="D29">
        <v>28</v>
      </c>
      <c r="E29" s="4">
        <v>44543</v>
      </c>
      <c r="F29" t="s">
        <v>64</v>
      </c>
      <c r="H29" t="s">
        <v>99</v>
      </c>
      <c r="I29" t="s">
        <v>388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91</v>
      </c>
      <c r="Q29" t="s">
        <v>91</v>
      </c>
      <c r="R29" t="s">
        <v>91</v>
      </c>
      <c r="S29" t="s">
        <v>91</v>
      </c>
      <c r="T29" t="s">
        <v>91</v>
      </c>
      <c r="U29" t="s">
        <v>91</v>
      </c>
      <c r="V29" t="s">
        <v>91</v>
      </c>
      <c r="W29" t="s">
        <v>91</v>
      </c>
      <c r="X29" t="s">
        <v>91</v>
      </c>
      <c r="Y29" t="s">
        <v>91</v>
      </c>
      <c r="Z29" t="s">
        <v>91</v>
      </c>
      <c r="AA29" t="s">
        <v>91</v>
      </c>
      <c r="AB29" t="s">
        <v>91</v>
      </c>
      <c r="AC29" t="s">
        <v>91</v>
      </c>
      <c r="AD29" t="s">
        <v>91</v>
      </c>
      <c r="AE29" t="s">
        <v>91</v>
      </c>
      <c r="AF29" t="s">
        <v>91</v>
      </c>
      <c r="AG29" t="s">
        <v>91</v>
      </c>
      <c r="AH29" t="s">
        <v>91</v>
      </c>
      <c r="AI29" t="s">
        <v>91</v>
      </c>
    </row>
    <row r="30" spans="1:35" ht="21" x14ac:dyDescent="0.3">
      <c r="A30" t="s">
        <v>559</v>
      </c>
      <c r="B30" s="11">
        <v>24</v>
      </c>
      <c r="D30">
        <v>29</v>
      </c>
      <c r="E30" s="4">
        <v>44545</v>
      </c>
      <c r="F30" t="s">
        <v>64</v>
      </c>
      <c r="G30" t="s">
        <v>37</v>
      </c>
      <c r="H30" t="s">
        <v>118</v>
      </c>
      <c r="I30" t="s">
        <v>389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  <c r="O30" t="s">
        <v>91</v>
      </c>
      <c r="P30" t="s">
        <v>91</v>
      </c>
      <c r="Q30" t="s">
        <v>91</v>
      </c>
      <c r="R30" t="s">
        <v>91</v>
      </c>
      <c r="S30" t="s">
        <v>91</v>
      </c>
      <c r="T30" t="s">
        <v>91</v>
      </c>
      <c r="U30" t="s">
        <v>91</v>
      </c>
      <c r="V30" t="s">
        <v>91</v>
      </c>
      <c r="W30" t="s">
        <v>91</v>
      </c>
      <c r="X30" t="s">
        <v>91</v>
      </c>
      <c r="Y30" t="s">
        <v>91</v>
      </c>
      <c r="Z30" t="s">
        <v>91</v>
      </c>
      <c r="AA30" t="s">
        <v>91</v>
      </c>
      <c r="AB30" t="s">
        <v>91</v>
      </c>
      <c r="AC30" t="s">
        <v>91</v>
      </c>
      <c r="AD30" t="s">
        <v>91</v>
      </c>
      <c r="AE30" t="s">
        <v>91</v>
      </c>
      <c r="AF30" t="s">
        <v>91</v>
      </c>
      <c r="AG30" t="s">
        <v>91</v>
      </c>
      <c r="AH30" t="s">
        <v>91</v>
      </c>
      <c r="AI30" t="s">
        <v>91</v>
      </c>
    </row>
    <row r="31" spans="1:35" ht="21" x14ac:dyDescent="0.3">
      <c r="A31" t="s">
        <v>559</v>
      </c>
      <c r="B31" s="11">
        <v>24</v>
      </c>
      <c r="D31">
        <v>30</v>
      </c>
      <c r="E31" s="4">
        <v>44548</v>
      </c>
      <c r="F31" t="s">
        <v>64</v>
      </c>
      <c r="G31" t="s">
        <v>37</v>
      </c>
      <c r="H31" t="s">
        <v>68</v>
      </c>
      <c r="I31" t="s">
        <v>390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  <c r="O31" t="s">
        <v>91</v>
      </c>
      <c r="P31" t="s">
        <v>91</v>
      </c>
      <c r="Q31" t="s">
        <v>91</v>
      </c>
      <c r="R31" t="s">
        <v>91</v>
      </c>
      <c r="S31" t="s">
        <v>91</v>
      </c>
      <c r="T31" t="s">
        <v>91</v>
      </c>
      <c r="U31" t="s">
        <v>91</v>
      </c>
      <c r="V31" t="s">
        <v>91</v>
      </c>
      <c r="W31" t="s">
        <v>91</v>
      </c>
      <c r="X31" t="s">
        <v>91</v>
      </c>
      <c r="Y31" t="s">
        <v>91</v>
      </c>
      <c r="Z31" t="s">
        <v>91</v>
      </c>
      <c r="AA31" t="s">
        <v>91</v>
      </c>
      <c r="AB31" t="s">
        <v>91</v>
      </c>
      <c r="AC31" t="s">
        <v>91</v>
      </c>
      <c r="AD31" t="s">
        <v>91</v>
      </c>
      <c r="AE31" t="s">
        <v>91</v>
      </c>
      <c r="AF31" t="s">
        <v>91</v>
      </c>
      <c r="AG31" t="s">
        <v>91</v>
      </c>
      <c r="AH31" t="s">
        <v>91</v>
      </c>
      <c r="AI31" t="s">
        <v>91</v>
      </c>
    </row>
    <row r="32" spans="1:35" ht="21" x14ac:dyDescent="0.3">
      <c r="A32" t="s">
        <v>559</v>
      </c>
      <c r="B32" s="11">
        <v>25</v>
      </c>
      <c r="C32">
        <v>731</v>
      </c>
      <c r="D32">
        <v>31</v>
      </c>
      <c r="E32" s="4">
        <v>44550</v>
      </c>
      <c r="F32" t="s">
        <v>64</v>
      </c>
      <c r="H32" t="s">
        <v>102</v>
      </c>
      <c r="I32" t="s">
        <v>391</v>
      </c>
      <c r="J32" t="s">
        <v>41</v>
      </c>
      <c r="K32" s="9">
        <v>1.2708333333333333</v>
      </c>
      <c r="L32">
        <v>8</v>
      </c>
      <c r="M32">
        <v>17</v>
      </c>
      <c r="N32">
        <v>0.47099999999999997</v>
      </c>
      <c r="O32">
        <v>3</v>
      </c>
      <c r="P32">
        <v>9</v>
      </c>
      <c r="Q32">
        <v>0.33300000000000002</v>
      </c>
      <c r="R32">
        <v>5</v>
      </c>
      <c r="S32">
        <v>8</v>
      </c>
      <c r="T32">
        <v>0.625</v>
      </c>
      <c r="U32">
        <v>0.55900000000000005</v>
      </c>
      <c r="V32">
        <v>6</v>
      </c>
      <c r="W32">
        <v>7</v>
      </c>
      <c r="X32">
        <v>0.85699999999999998</v>
      </c>
      <c r="Y32">
        <v>1</v>
      </c>
      <c r="Z32">
        <v>5</v>
      </c>
      <c r="AA32">
        <v>6</v>
      </c>
      <c r="AB32">
        <v>6</v>
      </c>
      <c r="AC32">
        <v>3</v>
      </c>
      <c r="AD32">
        <v>0</v>
      </c>
      <c r="AE32">
        <v>5</v>
      </c>
      <c r="AF32">
        <v>1</v>
      </c>
      <c r="AG32">
        <v>25</v>
      </c>
      <c r="AH32">
        <v>19.899999999999999</v>
      </c>
      <c r="AI32">
        <v>-14</v>
      </c>
    </row>
    <row r="33" spans="1:35" ht="21" x14ac:dyDescent="0.3">
      <c r="A33" t="s">
        <v>559</v>
      </c>
      <c r="B33" s="11">
        <v>26</v>
      </c>
      <c r="C33">
        <v>732</v>
      </c>
      <c r="D33">
        <v>32</v>
      </c>
      <c r="E33" s="4">
        <v>44552</v>
      </c>
      <c r="F33" t="s">
        <v>64</v>
      </c>
      <c r="G33" t="s">
        <v>37</v>
      </c>
      <c r="H33" t="s">
        <v>66</v>
      </c>
      <c r="I33" t="s">
        <v>392</v>
      </c>
      <c r="J33" t="s">
        <v>41</v>
      </c>
      <c r="K33" s="9">
        <v>1.34375</v>
      </c>
      <c r="L33">
        <v>6</v>
      </c>
      <c r="M33">
        <v>18</v>
      </c>
      <c r="N33">
        <v>0.33300000000000002</v>
      </c>
      <c r="O33">
        <v>3</v>
      </c>
      <c r="P33">
        <v>7</v>
      </c>
      <c r="Q33">
        <v>0.42899999999999999</v>
      </c>
      <c r="R33">
        <v>3</v>
      </c>
      <c r="S33">
        <v>11</v>
      </c>
      <c r="T33">
        <v>0.27300000000000002</v>
      </c>
      <c r="U33">
        <v>0.41699999999999998</v>
      </c>
      <c r="V33">
        <v>2</v>
      </c>
      <c r="W33">
        <v>2</v>
      </c>
      <c r="X33">
        <v>1</v>
      </c>
      <c r="Y33">
        <v>0</v>
      </c>
      <c r="Z33">
        <v>4</v>
      </c>
      <c r="AA33">
        <v>4</v>
      </c>
      <c r="AB33">
        <v>6</v>
      </c>
      <c r="AC33">
        <v>5</v>
      </c>
      <c r="AD33">
        <v>1</v>
      </c>
      <c r="AE33">
        <v>2</v>
      </c>
      <c r="AF33">
        <v>2</v>
      </c>
      <c r="AG33">
        <v>17</v>
      </c>
      <c r="AH33">
        <v>15.1</v>
      </c>
      <c r="AI33">
        <v>8</v>
      </c>
    </row>
    <row r="34" spans="1:35" ht="21" x14ac:dyDescent="0.3">
      <c r="A34" t="s">
        <v>559</v>
      </c>
      <c r="B34" s="11">
        <v>26</v>
      </c>
      <c r="D34">
        <v>33</v>
      </c>
      <c r="E34" s="4">
        <v>44556</v>
      </c>
      <c r="F34" t="s">
        <v>64</v>
      </c>
      <c r="H34" t="s">
        <v>34</v>
      </c>
      <c r="I34" t="s">
        <v>393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  <c r="O34" t="s">
        <v>91</v>
      </c>
      <c r="P34" t="s">
        <v>91</v>
      </c>
      <c r="Q34" t="s">
        <v>91</v>
      </c>
      <c r="R34" t="s">
        <v>91</v>
      </c>
      <c r="S34" t="s">
        <v>91</v>
      </c>
      <c r="T34" t="s">
        <v>91</v>
      </c>
      <c r="U34" t="s">
        <v>91</v>
      </c>
      <c r="V34" t="s">
        <v>91</v>
      </c>
      <c r="W34" t="s">
        <v>91</v>
      </c>
      <c r="X34" t="s">
        <v>91</v>
      </c>
      <c r="Y34" t="s">
        <v>91</v>
      </c>
      <c r="Z34" t="s">
        <v>91</v>
      </c>
      <c r="AA34" t="s">
        <v>91</v>
      </c>
      <c r="AB34" t="s">
        <v>91</v>
      </c>
      <c r="AC34" t="s">
        <v>91</v>
      </c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 t="s">
        <v>91</v>
      </c>
    </row>
    <row r="35" spans="1:35" ht="21" x14ac:dyDescent="0.3">
      <c r="A35" t="s">
        <v>559</v>
      </c>
      <c r="B35" s="11">
        <v>26</v>
      </c>
      <c r="D35">
        <v>34</v>
      </c>
      <c r="E35" s="4">
        <v>44557</v>
      </c>
      <c r="F35" t="s">
        <v>64</v>
      </c>
      <c r="H35" t="s">
        <v>85</v>
      </c>
      <c r="I35" t="s">
        <v>394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  <c r="O35" t="s">
        <v>91</v>
      </c>
      <c r="P35" t="s">
        <v>91</v>
      </c>
      <c r="Q35" t="s">
        <v>91</v>
      </c>
      <c r="R35" t="s">
        <v>91</v>
      </c>
      <c r="S35" t="s">
        <v>91</v>
      </c>
      <c r="T35" t="s">
        <v>91</v>
      </c>
      <c r="U35" t="s">
        <v>91</v>
      </c>
      <c r="V35" t="s">
        <v>91</v>
      </c>
      <c r="W35" t="s">
        <v>91</v>
      </c>
      <c r="X35" t="s">
        <v>91</v>
      </c>
      <c r="Y35" t="s">
        <v>91</v>
      </c>
      <c r="Z35" t="s">
        <v>91</v>
      </c>
      <c r="AA35" t="s">
        <v>91</v>
      </c>
      <c r="AB35" t="s">
        <v>91</v>
      </c>
      <c r="AC35" t="s">
        <v>91</v>
      </c>
      <c r="AD35" t="s">
        <v>91</v>
      </c>
      <c r="AE35" t="s">
        <v>91</v>
      </c>
      <c r="AF35" t="s">
        <v>91</v>
      </c>
      <c r="AG35" t="s">
        <v>91</v>
      </c>
      <c r="AH35" t="s">
        <v>91</v>
      </c>
      <c r="AI35" t="s">
        <v>91</v>
      </c>
    </row>
    <row r="36" spans="1:35" ht="21" x14ac:dyDescent="0.3">
      <c r="A36" t="s">
        <v>559</v>
      </c>
      <c r="B36" s="11">
        <v>26</v>
      </c>
      <c r="D36">
        <v>35</v>
      </c>
      <c r="E36" s="4">
        <v>44559</v>
      </c>
      <c r="F36" t="s">
        <v>64</v>
      </c>
      <c r="G36" t="s">
        <v>37</v>
      </c>
      <c r="H36" t="s">
        <v>55</v>
      </c>
      <c r="I36" t="s">
        <v>395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  <c r="O36" t="s">
        <v>91</v>
      </c>
      <c r="P36" t="s">
        <v>91</v>
      </c>
      <c r="Q36" t="s">
        <v>91</v>
      </c>
      <c r="R36" t="s">
        <v>91</v>
      </c>
      <c r="S36" t="s">
        <v>91</v>
      </c>
      <c r="T36" t="s">
        <v>91</v>
      </c>
      <c r="U36" t="s">
        <v>91</v>
      </c>
      <c r="V36" t="s">
        <v>91</v>
      </c>
      <c r="W36" t="s">
        <v>91</v>
      </c>
      <c r="X36" t="s">
        <v>91</v>
      </c>
      <c r="Y36" t="s">
        <v>91</v>
      </c>
      <c r="Z36" t="s">
        <v>91</v>
      </c>
      <c r="AA36" t="s">
        <v>91</v>
      </c>
      <c r="AB36" t="s">
        <v>91</v>
      </c>
      <c r="AC36" t="s">
        <v>91</v>
      </c>
      <c r="AD36" t="s">
        <v>91</v>
      </c>
      <c r="AE36" t="s">
        <v>91</v>
      </c>
      <c r="AF36" t="s">
        <v>91</v>
      </c>
      <c r="AG36" t="s">
        <v>91</v>
      </c>
      <c r="AH36" t="s">
        <v>91</v>
      </c>
      <c r="AI36" t="s">
        <v>91</v>
      </c>
    </row>
    <row r="37" spans="1:35" ht="21" x14ac:dyDescent="0.3">
      <c r="A37" t="s">
        <v>559</v>
      </c>
      <c r="B37" s="11">
        <v>26</v>
      </c>
      <c r="D37">
        <v>36</v>
      </c>
      <c r="E37" s="4">
        <v>44561</v>
      </c>
      <c r="F37" t="s">
        <v>64</v>
      </c>
      <c r="G37" t="s">
        <v>37</v>
      </c>
      <c r="H37" t="s">
        <v>92</v>
      </c>
      <c r="I37" t="s">
        <v>125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  <c r="O37" t="s">
        <v>91</v>
      </c>
      <c r="P37" t="s">
        <v>91</v>
      </c>
      <c r="Q37" t="s">
        <v>91</v>
      </c>
      <c r="R37" t="s">
        <v>91</v>
      </c>
      <c r="S37" t="s">
        <v>91</v>
      </c>
      <c r="T37" t="s">
        <v>91</v>
      </c>
      <c r="U37" t="s">
        <v>91</v>
      </c>
      <c r="V37" t="s">
        <v>91</v>
      </c>
      <c r="W37" t="s">
        <v>91</v>
      </c>
      <c r="X37" t="s">
        <v>91</v>
      </c>
      <c r="Y37" t="s">
        <v>91</v>
      </c>
      <c r="Z37" t="s">
        <v>91</v>
      </c>
      <c r="AA37" t="s">
        <v>91</v>
      </c>
      <c r="AB37" t="s">
        <v>91</v>
      </c>
      <c r="AC37" t="s">
        <v>91</v>
      </c>
      <c r="AD37" t="s">
        <v>91</v>
      </c>
      <c r="AE37" t="s">
        <v>91</v>
      </c>
      <c r="AF37" t="s">
        <v>91</v>
      </c>
      <c r="AG37" t="s">
        <v>91</v>
      </c>
      <c r="AH37" t="s">
        <v>91</v>
      </c>
      <c r="AI37" t="s">
        <v>91</v>
      </c>
    </row>
    <row r="38" spans="1:35" ht="21" x14ac:dyDescent="0.3">
      <c r="A38" t="s">
        <v>559</v>
      </c>
      <c r="B38" s="11">
        <v>26</v>
      </c>
      <c r="D38">
        <v>37</v>
      </c>
      <c r="E38" s="4">
        <v>44562</v>
      </c>
      <c r="F38" t="s">
        <v>64</v>
      </c>
      <c r="G38" t="s">
        <v>37</v>
      </c>
      <c r="H38" t="s">
        <v>85</v>
      </c>
      <c r="I38" t="s">
        <v>396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  <c r="O38" t="s">
        <v>91</v>
      </c>
      <c r="P38" t="s">
        <v>91</v>
      </c>
      <c r="Q38" t="s">
        <v>91</v>
      </c>
      <c r="R38" t="s">
        <v>91</v>
      </c>
      <c r="S38" t="s">
        <v>91</v>
      </c>
      <c r="T38" t="s">
        <v>91</v>
      </c>
      <c r="U38" t="s">
        <v>91</v>
      </c>
      <c r="V38" t="s">
        <v>91</v>
      </c>
      <c r="W38" t="s">
        <v>91</v>
      </c>
      <c r="X38" t="s">
        <v>91</v>
      </c>
      <c r="Y38" t="s">
        <v>91</v>
      </c>
      <c r="Z38" t="s">
        <v>91</v>
      </c>
      <c r="AA38" t="s">
        <v>91</v>
      </c>
      <c r="AB38" t="s">
        <v>91</v>
      </c>
      <c r="AC38" t="s">
        <v>91</v>
      </c>
      <c r="AD38" t="s">
        <v>91</v>
      </c>
      <c r="AE38" t="s">
        <v>91</v>
      </c>
      <c r="AF38" t="s">
        <v>91</v>
      </c>
      <c r="AG38" t="s">
        <v>91</v>
      </c>
      <c r="AH38" t="s">
        <v>91</v>
      </c>
      <c r="AI38" t="s">
        <v>91</v>
      </c>
    </row>
    <row r="39" spans="1:35" ht="21" x14ac:dyDescent="0.3">
      <c r="A39" t="s">
        <v>559</v>
      </c>
      <c r="B39" s="11">
        <v>26</v>
      </c>
      <c r="D39">
        <v>38</v>
      </c>
      <c r="E39" s="4">
        <v>44564</v>
      </c>
      <c r="F39" t="s">
        <v>64</v>
      </c>
      <c r="H39" t="s">
        <v>80</v>
      </c>
      <c r="I39" t="s">
        <v>397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  <c r="O39" t="s">
        <v>91</v>
      </c>
      <c r="P39" t="s">
        <v>91</v>
      </c>
      <c r="Q39" t="s">
        <v>91</v>
      </c>
      <c r="R39" t="s">
        <v>91</v>
      </c>
      <c r="S39" t="s">
        <v>91</v>
      </c>
      <c r="T39" t="s">
        <v>91</v>
      </c>
      <c r="U39" t="s">
        <v>91</v>
      </c>
      <c r="V39" t="s">
        <v>91</v>
      </c>
      <c r="W39" t="s">
        <v>91</v>
      </c>
      <c r="X39" t="s">
        <v>91</v>
      </c>
      <c r="Y39" t="s">
        <v>91</v>
      </c>
      <c r="Z39" t="s">
        <v>91</v>
      </c>
      <c r="AA39" t="s">
        <v>91</v>
      </c>
      <c r="AB39" t="s">
        <v>91</v>
      </c>
      <c r="AC39" t="s">
        <v>91</v>
      </c>
      <c r="AD39" t="s">
        <v>91</v>
      </c>
      <c r="AE39" t="s">
        <v>91</v>
      </c>
      <c r="AF39" t="s">
        <v>91</v>
      </c>
      <c r="AG39" t="s">
        <v>91</v>
      </c>
      <c r="AH39" t="s">
        <v>91</v>
      </c>
      <c r="AI39" t="s">
        <v>91</v>
      </c>
    </row>
    <row r="40" spans="1:35" ht="21" x14ac:dyDescent="0.3">
      <c r="A40" t="s">
        <v>559</v>
      </c>
      <c r="B40" s="11">
        <v>26</v>
      </c>
      <c r="D40">
        <v>39</v>
      </c>
      <c r="E40" s="4">
        <v>44567</v>
      </c>
      <c r="F40" t="s">
        <v>64</v>
      </c>
      <c r="G40" t="s">
        <v>37</v>
      </c>
      <c r="H40" t="s">
        <v>99</v>
      </c>
      <c r="I40" t="s">
        <v>398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  <c r="O40" t="s">
        <v>91</v>
      </c>
      <c r="P40" t="s">
        <v>91</v>
      </c>
      <c r="Q40" t="s">
        <v>91</v>
      </c>
      <c r="R40" t="s">
        <v>91</v>
      </c>
      <c r="S40" t="s">
        <v>91</v>
      </c>
      <c r="T40" t="s">
        <v>91</v>
      </c>
      <c r="U40" t="s">
        <v>91</v>
      </c>
      <c r="V40" t="s">
        <v>91</v>
      </c>
      <c r="W40" t="s">
        <v>91</v>
      </c>
      <c r="X40" t="s">
        <v>91</v>
      </c>
      <c r="Y40" t="s">
        <v>91</v>
      </c>
      <c r="Z40" t="s">
        <v>91</v>
      </c>
      <c r="AA40" t="s">
        <v>91</v>
      </c>
      <c r="AB40" t="s">
        <v>91</v>
      </c>
      <c r="AC40" t="s">
        <v>91</v>
      </c>
      <c r="AD40" t="s">
        <v>91</v>
      </c>
      <c r="AE40" t="s">
        <v>91</v>
      </c>
      <c r="AF40" t="s">
        <v>91</v>
      </c>
      <c r="AG40" t="s">
        <v>91</v>
      </c>
      <c r="AH40" t="s">
        <v>91</v>
      </c>
      <c r="AI40" t="s">
        <v>91</v>
      </c>
    </row>
    <row r="41" spans="1:35" ht="21" x14ac:dyDescent="0.3">
      <c r="A41" t="s">
        <v>559</v>
      </c>
      <c r="B41" s="11">
        <v>26</v>
      </c>
      <c r="D41">
        <v>40</v>
      </c>
      <c r="E41" s="4">
        <v>44569</v>
      </c>
      <c r="F41" t="s">
        <v>64</v>
      </c>
      <c r="H41" t="s">
        <v>42</v>
      </c>
      <c r="I41" t="s">
        <v>299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  <c r="O41" t="s">
        <v>91</v>
      </c>
      <c r="P41" t="s">
        <v>91</v>
      </c>
      <c r="Q41" t="s">
        <v>91</v>
      </c>
      <c r="R41" t="s">
        <v>91</v>
      </c>
      <c r="S41" t="s">
        <v>91</v>
      </c>
      <c r="T41" t="s">
        <v>91</v>
      </c>
      <c r="U41" t="s">
        <v>91</v>
      </c>
      <c r="V41" t="s">
        <v>91</v>
      </c>
      <c r="W41" t="s">
        <v>91</v>
      </c>
      <c r="X41" t="s">
        <v>91</v>
      </c>
      <c r="Y41" t="s">
        <v>91</v>
      </c>
      <c r="Z41" t="s">
        <v>91</v>
      </c>
      <c r="AA41" t="s">
        <v>91</v>
      </c>
      <c r="AB41" t="s">
        <v>91</v>
      </c>
      <c r="AC41" t="s">
        <v>91</v>
      </c>
      <c r="AD41" t="s">
        <v>91</v>
      </c>
      <c r="AE41" t="s">
        <v>91</v>
      </c>
      <c r="AF41" t="s">
        <v>91</v>
      </c>
      <c r="AG41" t="s">
        <v>91</v>
      </c>
      <c r="AH41" t="s">
        <v>91</v>
      </c>
      <c r="AI41" t="s">
        <v>91</v>
      </c>
    </row>
    <row r="42" spans="1:35" ht="21" x14ac:dyDescent="0.3">
      <c r="A42" t="s">
        <v>559</v>
      </c>
      <c r="B42" s="11">
        <v>26</v>
      </c>
      <c r="D42">
        <v>41</v>
      </c>
      <c r="E42" s="4">
        <v>44570</v>
      </c>
      <c r="F42" t="s">
        <v>64</v>
      </c>
      <c r="H42" t="s">
        <v>78</v>
      </c>
      <c r="I42" t="s">
        <v>399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  <c r="O42" t="s">
        <v>91</v>
      </c>
      <c r="P42" t="s">
        <v>91</v>
      </c>
      <c r="Q42" t="s">
        <v>91</v>
      </c>
      <c r="R42" t="s">
        <v>91</v>
      </c>
      <c r="S42" t="s">
        <v>91</v>
      </c>
      <c r="T42" t="s">
        <v>91</v>
      </c>
      <c r="U42" t="s">
        <v>91</v>
      </c>
      <c r="V42" t="s">
        <v>91</v>
      </c>
      <c r="W42" t="s">
        <v>91</v>
      </c>
      <c r="X42" t="s">
        <v>91</v>
      </c>
      <c r="Y42" t="s">
        <v>91</v>
      </c>
      <c r="Z42" t="s">
        <v>91</v>
      </c>
      <c r="AA42" t="s">
        <v>91</v>
      </c>
      <c r="AB42" t="s">
        <v>91</v>
      </c>
      <c r="AC42" t="s">
        <v>91</v>
      </c>
      <c r="AD42" t="s">
        <v>91</v>
      </c>
      <c r="AE42" t="s">
        <v>91</v>
      </c>
      <c r="AF42" t="s">
        <v>91</v>
      </c>
      <c r="AG42" t="s">
        <v>91</v>
      </c>
      <c r="AH42" t="s">
        <v>91</v>
      </c>
      <c r="AI42" t="s">
        <v>91</v>
      </c>
    </row>
    <row r="43" spans="1:35" ht="21" x14ac:dyDescent="0.3">
      <c r="A43" t="s">
        <v>559</v>
      </c>
      <c r="B43" s="11">
        <v>26</v>
      </c>
      <c r="D43">
        <v>42</v>
      </c>
      <c r="E43" s="4">
        <v>44572</v>
      </c>
      <c r="F43" t="s">
        <v>64</v>
      </c>
      <c r="H43" t="s">
        <v>34</v>
      </c>
      <c r="I43" t="s">
        <v>400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  <c r="O43" t="s">
        <v>91</v>
      </c>
      <c r="P43" t="s">
        <v>91</v>
      </c>
      <c r="Q43" t="s">
        <v>91</v>
      </c>
      <c r="R43" t="s">
        <v>91</v>
      </c>
      <c r="S43" t="s">
        <v>91</v>
      </c>
      <c r="T43" t="s">
        <v>91</v>
      </c>
      <c r="U43" t="s">
        <v>91</v>
      </c>
      <c r="V43" t="s">
        <v>91</v>
      </c>
      <c r="W43" t="s">
        <v>91</v>
      </c>
      <c r="X43" t="s">
        <v>91</v>
      </c>
      <c r="Y43" t="s">
        <v>91</v>
      </c>
      <c r="Z43" t="s">
        <v>91</v>
      </c>
      <c r="AA43" t="s">
        <v>91</v>
      </c>
      <c r="AB43" t="s">
        <v>91</v>
      </c>
      <c r="AC43" t="s">
        <v>91</v>
      </c>
      <c r="AD43" t="s">
        <v>91</v>
      </c>
      <c r="AE43" t="s">
        <v>91</v>
      </c>
      <c r="AF43" t="s">
        <v>91</v>
      </c>
      <c r="AG43" t="s">
        <v>91</v>
      </c>
      <c r="AH43" t="s">
        <v>91</v>
      </c>
      <c r="AI43" t="s">
        <v>91</v>
      </c>
    </row>
    <row r="44" spans="1:35" ht="21" x14ac:dyDescent="0.3">
      <c r="A44" t="s">
        <v>559</v>
      </c>
      <c r="B44" s="11">
        <v>26</v>
      </c>
      <c r="D44">
        <v>43</v>
      </c>
      <c r="E44" s="4">
        <v>44574</v>
      </c>
      <c r="F44" t="s">
        <v>64</v>
      </c>
      <c r="G44" t="s">
        <v>37</v>
      </c>
      <c r="H44" t="s">
        <v>74</v>
      </c>
      <c r="I44" t="s">
        <v>401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  <c r="O44" t="s">
        <v>91</v>
      </c>
      <c r="P44" t="s">
        <v>91</v>
      </c>
      <c r="Q44" t="s">
        <v>91</v>
      </c>
      <c r="R44" t="s">
        <v>91</v>
      </c>
      <c r="S44" t="s">
        <v>91</v>
      </c>
      <c r="T44" t="s">
        <v>91</v>
      </c>
      <c r="U44" t="s">
        <v>91</v>
      </c>
      <c r="V44" t="s">
        <v>91</v>
      </c>
      <c r="W44" t="s">
        <v>91</v>
      </c>
      <c r="X44" t="s">
        <v>91</v>
      </c>
      <c r="Y44" t="s">
        <v>91</v>
      </c>
      <c r="Z44" t="s">
        <v>91</v>
      </c>
      <c r="AA44" t="s">
        <v>91</v>
      </c>
      <c r="AB44" t="s">
        <v>91</v>
      </c>
      <c r="AC44" t="s">
        <v>91</v>
      </c>
      <c r="AD44" t="s">
        <v>91</v>
      </c>
      <c r="AE44" t="s">
        <v>91</v>
      </c>
      <c r="AF44" t="s">
        <v>91</v>
      </c>
      <c r="AG44" t="s">
        <v>91</v>
      </c>
      <c r="AH44" t="s">
        <v>91</v>
      </c>
      <c r="AI44" t="s">
        <v>91</v>
      </c>
    </row>
    <row r="45" spans="1:35" ht="21" x14ac:dyDescent="0.3">
      <c r="A45" t="s">
        <v>559</v>
      </c>
      <c r="B45" s="11">
        <v>26</v>
      </c>
      <c r="D45">
        <v>44</v>
      </c>
      <c r="E45" s="4">
        <v>44576</v>
      </c>
      <c r="F45" t="s">
        <v>64</v>
      </c>
      <c r="G45" t="s">
        <v>37</v>
      </c>
      <c r="H45" t="s">
        <v>102</v>
      </c>
      <c r="I45" t="s">
        <v>402</v>
      </c>
      <c r="J45" t="s">
        <v>91</v>
      </c>
      <c r="K45" t="s">
        <v>91</v>
      </c>
      <c r="L45" t="s">
        <v>91</v>
      </c>
      <c r="M45" t="s">
        <v>91</v>
      </c>
      <c r="N45" t="s">
        <v>91</v>
      </c>
      <c r="O45" t="s">
        <v>91</v>
      </c>
      <c r="P45" t="s">
        <v>91</v>
      </c>
      <c r="Q45" t="s">
        <v>91</v>
      </c>
      <c r="R45" t="s">
        <v>91</v>
      </c>
      <c r="S45" t="s">
        <v>91</v>
      </c>
      <c r="T45" t="s">
        <v>91</v>
      </c>
      <c r="U45" t="s">
        <v>91</v>
      </c>
      <c r="V45" t="s">
        <v>91</v>
      </c>
      <c r="W45" t="s">
        <v>91</v>
      </c>
      <c r="X45" t="s">
        <v>91</v>
      </c>
      <c r="Y45" t="s">
        <v>91</v>
      </c>
      <c r="Z45" t="s">
        <v>91</v>
      </c>
      <c r="AA45" t="s">
        <v>91</v>
      </c>
      <c r="AB45" t="s">
        <v>91</v>
      </c>
      <c r="AC45" t="s">
        <v>91</v>
      </c>
      <c r="AD45" t="s">
        <v>91</v>
      </c>
      <c r="AE45" t="s">
        <v>91</v>
      </c>
      <c r="AF45" t="s">
        <v>91</v>
      </c>
      <c r="AG45" t="s">
        <v>91</v>
      </c>
      <c r="AH45" t="s">
        <v>91</v>
      </c>
      <c r="AI45" t="s">
        <v>91</v>
      </c>
    </row>
    <row r="46" spans="1:35" ht="21" x14ac:dyDescent="0.3">
      <c r="A46" t="s">
        <v>559</v>
      </c>
      <c r="B46" s="11">
        <v>26</v>
      </c>
      <c r="D46">
        <v>45</v>
      </c>
      <c r="E46" s="4">
        <v>44578</v>
      </c>
      <c r="F46" t="s">
        <v>64</v>
      </c>
      <c r="H46" t="s">
        <v>108</v>
      </c>
      <c r="I46" t="s">
        <v>403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  <c r="O46" t="s">
        <v>91</v>
      </c>
      <c r="P46" t="s">
        <v>91</v>
      </c>
      <c r="Q46" t="s">
        <v>91</v>
      </c>
      <c r="R46" t="s">
        <v>91</v>
      </c>
      <c r="S46" t="s">
        <v>91</v>
      </c>
      <c r="T46" t="s">
        <v>91</v>
      </c>
      <c r="U46" t="s">
        <v>91</v>
      </c>
      <c r="V46" t="s">
        <v>91</v>
      </c>
      <c r="W46" t="s">
        <v>91</v>
      </c>
      <c r="X46" t="s">
        <v>91</v>
      </c>
      <c r="Y46" t="s">
        <v>91</v>
      </c>
      <c r="Z46" t="s">
        <v>91</v>
      </c>
      <c r="AA46" t="s">
        <v>91</v>
      </c>
      <c r="AB46" t="s">
        <v>91</v>
      </c>
      <c r="AC46" t="s">
        <v>91</v>
      </c>
      <c r="AD46" t="s">
        <v>91</v>
      </c>
      <c r="AE46" t="s">
        <v>91</v>
      </c>
      <c r="AF46" t="s">
        <v>91</v>
      </c>
      <c r="AG46" t="s">
        <v>91</v>
      </c>
      <c r="AH46" t="s">
        <v>91</v>
      </c>
      <c r="AI46" t="s">
        <v>91</v>
      </c>
    </row>
    <row r="47" spans="1:35" ht="21" x14ac:dyDescent="0.3">
      <c r="A47" t="s">
        <v>559</v>
      </c>
      <c r="B47" s="11">
        <v>26</v>
      </c>
      <c r="D47">
        <v>46</v>
      </c>
      <c r="E47" s="4">
        <v>44580</v>
      </c>
      <c r="F47" t="s">
        <v>64</v>
      </c>
      <c r="G47" t="s">
        <v>37</v>
      </c>
      <c r="H47" t="s">
        <v>34</v>
      </c>
      <c r="I47" t="s">
        <v>404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  <c r="O47" t="s">
        <v>91</v>
      </c>
      <c r="P47" t="s">
        <v>91</v>
      </c>
      <c r="Q47" t="s">
        <v>91</v>
      </c>
      <c r="R47" t="s">
        <v>91</v>
      </c>
      <c r="S47" t="s">
        <v>91</v>
      </c>
      <c r="T47" t="s">
        <v>91</v>
      </c>
      <c r="U47" t="s">
        <v>91</v>
      </c>
      <c r="V47" t="s">
        <v>91</v>
      </c>
      <c r="W47" t="s">
        <v>91</v>
      </c>
      <c r="X47" t="s">
        <v>91</v>
      </c>
      <c r="Y47" t="s">
        <v>91</v>
      </c>
      <c r="Z47" t="s">
        <v>91</v>
      </c>
      <c r="AA47" t="s">
        <v>91</v>
      </c>
      <c r="AB47" t="s">
        <v>91</v>
      </c>
      <c r="AC47" t="s">
        <v>91</v>
      </c>
      <c r="AD47" t="s">
        <v>91</v>
      </c>
      <c r="AE47" t="s">
        <v>91</v>
      </c>
      <c r="AF47" t="s">
        <v>91</v>
      </c>
      <c r="AG47" t="s">
        <v>91</v>
      </c>
      <c r="AH47" t="s">
        <v>91</v>
      </c>
      <c r="AI47" t="s">
        <v>91</v>
      </c>
    </row>
    <row r="48" spans="1:35" ht="21" x14ac:dyDescent="0.3">
      <c r="A48" t="s">
        <v>559</v>
      </c>
      <c r="B48" s="11">
        <v>26</v>
      </c>
      <c r="D48">
        <v>47</v>
      </c>
      <c r="E48" s="4">
        <v>44582</v>
      </c>
      <c r="F48" t="s">
        <v>64</v>
      </c>
      <c r="G48" t="s">
        <v>37</v>
      </c>
      <c r="H48" t="s">
        <v>94</v>
      </c>
      <c r="I48" t="s">
        <v>405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  <c r="O48" t="s">
        <v>91</v>
      </c>
      <c r="P48" t="s">
        <v>91</v>
      </c>
      <c r="Q48" t="s">
        <v>91</v>
      </c>
      <c r="R48" t="s">
        <v>91</v>
      </c>
      <c r="S48" t="s">
        <v>91</v>
      </c>
      <c r="T48" t="s">
        <v>91</v>
      </c>
      <c r="U48" t="s">
        <v>91</v>
      </c>
      <c r="V48" t="s">
        <v>91</v>
      </c>
      <c r="W48" t="s">
        <v>91</v>
      </c>
      <c r="X48" t="s">
        <v>91</v>
      </c>
      <c r="Y48" t="s">
        <v>91</v>
      </c>
      <c r="Z48" t="s">
        <v>91</v>
      </c>
      <c r="AA48" t="s">
        <v>91</v>
      </c>
      <c r="AB48" t="s">
        <v>91</v>
      </c>
      <c r="AC48" t="s">
        <v>91</v>
      </c>
      <c r="AD48" t="s">
        <v>91</v>
      </c>
      <c r="AE48" t="s">
        <v>91</v>
      </c>
      <c r="AF48" t="s">
        <v>91</v>
      </c>
      <c r="AG48" t="s">
        <v>91</v>
      </c>
      <c r="AH48" t="s">
        <v>91</v>
      </c>
      <c r="AI48" t="s">
        <v>91</v>
      </c>
    </row>
    <row r="49" spans="1:35" ht="21" x14ac:dyDescent="0.3">
      <c r="A49" t="s">
        <v>559</v>
      </c>
      <c r="B49" s="11">
        <v>26</v>
      </c>
      <c r="D49">
        <v>48</v>
      </c>
      <c r="E49" s="4">
        <v>44584</v>
      </c>
      <c r="F49" t="s">
        <v>64</v>
      </c>
      <c r="G49" t="s">
        <v>37</v>
      </c>
      <c r="H49" t="s">
        <v>110</v>
      </c>
      <c r="I49" t="s">
        <v>406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  <c r="O49" t="s">
        <v>91</v>
      </c>
      <c r="P49" t="s">
        <v>91</v>
      </c>
      <c r="Q49" t="s">
        <v>91</v>
      </c>
      <c r="R49" t="s">
        <v>91</v>
      </c>
      <c r="S49" t="s">
        <v>91</v>
      </c>
      <c r="T49" t="s">
        <v>91</v>
      </c>
      <c r="U49" t="s">
        <v>91</v>
      </c>
      <c r="V49" t="s">
        <v>91</v>
      </c>
      <c r="W49" t="s">
        <v>91</v>
      </c>
      <c r="X49" t="s">
        <v>91</v>
      </c>
      <c r="Y49" t="s">
        <v>91</v>
      </c>
      <c r="Z49" t="s">
        <v>91</v>
      </c>
      <c r="AA49" t="s">
        <v>91</v>
      </c>
      <c r="AB49" t="s">
        <v>91</v>
      </c>
      <c r="AC49" t="s">
        <v>91</v>
      </c>
      <c r="AD49" t="s">
        <v>91</v>
      </c>
      <c r="AE49" t="s">
        <v>91</v>
      </c>
      <c r="AF49" t="s">
        <v>91</v>
      </c>
      <c r="AG49" t="s">
        <v>91</v>
      </c>
      <c r="AH49" t="s">
        <v>91</v>
      </c>
      <c r="AI49" t="s">
        <v>91</v>
      </c>
    </row>
    <row r="50" spans="1:35" ht="21" x14ac:dyDescent="0.3">
      <c r="A50" t="s">
        <v>559</v>
      </c>
      <c r="B50" s="11">
        <v>26</v>
      </c>
      <c r="D50">
        <v>49</v>
      </c>
      <c r="E50" s="4">
        <v>44586</v>
      </c>
      <c r="F50" t="s">
        <v>64</v>
      </c>
      <c r="G50" t="s">
        <v>37</v>
      </c>
      <c r="H50" t="s">
        <v>155</v>
      </c>
      <c r="I50" t="s">
        <v>407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  <c r="O50" t="s">
        <v>91</v>
      </c>
      <c r="P50" t="s">
        <v>91</v>
      </c>
      <c r="Q50" t="s">
        <v>91</v>
      </c>
      <c r="R50" t="s">
        <v>91</v>
      </c>
      <c r="S50" t="s">
        <v>91</v>
      </c>
      <c r="T50" t="s">
        <v>91</v>
      </c>
      <c r="U50" t="s">
        <v>91</v>
      </c>
      <c r="V50" t="s">
        <v>91</v>
      </c>
      <c r="W50" t="s">
        <v>91</v>
      </c>
      <c r="X50" t="s">
        <v>91</v>
      </c>
      <c r="Y50" t="s">
        <v>91</v>
      </c>
      <c r="Z50" t="s">
        <v>91</v>
      </c>
      <c r="AA50" t="s">
        <v>91</v>
      </c>
      <c r="AB50" t="s">
        <v>91</v>
      </c>
      <c r="AC50" t="s">
        <v>91</v>
      </c>
      <c r="AD50" t="s">
        <v>91</v>
      </c>
      <c r="AE50" t="s">
        <v>91</v>
      </c>
      <c r="AF50" t="s">
        <v>91</v>
      </c>
      <c r="AG50" t="s">
        <v>91</v>
      </c>
      <c r="AH50" t="s">
        <v>91</v>
      </c>
      <c r="AI50" t="s">
        <v>91</v>
      </c>
    </row>
    <row r="51" spans="1:35" ht="21" x14ac:dyDescent="0.3">
      <c r="A51" t="s">
        <v>559</v>
      </c>
      <c r="B51" s="11">
        <v>26</v>
      </c>
      <c r="D51">
        <v>50</v>
      </c>
      <c r="E51" s="4">
        <v>44587</v>
      </c>
      <c r="F51" t="s">
        <v>64</v>
      </c>
      <c r="G51" t="s">
        <v>37</v>
      </c>
      <c r="H51" t="s">
        <v>104</v>
      </c>
      <c r="I51" t="s">
        <v>408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  <c r="O51" t="s">
        <v>91</v>
      </c>
      <c r="P51" t="s">
        <v>91</v>
      </c>
      <c r="Q51" t="s">
        <v>91</v>
      </c>
      <c r="R51" t="s">
        <v>91</v>
      </c>
      <c r="S51" t="s">
        <v>91</v>
      </c>
      <c r="T51" t="s">
        <v>91</v>
      </c>
      <c r="U51" t="s">
        <v>91</v>
      </c>
      <c r="V51" t="s">
        <v>91</v>
      </c>
      <c r="W51" t="s">
        <v>91</v>
      </c>
      <c r="X51" t="s">
        <v>91</v>
      </c>
      <c r="Y51" t="s">
        <v>91</v>
      </c>
      <c r="Z51" t="s">
        <v>91</v>
      </c>
      <c r="AA51" t="s">
        <v>91</v>
      </c>
      <c r="AB51" t="s">
        <v>91</v>
      </c>
      <c r="AC51" t="s">
        <v>91</v>
      </c>
      <c r="AD51" t="s">
        <v>91</v>
      </c>
      <c r="AE51" t="s">
        <v>91</v>
      </c>
      <c r="AF51" t="s">
        <v>91</v>
      </c>
      <c r="AG51" t="s">
        <v>91</v>
      </c>
      <c r="AH51" t="s">
        <v>91</v>
      </c>
      <c r="AI51" t="s">
        <v>91</v>
      </c>
    </row>
    <row r="52" spans="1:35" ht="21" x14ac:dyDescent="0.3">
      <c r="A52" t="s">
        <v>559</v>
      </c>
      <c r="B52" s="11">
        <v>26</v>
      </c>
      <c r="D52">
        <v>51</v>
      </c>
      <c r="E52" s="4">
        <v>44589</v>
      </c>
      <c r="F52" t="s">
        <v>64</v>
      </c>
      <c r="G52" t="s">
        <v>37</v>
      </c>
      <c r="H52" t="s">
        <v>120</v>
      </c>
      <c r="I52" t="s">
        <v>191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  <c r="O52" t="s">
        <v>91</v>
      </c>
      <c r="P52" t="s">
        <v>91</v>
      </c>
      <c r="Q52" t="s">
        <v>91</v>
      </c>
      <c r="R52" t="s">
        <v>91</v>
      </c>
      <c r="S52" t="s">
        <v>91</v>
      </c>
      <c r="T52" t="s">
        <v>91</v>
      </c>
      <c r="U52" t="s">
        <v>91</v>
      </c>
      <c r="V52" t="s">
        <v>91</v>
      </c>
      <c r="W52" t="s">
        <v>91</v>
      </c>
      <c r="X52" t="s">
        <v>91</v>
      </c>
      <c r="Y52" t="s">
        <v>91</v>
      </c>
      <c r="Z52" t="s">
        <v>91</v>
      </c>
      <c r="AA52" t="s">
        <v>91</v>
      </c>
      <c r="AB52" t="s">
        <v>91</v>
      </c>
      <c r="AC52" t="s">
        <v>91</v>
      </c>
      <c r="AD52" t="s">
        <v>91</v>
      </c>
      <c r="AE52" t="s">
        <v>91</v>
      </c>
      <c r="AF52" t="s">
        <v>91</v>
      </c>
      <c r="AG52" t="s">
        <v>91</v>
      </c>
      <c r="AH52" t="s">
        <v>91</v>
      </c>
      <c r="AI52" t="s">
        <v>91</v>
      </c>
    </row>
    <row r="53" spans="1:35" ht="21" x14ac:dyDescent="0.3">
      <c r="A53" t="s">
        <v>559</v>
      </c>
      <c r="B53" s="11">
        <v>26</v>
      </c>
      <c r="D53">
        <v>52</v>
      </c>
      <c r="E53" s="4">
        <v>44591</v>
      </c>
      <c r="F53" t="s">
        <v>64</v>
      </c>
      <c r="G53" t="s">
        <v>37</v>
      </c>
      <c r="H53" t="s">
        <v>72</v>
      </c>
      <c r="I53" t="s">
        <v>409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  <c r="O53" t="s">
        <v>91</v>
      </c>
      <c r="P53" t="s">
        <v>91</v>
      </c>
      <c r="Q53" t="s">
        <v>91</v>
      </c>
      <c r="R53" t="s">
        <v>91</v>
      </c>
      <c r="S53" t="s">
        <v>91</v>
      </c>
      <c r="T53" t="s">
        <v>91</v>
      </c>
      <c r="U53" t="s">
        <v>91</v>
      </c>
      <c r="V53" t="s">
        <v>91</v>
      </c>
      <c r="W53" t="s">
        <v>91</v>
      </c>
      <c r="X53" t="s">
        <v>91</v>
      </c>
      <c r="Y53" t="s">
        <v>91</v>
      </c>
      <c r="Z53" t="s">
        <v>91</v>
      </c>
      <c r="AA53" t="s">
        <v>91</v>
      </c>
      <c r="AB53" t="s">
        <v>91</v>
      </c>
      <c r="AC53" t="s">
        <v>91</v>
      </c>
      <c r="AD53" t="s">
        <v>91</v>
      </c>
      <c r="AE53" t="s">
        <v>91</v>
      </c>
      <c r="AF53" t="s">
        <v>91</v>
      </c>
      <c r="AG53" t="s">
        <v>91</v>
      </c>
      <c r="AH53" t="s">
        <v>91</v>
      </c>
      <c r="AI53" t="s">
        <v>91</v>
      </c>
    </row>
    <row r="54" spans="1:35" ht="21" x14ac:dyDescent="0.3">
      <c r="A54" t="s">
        <v>559</v>
      </c>
      <c r="B54" s="11">
        <v>26</v>
      </c>
      <c r="D54">
        <v>53</v>
      </c>
      <c r="E54" s="4">
        <v>44592</v>
      </c>
      <c r="F54" t="s">
        <v>64</v>
      </c>
      <c r="G54" t="s">
        <v>37</v>
      </c>
      <c r="H54" t="s">
        <v>108</v>
      </c>
      <c r="I54" t="s">
        <v>410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  <c r="O54" t="s">
        <v>91</v>
      </c>
      <c r="P54" t="s">
        <v>91</v>
      </c>
      <c r="Q54" t="s">
        <v>91</v>
      </c>
      <c r="R54" t="s">
        <v>91</v>
      </c>
      <c r="S54" t="s">
        <v>91</v>
      </c>
      <c r="T54" t="s">
        <v>91</v>
      </c>
      <c r="U54" t="s">
        <v>91</v>
      </c>
      <c r="V54" t="s">
        <v>91</v>
      </c>
      <c r="W54" t="s">
        <v>91</v>
      </c>
      <c r="X54" t="s">
        <v>91</v>
      </c>
      <c r="Y54" t="s">
        <v>91</v>
      </c>
      <c r="Z54" t="s">
        <v>91</v>
      </c>
      <c r="AA54" t="s">
        <v>91</v>
      </c>
      <c r="AB54" t="s">
        <v>91</v>
      </c>
      <c r="AC54" t="s">
        <v>91</v>
      </c>
      <c r="AD54" t="s">
        <v>91</v>
      </c>
      <c r="AE54" t="s">
        <v>91</v>
      </c>
      <c r="AF54" t="s">
        <v>91</v>
      </c>
      <c r="AG54" t="s">
        <v>91</v>
      </c>
      <c r="AH54" t="s">
        <v>91</v>
      </c>
      <c r="AI54" t="s">
        <v>91</v>
      </c>
    </row>
    <row r="55" spans="1:35" ht="21" x14ac:dyDescent="0.3">
      <c r="A55" t="s">
        <v>559</v>
      </c>
      <c r="B55" s="11">
        <v>26</v>
      </c>
      <c r="D55">
        <v>54</v>
      </c>
      <c r="E55" s="4">
        <v>44595</v>
      </c>
      <c r="F55" t="s">
        <v>64</v>
      </c>
      <c r="H55" t="s">
        <v>62</v>
      </c>
      <c r="I55" t="s">
        <v>411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  <c r="O55" t="s">
        <v>91</v>
      </c>
      <c r="P55" t="s">
        <v>91</v>
      </c>
      <c r="Q55" t="s">
        <v>91</v>
      </c>
      <c r="R55" t="s">
        <v>91</v>
      </c>
      <c r="S55" t="s">
        <v>91</v>
      </c>
      <c r="T55" t="s">
        <v>91</v>
      </c>
      <c r="U55" t="s">
        <v>91</v>
      </c>
      <c r="V55" t="s">
        <v>91</v>
      </c>
      <c r="W55" t="s">
        <v>91</v>
      </c>
      <c r="X55" t="s">
        <v>91</v>
      </c>
      <c r="Y55" t="s">
        <v>91</v>
      </c>
      <c r="Z55" t="s">
        <v>91</v>
      </c>
      <c r="AA55" t="s">
        <v>91</v>
      </c>
      <c r="AB55" t="s">
        <v>91</v>
      </c>
      <c r="AC55" t="s">
        <v>91</v>
      </c>
      <c r="AD55" t="s">
        <v>91</v>
      </c>
      <c r="AE55" t="s">
        <v>91</v>
      </c>
      <c r="AF55" t="s">
        <v>91</v>
      </c>
      <c r="AG55" t="s">
        <v>91</v>
      </c>
      <c r="AH55" t="s">
        <v>91</v>
      </c>
      <c r="AI55" t="s">
        <v>91</v>
      </c>
    </row>
    <row r="56" spans="1:35" ht="21" x14ac:dyDescent="0.3">
      <c r="A56" t="s">
        <v>559</v>
      </c>
      <c r="B56" s="11">
        <v>26</v>
      </c>
      <c r="D56">
        <v>55</v>
      </c>
      <c r="E56" s="4">
        <v>44598</v>
      </c>
      <c r="F56" t="s">
        <v>64</v>
      </c>
      <c r="H56" t="s">
        <v>126</v>
      </c>
      <c r="I56" t="s">
        <v>412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  <c r="O56" t="s">
        <v>91</v>
      </c>
      <c r="P56" t="s">
        <v>91</v>
      </c>
      <c r="Q56" t="s">
        <v>91</v>
      </c>
      <c r="R56" t="s">
        <v>91</v>
      </c>
      <c r="S56" t="s">
        <v>91</v>
      </c>
      <c r="T56" t="s">
        <v>91</v>
      </c>
      <c r="U56" t="s">
        <v>91</v>
      </c>
      <c r="V56" t="s">
        <v>91</v>
      </c>
      <c r="W56" t="s">
        <v>91</v>
      </c>
      <c r="X56" t="s">
        <v>91</v>
      </c>
      <c r="Y56" t="s">
        <v>91</v>
      </c>
      <c r="Z56" t="s">
        <v>91</v>
      </c>
      <c r="AA56" t="s">
        <v>91</v>
      </c>
      <c r="AB56" t="s">
        <v>91</v>
      </c>
      <c r="AC56" t="s">
        <v>91</v>
      </c>
      <c r="AD56" t="s">
        <v>91</v>
      </c>
      <c r="AE56" t="s">
        <v>91</v>
      </c>
      <c r="AF56" t="s">
        <v>91</v>
      </c>
      <c r="AG56" t="s">
        <v>91</v>
      </c>
      <c r="AH56" t="s">
        <v>91</v>
      </c>
      <c r="AI56" t="s">
        <v>91</v>
      </c>
    </row>
    <row r="57" spans="1:35" ht="21" x14ac:dyDescent="0.3">
      <c r="A57" t="s">
        <v>559</v>
      </c>
      <c r="B57" s="11">
        <v>26</v>
      </c>
      <c r="D57">
        <v>56</v>
      </c>
      <c r="E57" s="4">
        <v>44600</v>
      </c>
      <c r="F57" t="s">
        <v>64</v>
      </c>
      <c r="G57" t="s">
        <v>37</v>
      </c>
      <c r="H57" t="s">
        <v>42</v>
      </c>
      <c r="I57" t="s">
        <v>413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  <c r="O57" t="s">
        <v>91</v>
      </c>
      <c r="P57" t="s">
        <v>91</v>
      </c>
      <c r="Q57" t="s">
        <v>91</v>
      </c>
      <c r="R57" t="s">
        <v>91</v>
      </c>
      <c r="S57" t="s">
        <v>91</v>
      </c>
      <c r="T57" t="s">
        <v>91</v>
      </c>
      <c r="U57" t="s">
        <v>91</v>
      </c>
      <c r="V57" t="s">
        <v>91</v>
      </c>
      <c r="W57" t="s">
        <v>91</v>
      </c>
      <c r="X57" t="s">
        <v>91</v>
      </c>
      <c r="Y57" t="s">
        <v>91</v>
      </c>
      <c r="Z57" t="s">
        <v>91</v>
      </c>
      <c r="AA57" t="s">
        <v>91</v>
      </c>
      <c r="AB57" t="s">
        <v>91</v>
      </c>
      <c r="AC57" t="s">
        <v>91</v>
      </c>
      <c r="AD57" t="s">
        <v>91</v>
      </c>
      <c r="AE57" t="s">
        <v>91</v>
      </c>
      <c r="AF57" t="s">
        <v>91</v>
      </c>
      <c r="AG57" t="s">
        <v>91</v>
      </c>
      <c r="AH57" t="s">
        <v>91</v>
      </c>
      <c r="AI57" t="s">
        <v>91</v>
      </c>
    </row>
    <row r="58" spans="1:35" ht="21" x14ac:dyDescent="0.3">
      <c r="A58" t="s">
        <v>559</v>
      </c>
      <c r="B58" s="11">
        <v>26</v>
      </c>
      <c r="D58">
        <v>57</v>
      </c>
      <c r="E58" s="4">
        <v>44602</v>
      </c>
      <c r="F58" t="s">
        <v>64</v>
      </c>
      <c r="G58" t="s">
        <v>37</v>
      </c>
      <c r="H58" t="s">
        <v>49</v>
      </c>
      <c r="I58" t="s">
        <v>414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  <c r="O58" t="s">
        <v>91</v>
      </c>
      <c r="P58" t="s">
        <v>91</v>
      </c>
      <c r="Q58" t="s">
        <v>91</v>
      </c>
      <c r="R58" t="s">
        <v>91</v>
      </c>
      <c r="S58" t="s">
        <v>91</v>
      </c>
      <c r="T58" t="s">
        <v>91</v>
      </c>
      <c r="U58" t="s">
        <v>91</v>
      </c>
      <c r="V58" t="s">
        <v>91</v>
      </c>
      <c r="W58" t="s">
        <v>91</v>
      </c>
      <c r="X58" t="s">
        <v>91</v>
      </c>
      <c r="Y58" t="s">
        <v>91</v>
      </c>
      <c r="Z58" t="s">
        <v>91</v>
      </c>
      <c r="AA58" t="s">
        <v>91</v>
      </c>
      <c r="AB58" t="s">
        <v>91</v>
      </c>
      <c r="AC58" t="s">
        <v>91</v>
      </c>
      <c r="AD58" t="s">
        <v>91</v>
      </c>
      <c r="AE58" t="s">
        <v>91</v>
      </c>
      <c r="AF58" t="s">
        <v>91</v>
      </c>
      <c r="AG58" t="s">
        <v>91</v>
      </c>
      <c r="AH58" t="s">
        <v>91</v>
      </c>
      <c r="AI58" t="s">
        <v>91</v>
      </c>
    </row>
    <row r="59" spans="1:35" ht="21" x14ac:dyDescent="0.3">
      <c r="A59" t="s">
        <v>559</v>
      </c>
      <c r="B59" s="11">
        <v>26</v>
      </c>
      <c r="D59">
        <v>58</v>
      </c>
      <c r="E59" s="4">
        <v>44604</v>
      </c>
      <c r="F59" t="s">
        <v>64</v>
      </c>
      <c r="G59" t="s">
        <v>37</v>
      </c>
      <c r="H59" t="s">
        <v>49</v>
      </c>
      <c r="I59" t="s">
        <v>415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  <c r="O59" t="s">
        <v>91</v>
      </c>
      <c r="P59" t="s">
        <v>91</v>
      </c>
      <c r="Q59" t="s">
        <v>91</v>
      </c>
      <c r="R59" t="s">
        <v>91</v>
      </c>
      <c r="S59" t="s">
        <v>91</v>
      </c>
      <c r="T59" t="s">
        <v>91</v>
      </c>
      <c r="U59" t="s">
        <v>91</v>
      </c>
      <c r="V59" t="s">
        <v>91</v>
      </c>
      <c r="W59" t="s">
        <v>91</v>
      </c>
      <c r="X59" t="s">
        <v>91</v>
      </c>
      <c r="Y59" t="s">
        <v>91</v>
      </c>
      <c r="Z59" t="s">
        <v>91</v>
      </c>
      <c r="AA59" t="s">
        <v>91</v>
      </c>
      <c r="AB59" t="s">
        <v>91</v>
      </c>
      <c r="AC59" t="s">
        <v>91</v>
      </c>
      <c r="AD59" t="s">
        <v>91</v>
      </c>
      <c r="AE59" t="s">
        <v>91</v>
      </c>
      <c r="AF59" t="s">
        <v>91</v>
      </c>
      <c r="AG59" t="s">
        <v>91</v>
      </c>
      <c r="AH59" t="s">
        <v>91</v>
      </c>
      <c r="AI59" t="s">
        <v>91</v>
      </c>
    </row>
    <row r="60" spans="1:35" ht="21" x14ac:dyDescent="0.3">
      <c r="A60" t="s">
        <v>559</v>
      </c>
      <c r="B60" s="11">
        <v>26</v>
      </c>
      <c r="D60">
        <v>59</v>
      </c>
      <c r="E60" s="4">
        <v>44606</v>
      </c>
      <c r="F60" t="s">
        <v>64</v>
      </c>
      <c r="H60" t="s">
        <v>33</v>
      </c>
      <c r="I60" t="s">
        <v>93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  <c r="O60" t="s">
        <v>91</v>
      </c>
      <c r="P60" t="s">
        <v>91</v>
      </c>
      <c r="Q60" t="s">
        <v>91</v>
      </c>
      <c r="R60" t="s">
        <v>91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91</v>
      </c>
      <c r="Y60" t="s">
        <v>91</v>
      </c>
      <c r="Z60" t="s">
        <v>91</v>
      </c>
      <c r="AA60" t="s">
        <v>91</v>
      </c>
      <c r="AB60" t="s">
        <v>91</v>
      </c>
      <c r="AC60" t="s">
        <v>91</v>
      </c>
      <c r="AD60" t="s">
        <v>91</v>
      </c>
      <c r="AE60" t="s">
        <v>91</v>
      </c>
      <c r="AF60" t="s">
        <v>91</v>
      </c>
      <c r="AG60" t="s">
        <v>91</v>
      </c>
      <c r="AH60" t="s">
        <v>91</v>
      </c>
      <c r="AI60" t="s">
        <v>91</v>
      </c>
    </row>
    <row r="61" spans="1:35" ht="21" x14ac:dyDescent="0.3">
      <c r="A61" t="s">
        <v>559</v>
      </c>
      <c r="B61" s="11">
        <v>26</v>
      </c>
      <c r="D61">
        <v>60</v>
      </c>
      <c r="E61" s="4">
        <v>44607</v>
      </c>
      <c r="F61" t="s">
        <v>64</v>
      </c>
      <c r="G61" t="s">
        <v>37</v>
      </c>
      <c r="H61" t="s">
        <v>99</v>
      </c>
      <c r="I61" t="s">
        <v>416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  <c r="O61" t="s">
        <v>91</v>
      </c>
      <c r="P61" t="s">
        <v>91</v>
      </c>
      <c r="Q61" t="s">
        <v>91</v>
      </c>
      <c r="R61" t="s">
        <v>91</v>
      </c>
      <c r="S61" t="s">
        <v>91</v>
      </c>
      <c r="T61" t="s">
        <v>91</v>
      </c>
      <c r="U61" t="s">
        <v>91</v>
      </c>
      <c r="V61" t="s">
        <v>91</v>
      </c>
      <c r="W61" t="s">
        <v>91</v>
      </c>
      <c r="X61" t="s">
        <v>91</v>
      </c>
      <c r="Y61" t="s">
        <v>91</v>
      </c>
      <c r="Z61" t="s">
        <v>91</v>
      </c>
      <c r="AA61" t="s">
        <v>91</v>
      </c>
      <c r="AB61" t="s">
        <v>91</v>
      </c>
      <c r="AC61" t="s">
        <v>91</v>
      </c>
      <c r="AD61" t="s">
        <v>91</v>
      </c>
      <c r="AE61" t="s">
        <v>91</v>
      </c>
      <c r="AF61" t="s">
        <v>91</v>
      </c>
      <c r="AG61" t="s">
        <v>91</v>
      </c>
      <c r="AH61" t="s">
        <v>91</v>
      </c>
      <c r="AI61" t="s">
        <v>91</v>
      </c>
    </row>
    <row r="62" spans="1:35" ht="21" x14ac:dyDescent="0.3">
      <c r="A62" t="s">
        <v>559</v>
      </c>
      <c r="B62" s="11">
        <v>26</v>
      </c>
      <c r="D62">
        <v>61</v>
      </c>
      <c r="E62" s="4">
        <v>44609</v>
      </c>
      <c r="F62" t="s">
        <v>64</v>
      </c>
      <c r="H62" t="s">
        <v>76</v>
      </c>
      <c r="I62" t="s">
        <v>417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  <c r="O62" t="s">
        <v>91</v>
      </c>
      <c r="P62" t="s">
        <v>91</v>
      </c>
      <c r="Q62" t="s">
        <v>91</v>
      </c>
      <c r="R62" t="s">
        <v>91</v>
      </c>
      <c r="S62" t="s">
        <v>91</v>
      </c>
      <c r="T62" t="s">
        <v>91</v>
      </c>
      <c r="U62" t="s">
        <v>91</v>
      </c>
      <c r="V62" t="s">
        <v>91</v>
      </c>
      <c r="W62" t="s">
        <v>91</v>
      </c>
      <c r="X62" t="s">
        <v>91</v>
      </c>
      <c r="Y62" t="s">
        <v>91</v>
      </c>
      <c r="Z62" t="s">
        <v>91</v>
      </c>
      <c r="AA62" t="s">
        <v>91</v>
      </c>
      <c r="AB62" t="s">
        <v>91</v>
      </c>
      <c r="AC62" t="s">
        <v>91</v>
      </c>
      <c r="AD62" t="s">
        <v>91</v>
      </c>
      <c r="AE62" t="s">
        <v>91</v>
      </c>
      <c r="AF62" t="s">
        <v>91</v>
      </c>
      <c r="AG62" t="s">
        <v>91</v>
      </c>
      <c r="AH62" t="s">
        <v>91</v>
      </c>
      <c r="AI62" t="s">
        <v>91</v>
      </c>
    </row>
    <row r="63" spans="1:35" ht="21" x14ac:dyDescent="0.3">
      <c r="A63" t="s">
        <v>559</v>
      </c>
      <c r="B63" s="11">
        <v>26</v>
      </c>
      <c r="D63">
        <v>62</v>
      </c>
      <c r="E63" s="4">
        <v>44617</v>
      </c>
      <c r="F63" t="s">
        <v>64</v>
      </c>
      <c r="G63" t="s">
        <v>37</v>
      </c>
      <c r="H63" t="s">
        <v>62</v>
      </c>
      <c r="I63" t="s">
        <v>90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  <c r="O63" t="s">
        <v>91</v>
      </c>
      <c r="P63" t="s">
        <v>91</v>
      </c>
      <c r="Q63" t="s">
        <v>91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t="s">
        <v>91</v>
      </c>
      <c r="X63" t="s">
        <v>91</v>
      </c>
      <c r="Y63" t="s">
        <v>91</v>
      </c>
      <c r="Z63" t="s">
        <v>91</v>
      </c>
      <c r="AA63" t="s">
        <v>91</v>
      </c>
      <c r="AB63" t="s">
        <v>91</v>
      </c>
      <c r="AC63" t="s">
        <v>91</v>
      </c>
      <c r="AD63" t="s">
        <v>91</v>
      </c>
      <c r="AE63" t="s">
        <v>91</v>
      </c>
      <c r="AF63" t="s">
        <v>91</v>
      </c>
      <c r="AG63" t="s">
        <v>91</v>
      </c>
      <c r="AH63" t="s">
        <v>91</v>
      </c>
      <c r="AI63" t="s">
        <v>91</v>
      </c>
    </row>
    <row r="64" spans="1:35" ht="21" x14ac:dyDescent="0.3">
      <c r="A64" t="s">
        <v>559</v>
      </c>
      <c r="B64" s="11">
        <v>26</v>
      </c>
      <c r="D64">
        <v>63</v>
      </c>
      <c r="E64" s="4">
        <v>44619</v>
      </c>
      <c r="F64" t="s">
        <v>64</v>
      </c>
      <c r="G64" t="s">
        <v>37</v>
      </c>
      <c r="H64" t="s">
        <v>76</v>
      </c>
      <c r="I64" t="s">
        <v>418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  <c r="O64" t="s">
        <v>91</v>
      </c>
      <c r="P64" t="s">
        <v>91</v>
      </c>
      <c r="Q64" t="s">
        <v>91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t="s">
        <v>91</v>
      </c>
      <c r="X64" t="s">
        <v>91</v>
      </c>
      <c r="Y64" t="s">
        <v>91</v>
      </c>
      <c r="Z64" t="s">
        <v>91</v>
      </c>
      <c r="AA64" t="s">
        <v>91</v>
      </c>
      <c r="AB64" t="s">
        <v>91</v>
      </c>
      <c r="AC64" t="s">
        <v>91</v>
      </c>
      <c r="AD64" t="s">
        <v>91</v>
      </c>
      <c r="AE64" t="s">
        <v>91</v>
      </c>
      <c r="AF64" t="s">
        <v>91</v>
      </c>
      <c r="AG64" t="s">
        <v>91</v>
      </c>
      <c r="AH64" t="s">
        <v>91</v>
      </c>
      <c r="AI64" t="s">
        <v>91</v>
      </c>
    </row>
    <row r="65" spans="1:35" ht="21" x14ac:dyDescent="0.3">
      <c r="A65" t="s">
        <v>559</v>
      </c>
      <c r="B65" s="11">
        <v>26</v>
      </c>
      <c r="D65">
        <v>64</v>
      </c>
      <c r="E65" s="4">
        <v>44621</v>
      </c>
      <c r="F65" t="s">
        <v>64</v>
      </c>
      <c r="G65" t="s">
        <v>37</v>
      </c>
      <c r="H65" t="s">
        <v>76</v>
      </c>
      <c r="I65" t="s">
        <v>419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  <c r="O65" t="s">
        <v>91</v>
      </c>
      <c r="P65" t="s">
        <v>91</v>
      </c>
      <c r="Q65" t="s">
        <v>91</v>
      </c>
      <c r="R65" t="s">
        <v>91</v>
      </c>
      <c r="S65" t="s">
        <v>91</v>
      </c>
      <c r="T65" t="s">
        <v>91</v>
      </c>
      <c r="U65" t="s">
        <v>91</v>
      </c>
      <c r="V65" t="s">
        <v>91</v>
      </c>
      <c r="W65" t="s">
        <v>91</v>
      </c>
      <c r="X65" t="s">
        <v>91</v>
      </c>
      <c r="Y65" t="s">
        <v>91</v>
      </c>
      <c r="Z65" t="s">
        <v>91</v>
      </c>
      <c r="AA65" t="s">
        <v>91</v>
      </c>
      <c r="AB65" t="s">
        <v>91</v>
      </c>
      <c r="AC65" t="s">
        <v>91</v>
      </c>
      <c r="AD65" t="s">
        <v>91</v>
      </c>
      <c r="AE65" t="s">
        <v>91</v>
      </c>
      <c r="AF65" t="s">
        <v>91</v>
      </c>
      <c r="AG65" t="s">
        <v>91</v>
      </c>
      <c r="AH65" t="s">
        <v>91</v>
      </c>
      <c r="AI65" t="s">
        <v>91</v>
      </c>
    </row>
    <row r="66" spans="1:35" ht="21" x14ac:dyDescent="0.3">
      <c r="A66" t="s">
        <v>559</v>
      </c>
      <c r="B66" s="11">
        <v>26</v>
      </c>
      <c r="D66">
        <v>65</v>
      </c>
      <c r="E66" s="4">
        <v>44623</v>
      </c>
      <c r="F66" t="s">
        <v>64</v>
      </c>
      <c r="H66" t="s">
        <v>62</v>
      </c>
      <c r="I66" t="s">
        <v>420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  <c r="O66" t="s">
        <v>91</v>
      </c>
      <c r="P66" t="s">
        <v>91</v>
      </c>
      <c r="Q66" t="s">
        <v>91</v>
      </c>
      <c r="R66" t="s">
        <v>91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91</v>
      </c>
      <c r="Y66" t="s">
        <v>91</v>
      </c>
      <c r="Z66" t="s">
        <v>91</v>
      </c>
      <c r="AA66" t="s">
        <v>91</v>
      </c>
      <c r="AB66" t="s">
        <v>91</v>
      </c>
      <c r="AC66" t="s">
        <v>91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 t="s">
        <v>91</v>
      </c>
    </row>
    <row r="67" spans="1:35" ht="21" x14ac:dyDescent="0.3">
      <c r="A67" t="s">
        <v>559</v>
      </c>
      <c r="B67" s="11">
        <v>26</v>
      </c>
      <c r="D67">
        <v>66</v>
      </c>
      <c r="E67" s="4">
        <v>44626</v>
      </c>
      <c r="F67" t="s">
        <v>64</v>
      </c>
      <c r="H67" t="s">
        <v>110</v>
      </c>
      <c r="I67" t="s">
        <v>421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  <c r="O67" t="s">
        <v>91</v>
      </c>
      <c r="P67" t="s">
        <v>91</v>
      </c>
      <c r="Q67" t="s">
        <v>91</v>
      </c>
      <c r="R67" t="s">
        <v>91</v>
      </c>
      <c r="S67" t="s">
        <v>91</v>
      </c>
      <c r="T67" t="s">
        <v>91</v>
      </c>
      <c r="U67" t="s">
        <v>91</v>
      </c>
      <c r="V67" t="s">
        <v>91</v>
      </c>
      <c r="W67" t="s">
        <v>91</v>
      </c>
      <c r="X67" t="s">
        <v>91</v>
      </c>
      <c r="Y67" t="s">
        <v>91</v>
      </c>
      <c r="Z67" t="s">
        <v>91</v>
      </c>
      <c r="AA67" t="s">
        <v>91</v>
      </c>
      <c r="AB67" t="s">
        <v>91</v>
      </c>
      <c r="AC67" t="s">
        <v>91</v>
      </c>
      <c r="AD67" t="s">
        <v>91</v>
      </c>
      <c r="AE67" t="s">
        <v>91</v>
      </c>
      <c r="AF67" t="s">
        <v>91</v>
      </c>
      <c r="AG67" t="s">
        <v>91</v>
      </c>
      <c r="AH67" t="s">
        <v>91</v>
      </c>
      <c r="AI67" t="s">
        <v>91</v>
      </c>
    </row>
    <row r="68" spans="1:35" ht="21" x14ac:dyDescent="0.3">
      <c r="A68" t="s">
        <v>559</v>
      </c>
      <c r="B68" s="11">
        <v>26</v>
      </c>
      <c r="D68">
        <v>67</v>
      </c>
      <c r="E68" s="4">
        <v>44628</v>
      </c>
      <c r="F68" t="s">
        <v>64</v>
      </c>
      <c r="G68" t="s">
        <v>37</v>
      </c>
      <c r="H68" t="s">
        <v>33</v>
      </c>
      <c r="I68" t="s">
        <v>422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  <c r="O68" t="s">
        <v>91</v>
      </c>
      <c r="P68" t="s">
        <v>91</v>
      </c>
      <c r="Q68" t="s">
        <v>91</v>
      </c>
      <c r="R68" t="s">
        <v>91</v>
      </c>
      <c r="S68" t="s">
        <v>91</v>
      </c>
      <c r="T68" t="s">
        <v>91</v>
      </c>
      <c r="U68" t="s">
        <v>91</v>
      </c>
      <c r="V68" t="s">
        <v>91</v>
      </c>
      <c r="W68" t="s">
        <v>91</v>
      </c>
      <c r="X68" t="s">
        <v>91</v>
      </c>
      <c r="Y68" t="s">
        <v>91</v>
      </c>
      <c r="Z68" t="s">
        <v>91</v>
      </c>
      <c r="AA68" t="s">
        <v>91</v>
      </c>
      <c r="AB68" t="s">
        <v>91</v>
      </c>
      <c r="AC68" t="s">
        <v>91</v>
      </c>
      <c r="AD68" t="s">
        <v>91</v>
      </c>
      <c r="AE68" t="s">
        <v>91</v>
      </c>
      <c r="AF68" t="s">
        <v>91</v>
      </c>
      <c r="AG68" t="s">
        <v>91</v>
      </c>
      <c r="AH68" t="s">
        <v>91</v>
      </c>
      <c r="AI68" t="s">
        <v>91</v>
      </c>
    </row>
    <row r="69" spans="1:35" ht="21" x14ac:dyDescent="0.3">
      <c r="A69" t="s">
        <v>559</v>
      </c>
      <c r="B69" s="11">
        <v>26</v>
      </c>
      <c r="D69">
        <v>68</v>
      </c>
      <c r="E69" s="4">
        <v>44629</v>
      </c>
      <c r="F69" t="s">
        <v>64</v>
      </c>
      <c r="H69" t="s">
        <v>155</v>
      </c>
      <c r="I69" t="s">
        <v>309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  <c r="O69" t="s">
        <v>91</v>
      </c>
      <c r="P69" t="s">
        <v>91</v>
      </c>
      <c r="Q69" t="s">
        <v>91</v>
      </c>
      <c r="R69" t="s">
        <v>91</v>
      </c>
      <c r="S69" t="s">
        <v>91</v>
      </c>
      <c r="T69" t="s">
        <v>91</v>
      </c>
      <c r="U69" t="s">
        <v>91</v>
      </c>
      <c r="V69" t="s">
        <v>91</v>
      </c>
      <c r="W69" t="s">
        <v>91</v>
      </c>
      <c r="X69" t="s">
        <v>91</v>
      </c>
      <c r="Y69" t="s">
        <v>91</v>
      </c>
      <c r="Z69" t="s">
        <v>91</v>
      </c>
      <c r="AA69" t="s">
        <v>91</v>
      </c>
      <c r="AB69" t="s">
        <v>91</v>
      </c>
      <c r="AC69" t="s">
        <v>91</v>
      </c>
      <c r="AD69" t="s">
        <v>91</v>
      </c>
      <c r="AE69" t="s">
        <v>91</v>
      </c>
      <c r="AF69" t="s">
        <v>91</v>
      </c>
      <c r="AG69" t="s">
        <v>91</v>
      </c>
      <c r="AH69" t="s">
        <v>91</v>
      </c>
      <c r="AI69" t="s">
        <v>91</v>
      </c>
    </row>
    <row r="70" spans="1:35" ht="21" x14ac:dyDescent="0.3">
      <c r="A70" t="s">
        <v>559</v>
      </c>
      <c r="B70" s="11">
        <v>26</v>
      </c>
      <c r="D70">
        <v>69</v>
      </c>
      <c r="E70" s="4">
        <v>44631</v>
      </c>
      <c r="F70" t="s">
        <v>64</v>
      </c>
      <c r="G70" t="s">
        <v>37</v>
      </c>
      <c r="H70" t="s">
        <v>78</v>
      </c>
      <c r="I70" t="s">
        <v>423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  <c r="O70" t="s">
        <v>91</v>
      </c>
      <c r="P70" t="s">
        <v>91</v>
      </c>
      <c r="Q70" t="s">
        <v>91</v>
      </c>
      <c r="R70" t="s">
        <v>91</v>
      </c>
      <c r="S70" t="s">
        <v>91</v>
      </c>
      <c r="T70" t="s">
        <v>91</v>
      </c>
      <c r="U70" t="s">
        <v>91</v>
      </c>
      <c r="V70" t="s">
        <v>91</v>
      </c>
      <c r="W70" t="s">
        <v>91</v>
      </c>
      <c r="X70" t="s">
        <v>91</v>
      </c>
      <c r="Y70" t="s">
        <v>91</v>
      </c>
      <c r="Z70" t="s">
        <v>91</v>
      </c>
      <c r="AA70" t="s">
        <v>91</v>
      </c>
      <c r="AB70" t="s">
        <v>91</v>
      </c>
      <c r="AC70" t="s">
        <v>91</v>
      </c>
      <c r="AD70" t="s">
        <v>91</v>
      </c>
      <c r="AE70" t="s">
        <v>91</v>
      </c>
      <c r="AF70" t="s">
        <v>91</v>
      </c>
      <c r="AG70" t="s">
        <v>91</v>
      </c>
      <c r="AH70" t="s">
        <v>91</v>
      </c>
      <c r="AI70" t="s">
        <v>91</v>
      </c>
    </row>
    <row r="71" spans="1:35" ht="21" x14ac:dyDescent="0.3">
      <c r="A71" t="s">
        <v>559</v>
      </c>
      <c r="B71" s="11">
        <v>26</v>
      </c>
      <c r="D71">
        <v>70</v>
      </c>
      <c r="E71" s="4">
        <v>44633</v>
      </c>
      <c r="F71" t="s">
        <v>64</v>
      </c>
      <c r="G71" t="s">
        <v>37</v>
      </c>
      <c r="H71" t="s">
        <v>89</v>
      </c>
      <c r="I71" t="s">
        <v>424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  <c r="O71" t="s">
        <v>91</v>
      </c>
      <c r="P71" t="s">
        <v>91</v>
      </c>
      <c r="Q71" t="s">
        <v>91</v>
      </c>
      <c r="R71" t="s">
        <v>91</v>
      </c>
      <c r="S71" t="s">
        <v>91</v>
      </c>
      <c r="T71" t="s">
        <v>91</v>
      </c>
      <c r="U71" t="s">
        <v>91</v>
      </c>
      <c r="V71" t="s">
        <v>91</v>
      </c>
      <c r="W71" t="s">
        <v>91</v>
      </c>
      <c r="X71" t="s">
        <v>91</v>
      </c>
      <c r="Y71" t="s">
        <v>91</v>
      </c>
      <c r="Z71" t="s">
        <v>91</v>
      </c>
      <c r="AA71" t="s">
        <v>91</v>
      </c>
      <c r="AB71" t="s">
        <v>91</v>
      </c>
      <c r="AC71" t="s">
        <v>91</v>
      </c>
      <c r="AD71" t="s">
        <v>91</v>
      </c>
      <c r="AE71" t="s">
        <v>91</v>
      </c>
      <c r="AF71" t="s">
        <v>91</v>
      </c>
      <c r="AG71" t="s">
        <v>91</v>
      </c>
      <c r="AH71" t="s">
        <v>91</v>
      </c>
      <c r="AI71" t="s">
        <v>91</v>
      </c>
    </row>
    <row r="72" spans="1:35" ht="21" x14ac:dyDescent="0.3">
      <c r="A72" t="s">
        <v>559</v>
      </c>
      <c r="B72" s="11">
        <v>26</v>
      </c>
      <c r="D72">
        <v>71</v>
      </c>
      <c r="E72" s="4">
        <v>44634</v>
      </c>
      <c r="F72" t="s">
        <v>64</v>
      </c>
      <c r="G72" t="s">
        <v>37</v>
      </c>
      <c r="H72" t="s">
        <v>87</v>
      </c>
      <c r="I72" t="s">
        <v>425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  <c r="O72" t="s">
        <v>91</v>
      </c>
      <c r="P72" t="s">
        <v>91</v>
      </c>
      <c r="Q72" t="s">
        <v>91</v>
      </c>
      <c r="R72" t="s">
        <v>91</v>
      </c>
      <c r="S72" t="s">
        <v>91</v>
      </c>
      <c r="T72" t="s">
        <v>91</v>
      </c>
      <c r="U72" t="s">
        <v>91</v>
      </c>
      <c r="V72" t="s">
        <v>91</v>
      </c>
      <c r="W72" t="s">
        <v>91</v>
      </c>
      <c r="X72" t="s">
        <v>91</v>
      </c>
      <c r="Y72" t="s">
        <v>91</v>
      </c>
      <c r="Z72" t="s">
        <v>91</v>
      </c>
      <c r="AA72" t="s">
        <v>91</v>
      </c>
      <c r="AB72" t="s">
        <v>91</v>
      </c>
      <c r="AC72" t="s">
        <v>91</v>
      </c>
      <c r="AD72" t="s">
        <v>91</v>
      </c>
      <c r="AE72" t="s">
        <v>91</v>
      </c>
      <c r="AF72" t="s">
        <v>91</v>
      </c>
      <c r="AG72" t="s">
        <v>91</v>
      </c>
      <c r="AH72" t="s">
        <v>91</v>
      </c>
      <c r="AI72" t="s">
        <v>91</v>
      </c>
    </row>
    <row r="73" spans="1:35" ht="21" x14ac:dyDescent="0.3">
      <c r="A73" t="s">
        <v>559</v>
      </c>
      <c r="B73" s="11">
        <v>26</v>
      </c>
      <c r="D73">
        <v>72</v>
      </c>
      <c r="E73" s="4">
        <v>44636</v>
      </c>
      <c r="F73" t="s">
        <v>64</v>
      </c>
      <c r="H73" t="s">
        <v>92</v>
      </c>
      <c r="I73" t="s">
        <v>393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  <c r="O73" t="s">
        <v>91</v>
      </c>
      <c r="P73" t="s">
        <v>91</v>
      </c>
      <c r="Q73" t="s">
        <v>91</v>
      </c>
      <c r="R73" t="s">
        <v>91</v>
      </c>
      <c r="S73" t="s">
        <v>91</v>
      </c>
      <c r="T73" t="s">
        <v>91</v>
      </c>
      <c r="U73" t="s">
        <v>91</v>
      </c>
      <c r="V73" t="s">
        <v>91</v>
      </c>
      <c r="W73" t="s">
        <v>91</v>
      </c>
      <c r="X73" t="s">
        <v>91</v>
      </c>
      <c r="Y73" t="s">
        <v>91</v>
      </c>
      <c r="Z73" t="s">
        <v>91</v>
      </c>
      <c r="AA73" t="s">
        <v>91</v>
      </c>
      <c r="AB73" t="s">
        <v>91</v>
      </c>
      <c r="AC73" t="s">
        <v>91</v>
      </c>
      <c r="AD73" t="s">
        <v>91</v>
      </c>
      <c r="AE73" t="s">
        <v>91</v>
      </c>
      <c r="AF73" t="s">
        <v>91</v>
      </c>
      <c r="AG73" t="s">
        <v>91</v>
      </c>
      <c r="AH73" t="s">
        <v>91</v>
      </c>
      <c r="AI73" t="s">
        <v>91</v>
      </c>
    </row>
    <row r="74" spans="1:35" ht="21" x14ac:dyDescent="0.3">
      <c r="A74" t="s">
        <v>559</v>
      </c>
      <c r="B74" s="11">
        <v>26</v>
      </c>
      <c r="D74">
        <v>73</v>
      </c>
      <c r="E74" s="4">
        <v>44638</v>
      </c>
      <c r="F74" t="s">
        <v>64</v>
      </c>
      <c r="G74" t="s">
        <v>37</v>
      </c>
      <c r="H74" t="s">
        <v>118</v>
      </c>
      <c r="I74" t="s">
        <v>426</v>
      </c>
      <c r="J74" t="s">
        <v>91</v>
      </c>
      <c r="K74" t="s">
        <v>91</v>
      </c>
      <c r="L74" t="s">
        <v>91</v>
      </c>
      <c r="M74" t="s">
        <v>91</v>
      </c>
      <c r="N74" t="s">
        <v>91</v>
      </c>
      <c r="O74" t="s">
        <v>91</v>
      </c>
      <c r="P74" t="s">
        <v>91</v>
      </c>
      <c r="Q74" t="s">
        <v>91</v>
      </c>
      <c r="R74" t="s">
        <v>91</v>
      </c>
      <c r="S74" t="s">
        <v>91</v>
      </c>
      <c r="T74" t="s">
        <v>91</v>
      </c>
      <c r="U74" t="s">
        <v>91</v>
      </c>
      <c r="V74" t="s">
        <v>91</v>
      </c>
      <c r="W74" t="s">
        <v>91</v>
      </c>
      <c r="X74" t="s">
        <v>91</v>
      </c>
      <c r="Y74" t="s">
        <v>91</v>
      </c>
      <c r="Z74" t="s">
        <v>91</v>
      </c>
      <c r="AA74" t="s">
        <v>91</v>
      </c>
      <c r="AB74" t="s">
        <v>91</v>
      </c>
      <c r="AC74" t="s">
        <v>91</v>
      </c>
      <c r="AD74" t="s">
        <v>91</v>
      </c>
      <c r="AE74" t="s">
        <v>91</v>
      </c>
      <c r="AF74" t="s">
        <v>91</v>
      </c>
      <c r="AG74" t="s">
        <v>91</v>
      </c>
      <c r="AH74" t="s">
        <v>91</v>
      </c>
      <c r="AI74" t="s">
        <v>91</v>
      </c>
    </row>
    <row r="75" spans="1:35" ht="21" x14ac:dyDescent="0.3">
      <c r="A75" t="s">
        <v>559</v>
      </c>
      <c r="B75" s="11">
        <v>26</v>
      </c>
      <c r="D75">
        <v>74</v>
      </c>
      <c r="E75" s="4">
        <v>44642</v>
      </c>
      <c r="F75" t="s">
        <v>64</v>
      </c>
      <c r="G75" t="s">
        <v>37</v>
      </c>
      <c r="H75" t="s">
        <v>34</v>
      </c>
      <c r="I75" t="s">
        <v>427</v>
      </c>
      <c r="J75" t="s">
        <v>91</v>
      </c>
      <c r="K75" t="s">
        <v>91</v>
      </c>
      <c r="L75" t="s">
        <v>91</v>
      </c>
      <c r="M75" t="s">
        <v>91</v>
      </c>
      <c r="N75" t="s">
        <v>91</v>
      </c>
      <c r="O75" t="s">
        <v>91</v>
      </c>
      <c r="P75" t="s">
        <v>91</v>
      </c>
      <c r="Q75" t="s">
        <v>91</v>
      </c>
      <c r="R75" t="s">
        <v>91</v>
      </c>
      <c r="S75" t="s">
        <v>91</v>
      </c>
      <c r="T75" t="s">
        <v>91</v>
      </c>
      <c r="U75" t="s">
        <v>91</v>
      </c>
      <c r="V75" t="s">
        <v>91</v>
      </c>
      <c r="W75" t="s">
        <v>91</v>
      </c>
      <c r="X75" t="s">
        <v>91</v>
      </c>
      <c r="Y75" t="s">
        <v>91</v>
      </c>
      <c r="Z75" t="s">
        <v>91</v>
      </c>
      <c r="AA75" t="s">
        <v>91</v>
      </c>
      <c r="AB75" t="s">
        <v>91</v>
      </c>
      <c r="AC75" t="s">
        <v>91</v>
      </c>
      <c r="AD75" t="s">
        <v>91</v>
      </c>
      <c r="AE75" t="s">
        <v>91</v>
      </c>
      <c r="AF75" t="s">
        <v>91</v>
      </c>
      <c r="AG75" t="s">
        <v>91</v>
      </c>
      <c r="AH75" t="s">
        <v>91</v>
      </c>
      <c r="AI75" t="s">
        <v>91</v>
      </c>
    </row>
    <row r="76" spans="1:35" ht="21" x14ac:dyDescent="0.3">
      <c r="A76" t="s">
        <v>559</v>
      </c>
      <c r="B76" s="11">
        <v>26</v>
      </c>
      <c r="D76">
        <v>75</v>
      </c>
      <c r="E76" s="4">
        <v>44645</v>
      </c>
      <c r="F76" t="s">
        <v>64</v>
      </c>
      <c r="H76" t="s">
        <v>94</v>
      </c>
      <c r="I76" t="s">
        <v>428</v>
      </c>
      <c r="J76" t="s">
        <v>91</v>
      </c>
      <c r="K76" t="s">
        <v>91</v>
      </c>
      <c r="L76" t="s">
        <v>91</v>
      </c>
      <c r="M76" t="s">
        <v>91</v>
      </c>
      <c r="N76" t="s">
        <v>91</v>
      </c>
      <c r="O76" t="s">
        <v>91</v>
      </c>
      <c r="P76" t="s">
        <v>91</v>
      </c>
      <c r="Q76" t="s">
        <v>91</v>
      </c>
      <c r="R76" t="s">
        <v>91</v>
      </c>
      <c r="S76" t="s">
        <v>91</v>
      </c>
      <c r="T76" t="s">
        <v>91</v>
      </c>
      <c r="U76" t="s">
        <v>91</v>
      </c>
      <c r="V76" t="s">
        <v>91</v>
      </c>
      <c r="W76" t="s">
        <v>91</v>
      </c>
      <c r="X76" t="s">
        <v>91</v>
      </c>
      <c r="Y76" t="s">
        <v>91</v>
      </c>
      <c r="Z76" t="s">
        <v>91</v>
      </c>
      <c r="AA76" t="s">
        <v>91</v>
      </c>
      <c r="AB76" t="s">
        <v>91</v>
      </c>
      <c r="AC76" t="s">
        <v>91</v>
      </c>
      <c r="AD76" t="s">
        <v>91</v>
      </c>
      <c r="AE76" t="s">
        <v>91</v>
      </c>
      <c r="AF76" t="s">
        <v>91</v>
      </c>
      <c r="AG76" t="s">
        <v>91</v>
      </c>
      <c r="AH76" t="s">
        <v>91</v>
      </c>
      <c r="AI76" t="s">
        <v>91</v>
      </c>
    </row>
    <row r="77" spans="1:35" ht="21" x14ac:dyDescent="0.3">
      <c r="A77" t="s">
        <v>559</v>
      </c>
      <c r="B77" s="11">
        <v>27</v>
      </c>
      <c r="C77">
        <v>733</v>
      </c>
      <c r="D77">
        <v>76</v>
      </c>
      <c r="E77" s="4">
        <v>44649</v>
      </c>
      <c r="F77" t="s">
        <v>64</v>
      </c>
      <c r="H77" t="s">
        <v>118</v>
      </c>
      <c r="I77" t="s">
        <v>429</v>
      </c>
      <c r="J77" t="s">
        <v>41</v>
      </c>
      <c r="K77" s="9">
        <v>1.2833333333333334</v>
      </c>
      <c r="L77">
        <v>10</v>
      </c>
      <c r="M77">
        <v>20</v>
      </c>
      <c r="N77">
        <v>0.5</v>
      </c>
      <c r="O77">
        <v>6</v>
      </c>
      <c r="P77">
        <v>9</v>
      </c>
      <c r="Q77">
        <v>0.66700000000000004</v>
      </c>
      <c r="R77">
        <v>4</v>
      </c>
      <c r="S77">
        <v>11</v>
      </c>
      <c r="T77">
        <v>0.36399999999999999</v>
      </c>
      <c r="U77">
        <v>0.65</v>
      </c>
      <c r="V77">
        <v>8</v>
      </c>
      <c r="W77">
        <v>11</v>
      </c>
      <c r="X77">
        <v>0.72699999999999998</v>
      </c>
      <c r="Y77">
        <v>0</v>
      </c>
      <c r="Z77">
        <v>2</v>
      </c>
      <c r="AA77">
        <v>2</v>
      </c>
      <c r="AB77">
        <v>6</v>
      </c>
      <c r="AC77">
        <v>4</v>
      </c>
      <c r="AD77">
        <v>1</v>
      </c>
      <c r="AE77">
        <v>2</v>
      </c>
      <c r="AF77">
        <v>2</v>
      </c>
      <c r="AG77">
        <v>34</v>
      </c>
      <c r="AH77">
        <v>29.5</v>
      </c>
      <c r="AI77">
        <v>15</v>
      </c>
    </row>
    <row r="78" spans="1:35" ht="21" x14ac:dyDescent="0.3">
      <c r="A78" t="s">
        <v>559</v>
      </c>
      <c r="B78" s="11">
        <v>28</v>
      </c>
      <c r="C78">
        <v>734</v>
      </c>
      <c r="D78">
        <v>77</v>
      </c>
      <c r="E78" s="4">
        <v>44651</v>
      </c>
      <c r="F78" t="s">
        <v>64</v>
      </c>
      <c r="G78" t="s">
        <v>37</v>
      </c>
      <c r="H78" t="s">
        <v>82</v>
      </c>
      <c r="I78" t="s">
        <v>430</v>
      </c>
      <c r="J78" t="s">
        <v>41</v>
      </c>
      <c r="K78" s="9">
        <v>1.3354166666666667</v>
      </c>
      <c r="L78">
        <v>7</v>
      </c>
      <c r="M78">
        <v>20</v>
      </c>
      <c r="N78">
        <v>0.35</v>
      </c>
      <c r="O78">
        <v>2</v>
      </c>
      <c r="P78">
        <v>9</v>
      </c>
      <c r="Q78">
        <v>0.222</v>
      </c>
      <c r="R78">
        <v>5</v>
      </c>
      <c r="S78">
        <v>11</v>
      </c>
      <c r="T78">
        <v>0.45500000000000002</v>
      </c>
      <c r="U78">
        <v>0.4</v>
      </c>
      <c r="V78">
        <v>6</v>
      </c>
      <c r="W78">
        <v>7</v>
      </c>
      <c r="X78">
        <v>0.85699999999999998</v>
      </c>
      <c r="Y78">
        <v>0</v>
      </c>
      <c r="Z78">
        <v>4</v>
      </c>
      <c r="AA78">
        <v>4</v>
      </c>
      <c r="AB78">
        <v>5</v>
      </c>
      <c r="AC78">
        <v>3</v>
      </c>
      <c r="AD78">
        <v>0</v>
      </c>
      <c r="AE78">
        <v>5</v>
      </c>
      <c r="AF78">
        <v>3</v>
      </c>
      <c r="AG78">
        <v>22</v>
      </c>
      <c r="AH78">
        <v>11.9</v>
      </c>
      <c r="AI78">
        <v>-9</v>
      </c>
    </row>
    <row r="79" spans="1:35" ht="21" x14ac:dyDescent="0.3">
      <c r="A79" t="s">
        <v>559</v>
      </c>
      <c r="B79" s="11">
        <v>28</v>
      </c>
      <c r="D79">
        <v>78</v>
      </c>
      <c r="E79" s="4">
        <v>44652</v>
      </c>
      <c r="F79" t="s">
        <v>64</v>
      </c>
      <c r="G79" t="s">
        <v>37</v>
      </c>
      <c r="H79" t="s">
        <v>126</v>
      </c>
      <c r="I79" t="s">
        <v>431</v>
      </c>
      <c r="J79" t="s">
        <v>91</v>
      </c>
      <c r="K79" t="s">
        <v>91</v>
      </c>
      <c r="L79" t="s">
        <v>91</v>
      </c>
      <c r="M79" t="s">
        <v>91</v>
      </c>
      <c r="N79" t="s">
        <v>91</v>
      </c>
      <c r="O79" t="s">
        <v>91</v>
      </c>
      <c r="P79" t="s">
        <v>91</v>
      </c>
      <c r="Q79" t="s">
        <v>91</v>
      </c>
      <c r="R79" t="s">
        <v>91</v>
      </c>
      <c r="S79" t="s">
        <v>91</v>
      </c>
      <c r="T79" t="s">
        <v>91</v>
      </c>
      <c r="U79" t="s">
        <v>91</v>
      </c>
      <c r="V79" t="s">
        <v>91</v>
      </c>
      <c r="W79" t="s">
        <v>91</v>
      </c>
      <c r="X79" t="s">
        <v>91</v>
      </c>
      <c r="Y79" t="s">
        <v>91</v>
      </c>
      <c r="Z79" t="s">
        <v>91</v>
      </c>
      <c r="AA79" t="s">
        <v>91</v>
      </c>
      <c r="AB79" t="s">
        <v>91</v>
      </c>
      <c r="AC79" t="s">
        <v>91</v>
      </c>
      <c r="AD79" t="s">
        <v>91</v>
      </c>
      <c r="AE79" t="s">
        <v>91</v>
      </c>
      <c r="AF79" t="s">
        <v>91</v>
      </c>
      <c r="AG79" t="s">
        <v>91</v>
      </c>
      <c r="AH79" t="s">
        <v>91</v>
      </c>
      <c r="AI79" t="s">
        <v>91</v>
      </c>
    </row>
    <row r="80" spans="1:35" ht="21" x14ac:dyDescent="0.3">
      <c r="A80" t="s">
        <v>559</v>
      </c>
      <c r="B80" s="11">
        <v>29</v>
      </c>
      <c r="C80">
        <v>735</v>
      </c>
      <c r="D80">
        <v>79</v>
      </c>
      <c r="E80" s="4">
        <v>44654</v>
      </c>
      <c r="F80" t="s">
        <v>64</v>
      </c>
      <c r="H80" t="s">
        <v>74</v>
      </c>
      <c r="I80" t="s">
        <v>432</v>
      </c>
      <c r="J80" t="s">
        <v>41</v>
      </c>
      <c r="K80" s="9">
        <v>1.2118055555555556</v>
      </c>
      <c r="L80">
        <v>5</v>
      </c>
      <c r="M80">
        <v>15</v>
      </c>
      <c r="N80">
        <v>0.33300000000000002</v>
      </c>
      <c r="O80">
        <v>5</v>
      </c>
      <c r="P80">
        <v>7</v>
      </c>
      <c r="Q80">
        <v>0.71399999999999997</v>
      </c>
      <c r="R80">
        <v>0</v>
      </c>
      <c r="S80">
        <v>8</v>
      </c>
      <c r="T80">
        <v>0</v>
      </c>
      <c r="U80">
        <v>0.5</v>
      </c>
      <c r="V80">
        <v>0</v>
      </c>
      <c r="W80">
        <v>0</v>
      </c>
      <c r="Y80">
        <v>0</v>
      </c>
      <c r="Z80">
        <v>5</v>
      </c>
      <c r="AA80">
        <v>5</v>
      </c>
      <c r="AB80">
        <v>7</v>
      </c>
      <c r="AC80">
        <v>2</v>
      </c>
      <c r="AD80">
        <v>0</v>
      </c>
      <c r="AE80">
        <v>4</v>
      </c>
      <c r="AF80">
        <v>0</v>
      </c>
      <c r="AG80">
        <v>15</v>
      </c>
      <c r="AH80">
        <v>10.9</v>
      </c>
      <c r="AI80">
        <v>14</v>
      </c>
    </row>
    <row r="81" spans="1:35" ht="21" x14ac:dyDescent="0.3">
      <c r="A81" t="s">
        <v>559</v>
      </c>
      <c r="B81" s="11">
        <v>30</v>
      </c>
      <c r="C81">
        <v>736</v>
      </c>
      <c r="D81">
        <v>80</v>
      </c>
      <c r="E81" s="4">
        <v>44657</v>
      </c>
      <c r="F81" t="s">
        <v>64</v>
      </c>
      <c r="H81" t="s">
        <v>99</v>
      </c>
      <c r="I81" t="s">
        <v>433</v>
      </c>
      <c r="J81" t="s">
        <v>41</v>
      </c>
      <c r="K81" s="9">
        <v>1.1708333333333334</v>
      </c>
      <c r="L81">
        <v>4</v>
      </c>
      <c r="M81">
        <v>11</v>
      </c>
      <c r="N81">
        <v>0.36399999999999999</v>
      </c>
      <c r="O81">
        <v>2</v>
      </c>
      <c r="P81">
        <v>6</v>
      </c>
      <c r="Q81">
        <v>0.33300000000000002</v>
      </c>
      <c r="R81">
        <v>2</v>
      </c>
      <c r="S81">
        <v>5</v>
      </c>
      <c r="T81">
        <v>0.4</v>
      </c>
      <c r="U81">
        <v>0.45500000000000002</v>
      </c>
      <c r="V81">
        <v>9</v>
      </c>
      <c r="W81">
        <v>11</v>
      </c>
      <c r="X81">
        <v>0.81799999999999995</v>
      </c>
      <c r="Y81">
        <v>0</v>
      </c>
      <c r="Z81">
        <v>9</v>
      </c>
      <c r="AA81">
        <v>9</v>
      </c>
      <c r="AB81">
        <v>4</v>
      </c>
      <c r="AC81">
        <v>3</v>
      </c>
      <c r="AD81">
        <v>2</v>
      </c>
      <c r="AE81">
        <v>2</v>
      </c>
      <c r="AF81">
        <v>1</v>
      </c>
      <c r="AG81">
        <v>19</v>
      </c>
      <c r="AH81">
        <v>19.600000000000001</v>
      </c>
      <c r="AI81">
        <v>31</v>
      </c>
    </row>
    <row r="82" spans="1:35" ht="21" x14ac:dyDescent="0.3">
      <c r="A82" t="s">
        <v>559</v>
      </c>
      <c r="B82" s="11">
        <v>31</v>
      </c>
      <c r="C82">
        <v>737</v>
      </c>
      <c r="D82">
        <v>81</v>
      </c>
      <c r="E82" s="4">
        <v>44660</v>
      </c>
      <c r="F82" t="s">
        <v>64</v>
      </c>
      <c r="H82" t="s">
        <v>66</v>
      </c>
      <c r="I82" t="s">
        <v>434</v>
      </c>
      <c r="J82" t="s">
        <v>41</v>
      </c>
      <c r="K82" s="9">
        <v>1.398611111111111</v>
      </c>
      <c r="L82">
        <v>8</v>
      </c>
      <c r="M82">
        <v>14</v>
      </c>
      <c r="N82">
        <v>0.57099999999999995</v>
      </c>
      <c r="O82">
        <v>6</v>
      </c>
      <c r="P82">
        <v>9</v>
      </c>
      <c r="Q82">
        <v>0.66700000000000004</v>
      </c>
      <c r="R82">
        <v>2</v>
      </c>
      <c r="S82">
        <v>5</v>
      </c>
      <c r="T82">
        <v>0.4</v>
      </c>
      <c r="U82">
        <v>0.78600000000000003</v>
      </c>
      <c r="V82">
        <v>1</v>
      </c>
      <c r="W82">
        <v>2</v>
      </c>
      <c r="X82">
        <v>0.5</v>
      </c>
      <c r="Y82">
        <v>1</v>
      </c>
      <c r="Z82">
        <v>7</v>
      </c>
      <c r="AA82">
        <v>8</v>
      </c>
      <c r="AB82">
        <v>12</v>
      </c>
      <c r="AC82">
        <v>2</v>
      </c>
      <c r="AD82">
        <v>0</v>
      </c>
      <c r="AE82">
        <v>4</v>
      </c>
      <c r="AF82">
        <v>3</v>
      </c>
      <c r="AG82">
        <v>23</v>
      </c>
      <c r="AH82">
        <v>24</v>
      </c>
      <c r="AI82">
        <v>18</v>
      </c>
    </row>
    <row r="83" spans="1:35" ht="21" x14ac:dyDescent="0.3">
      <c r="A83" t="s">
        <v>559</v>
      </c>
      <c r="B83" s="11">
        <v>31</v>
      </c>
      <c r="D83">
        <v>82</v>
      </c>
      <c r="E83" s="4">
        <v>44661</v>
      </c>
      <c r="F83" t="s">
        <v>64</v>
      </c>
      <c r="H83" t="s">
        <v>68</v>
      </c>
      <c r="I83" t="s">
        <v>435</v>
      </c>
      <c r="J83" t="s">
        <v>91</v>
      </c>
      <c r="K83" t="s">
        <v>91</v>
      </c>
      <c r="L83" t="s">
        <v>91</v>
      </c>
      <c r="M83" t="s">
        <v>91</v>
      </c>
      <c r="N83" t="s">
        <v>91</v>
      </c>
      <c r="O83" t="s">
        <v>91</v>
      </c>
      <c r="P83" t="s">
        <v>91</v>
      </c>
      <c r="Q83" t="s">
        <v>91</v>
      </c>
      <c r="R83" t="s">
        <v>91</v>
      </c>
      <c r="S83" t="s">
        <v>91</v>
      </c>
      <c r="T83" t="s">
        <v>91</v>
      </c>
      <c r="U83" t="s">
        <v>91</v>
      </c>
      <c r="V83" t="s">
        <v>91</v>
      </c>
      <c r="W83" t="s">
        <v>91</v>
      </c>
      <c r="X83" t="s">
        <v>91</v>
      </c>
      <c r="Y83" t="s">
        <v>91</v>
      </c>
      <c r="Z83" t="s">
        <v>91</v>
      </c>
      <c r="AA83" t="s">
        <v>91</v>
      </c>
      <c r="AB83" t="s">
        <v>91</v>
      </c>
      <c r="AC83" t="s">
        <v>91</v>
      </c>
      <c r="AD83" t="s">
        <v>91</v>
      </c>
      <c r="AE83" t="s">
        <v>91</v>
      </c>
      <c r="AF83" t="s">
        <v>91</v>
      </c>
      <c r="AG83" t="s">
        <v>91</v>
      </c>
      <c r="AH83" t="s">
        <v>91</v>
      </c>
      <c r="AI83" t="s">
        <v>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24BA-EDCA-E44A-AE32-4E4282843E16}">
  <dimension ref="A1:AI83"/>
  <sheetViews>
    <sheetView workbookViewId="0">
      <selection activeCell="H2" sqref="H2:H83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560</v>
      </c>
      <c r="B2" s="11">
        <v>1</v>
      </c>
      <c r="C2">
        <v>944</v>
      </c>
      <c r="D2">
        <v>1</v>
      </c>
      <c r="E2" s="4">
        <v>44488</v>
      </c>
      <c r="F2" t="s">
        <v>62</v>
      </c>
      <c r="H2" t="s">
        <v>33</v>
      </c>
      <c r="I2" t="s">
        <v>191</v>
      </c>
      <c r="J2" t="s">
        <v>41</v>
      </c>
      <c r="K2" s="9">
        <v>1.4638888888888888</v>
      </c>
      <c r="L2">
        <v>4</v>
      </c>
      <c r="M2">
        <v>13</v>
      </c>
      <c r="N2">
        <v>0.308</v>
      </c>
      <c r="O2">
        <v>0</v>
      </c>
      <c r="P2">
        <v>4</v>
      </c>
      <c r="Q2">
        <v>0</v>
      </c>
      <c r="R2">
        <v>4</v>
      </c>
      <c r="S2">
        <v>9</v>
      </c>
      <c r="T2">
        <v>0.44400000000000001</v>
      </c>
      <c r="U2">
        <v>0.308</v>
      </c>
      <c r="V2">
        <v>0</v>
      </c>
      <c r="W2">
        <v>0</v>
      </c>
      <c r="Y2">
        <v>1</v>
      </c>
      <c r="Z2">
        <v>4</v>
      </c>
      <c r="AA2">
        <v>5</v>
      </c>
      <c r="AB2">
        <v>4</v>
      </c>
      <c r="AC2">
        <v>0</v>
      </c>
      <c r="AD2">
        <v>0</v>
      </c>
      <c r="AE2">
        <v>4</v>
      </c>
      <c r="AF2">
        <v>4</v>
      </c>
      <c r="AG2">
        <v>8</v>
      </c>
      <c r="AH2">
        <v>-0.4</v>
      </c>
      <c r="AI2">
        <v>-23</v>
      </c>
    </row>
    <row r="3" spans="1:35" ht="21" x14ac:dyDescent="0.3">
      <c r="A3" t="s">
        <v>560</v>
      </c>
      <c r="B3" s="11">
        <v>2</v>
      </c>
      <c r="C3">
        <v>945</v>
      </c>
      <c r="D3">
        <v>2</v>
      </c>
      <c r="E3" s="4">
        <v>44491</v>
      </c>
      <c r="F3" t="s">
        <v>62</v>
      </c>
      <c r="H3" t="s">
        <v>99</v>
      </c>
      <c r="I3" t="s">
        <v>192</v>
      </c>
      <c r="J3" t="s">
        <v>41</v>
      </c>
      <c r="K3" s="9">
        <v>1.4409722222222223</v>
      </c>
      <c r="L3">
        <v>6</v>
      </c>
      <c r="M3">
        <v>15</v>
      </c>
      <c r="N3">
        <v>0.4</v>
      </c>
      <c r="O3">
        <v>0</v>
      </c>
      <c r="P3">
        <v>3</v>
      </c>
      <c r="Q3">
        <v>0</v>
      </c>
      <c r="R3">
        <v>6</v>
      </c>
      <c r="S3">
        <v>12</v>
      </c>
      <c r="T3">
        <v>0.5</v>
      </c>
      <c r="U3">
        <v>0.4</v>
      </c>
      <c r="V3">
        <v>3</v>
      </c>
      <c r="W3">
        <v>8</v>
      </c>
      <c r="X3">
        <v>0.375</v>
      </c>
      <c r="Y3">
        <v>2</v>
      </c>
      <c r="Z3">
        <v>9</v>
      </c>
      <c r="AA3">
        <v>11</v>
      </c>
      <c r="AB3">
        <v>9</v>
      </c>
      <c r="AC3">
        <v>2</v>
      </c>
      <c r="AD3">
        <v>1</v>
      </c>
      <c r="AE3">
        <v>4</v>
      </c>
      <c r="AF3">
        <v>5</v>
      </c>
      <c r="AG3">
        <v>15</v>
      </c>
      <c r="AH3">
        <v>12</v>
      </c>
      <c r="AI3">
        <v>4</v>
      </c>
    </row>
    <row r="4" spans="1:35" ht="21" x14ac:dyDescent="0.3">
      <c r="A4" t="s">
        <v>560</v>
      </c>
      <c r="B4" s="11">
        <v>3</v>
      </c>
      <c r="C4">
        <v>946</v>
      </c>
      <c r="D4">
        <v>3</v>
      </c>
      <c r="E4" s="4">
        <v>44493</v>
      </c>
      <c r="F4" t="s">
        <v>62</v>
      </c>
      <c r="H4" t="s">
        <v>42</v>
      </c>
      <c r="I4" t="s">
        <v>193</v>
      </c>
      <c r="J4" t="s">
        <v>41</v>
      </c>
      <c r="K4" s="9">
        <v>1.5319444444444446</v>
      </c>
      <c r="L4">
        <v>5</v>
      </c>
      <c r="M4">
        <v>15</v>
      </c>
      <c r="N4">
        <v>0.33300000000000002</v>
      </c>
      <c r="O4">
        <v>1</v>
      </c>
      <c r="P4">
        <v>4</v>
      </c>
      <c r="Q4">
        <v>0.25</v>
      </c>
      <c r="R4">
        <v>4</v>
      </c>
      <c r="S4">
        <v>11</v>
      </c>
      <c r="T4">
        <v>0.36399999999999999</v>
      </c>
      <c r="U4">
        <v>0.36699999999999999</v>
      </c>
      <c r="V4">
        <v>2</v>
      </c>
      <c r="W4">
        <v>4</v>
      </c>
      <c r="X4">
        <v>0.5</v>
      </c>
      <c r="Y4">
        <v>1</v>
      </c>
      <c r="Z4">
        <v>6</v>
      </c>
      <c r="AA4">
        <v>7</v>
      </c>
      <c r="AB4">
        <v>13</v>
      </c>
      <c r="AC4">
        <v>4</v>
      </c>
      <c r="AD4">
        <v>0</v>
      </c>
      <c r="AE4">
        <v>9</v>
      </c>
      <c r="AF4">
        <v>3</v>
      </c>
      <c r="AG4">
        <v>13</v>
      </c>
      <c r="AH4">
        <v>9.1</v>
      </c>
      <c r="AI4">
        <v>-8</v>
      </c>
    </row>
    <row r="5" spans="1:35" ht="21" x14ac:dyDescent="0.3">
      <c r="A5" t="s">
        <v>560</v>
      </c>
      <c r="B5" s="11">
        <v>4</v>
      </c>
      <c r="C5">
        <v>947</v>
      </c>
      <c r="D5">
        <v>4</v>
      </c>
      <c r="E5" s="4">
        <v>44495</v>
      </c>
      <c r="F5" t="s">
        <v>62</v>
      </c>
      <c r="G5" t="s">
        <v>37</v>
      </c>
      <c r="H5" t="s">
        <v>102</v>
      </c>
      <c r="I5" t="s">
        <v>194</v>
      </c>
      <c r="J5" t="s">
        <v>41</v>
      </c>
      <c r="K5" s="9">
        <v>1.6506944444444445</v>
      </c>
      <c r="L5">
        <v>15</v>
      </c>
      <c r="M5">
        <v>27</v>
      </c>
      <c r="N5">
        <v>0.55600000000000005</v>
      </c>
      <c r="O5">
        <v>1</v>
      </c>
      <c r="P5">
        <v>4</v>
      </c>
      <c r="Q5">
        <v>0.25</v>
      </c>
      <c r="R5">
        <v>14</v>
      </c>
      <c r="S5">
        <v>23</v>
      </c>
      <c r="T5">
        <v>0.60899999999999999</v>
      </c>
      <c r="U5">
        <v>0.57399999999999995</v>
      </c>
      <c r="V5">
        <v>2</v>
      </c>
      <c r="W5">
        <v>4</v>
      </c>
      <c r="X5">
        <v>0.5</v>
      </c>
      <c r="Y5">
        <v>0</v>
      </c>
      <c r="Z5">
        <v>10</v>
      </c>
      <c r="AA5">
        <v>10</v>
      </c>
      <c r="AB5">
        <v>8</v>
      </c>
      <c r="AC5">
        <v>3</v>
      </c>
      <c r="AD5">
        <v>0</v>
      </c>
      <c r="AE5">
        <v>3</v>
      </c>
      <c r="AF5">
        <v>5</v>
      </c>
      <c r="AG5">
        <v>33</v>
      </c>
      <c r="AH5">
        <v>25.9</v>
      </c>
      <c r="AI5">
        <v>1</v>
      </c>
    </row>
    <row r="6" spans="1:35" ht="21" x14ac:dyDescent="0.3">
      <c r="A6" t="s">
        <v>560</v>
      </c>
      <c r="B6" s="11">
        <v>5</v>
      </c>
      <c r="C6">
        <v>948</v>
      </c>
      <c r="D6">
        <v>5</v>
      </c>
      <c r="E6" s="4">
        <v>44496</v>
      </c>
      <c r="F6" t="s">
        <v>62</v>
      </c>
      <c r="G6" t="s">
        <v>37</v>
      </c>
      <c r="H6" t="s">
        <v>68</v>
      </c>
      <c r="I6" t="s">
        <v>162</v>
      </c>
      <c r="J6" t="s">
        <v>41</v>
      </c>
      <c r="K6" s="9">
        <v>1.4513888888888888</v>
      </c>
      <c r="L6">
        <v>8</v>
      </c>
      <c r="M6">
        <v>20</v>
      </c>
      <c r="N6">
        <v>0.4</v>
      </c>
      <c r="O6">
        <v>2</v>
      </c>
      <c r="P6">
        <v>8</v>
      </c>
      <c r="Q6">
        <v>0.25</v>
      </c>
      <c r="R6">
        <v>6</v>
      </c>
      <c r="S6">
        <v>12</v>
      </c>
      <c r="T6">
        <v>0.5</v>
      </c>
      <c r="U6">
        <v>0.45</v>
      </c>
      <c r="V6">
        <v>2</v>
      </c>
      <c r="W6">
        <v>3</v>
      </c>
      <c r="X6">
        <v>0.66700000000000004</v>
      </c>
      <c r="Y6">
        <v>4</v>
      </c>
      <c r="Z6">
        <v>10</v>
      </c>
      <c r="AA6">
        <v>14</v>
      </c>
      <c r="AB6">
        <v>13</v>
      </c>
      <c r="AC6">
        <v>1</v>
      </c>
      <c r="AD6">
        <v>0</v>
      </c>
      <c r="AE6">
        <v>10</v>
      </c>
      <c r="AF6">
        <v>4</v>
      </c>
      <c r="AG6">
        <v>20</v>
      </c>
      <c r="AH6">
        <v>13.1</v>
      </c>
      <c r="AI6">
        <v>-12</v>
      </c>
    </row>
    <row r="7" spans="1:35" ht="21" x14ac:dyDescent="0.3">
      <c r="A7" t="s">
        <v>560</v>
      </c>
      <c r="B7" s="11">
        <v>6</v>
      </c>
      <c r="C7">
        <v>949</v>
      </c>
      <c r="D7">
        <v>6</v>
      </c>
      <c r="E7" s="4">
        <v>44498</v>
      </c>
      <c r="F7" t="s">
        <v>62</v>
      </c>
      <c r="H7" t="s">
        <v>87</v>
      </c>
      <c r="I7" t="s">
        <v>195</v>
      </c>
      <c r="J7" t="s">
        <v>41</v>
      </c>
      <c r="K7" s="9">
        <v>1.4270833333333333</v>
      </c>
      <c r="L7">
        <v>8</v>
      </c>
      <c r="M7">
        <v>13</v>
      </c>
      <c r="N7">
        <v>0.61499999999999999</v>
      </c>
      <c r="O7">
        <v>1</v>
      </c>
      <c r="P7">
        <v>1</v>
      </c>
      <c r="Q7">
        <v>1</v>
      </c>
      <c r="R7">
        <v>7</v>
      </c>
      <c r="S7">
        <v>12</v>
      </c>
      <c r="T7">
        <v>0.58299999999999996</v>
      </c>
      <c r="U7">
        <v>0.65400000000000003</v>
      </c>
      <c r="V7">
        <v>2</v>
      </c>
      <c r="W7">
        <v>3</v>
      </c>
      <c r="X7">
        <v>0.66700000000000004</v>
      </c>
      <c r="Y7">
        <v>1</v>
      </c>
      <c r="Z7">
        <v>5</v>
      </c>
      <c r="AA7">
        <v>6</v>
      </c>
      <c r="AB7">
        <v>5</v>
      </c>
      <c r="AC7">
        <v>0</v>
      </c>
      <c r="AD7">
        <v>0</v>
      </c>
      <c r="AE7">
        <v>4</v>
      </c>
      <c r="AF7">
        <v>2</v>
      </c>
      <c r="AG7">
        <v>19</v>
      </c>
      <c r="AH7">
        <v>13.6</v>
      </c>
      <c r="AI7">
        <v>4</v>
      </c>
    </row>
    <row r="8" spans="1:35" ht="21" x14ac:dyDescent="0.3">
      <c r="A8" t="s">
        <v>560</v>
      </c>
      <c r="B8" s="11">
        <v>7</v>
      </c>
      <c r="C8">
        <v>950</v>
      </c>
      <c r="D8">
        <v>7</v>
      </c>
      <c r="E8" s="4">
        <v>44500</v>
      </c>
      <c r="F8" t="s">
        <v>62</v>
      </c>
      <c r="H8" t="s">
        <v>76</v>
      </c>
      <c r="I8" t="s">
        <v>196</v>
      </c>
      <c r="J8" t="s">
        <v>41</v>
      </c>
      <c r="K8" s="9">
        <v>1.4534722222222223</v>
      </c>
      <c r="L8">
        <v>9</v>
      </c>
      <c r="M8">
        <v>22</v>
      </c>
      <c r="N8">
        <v>0.40899999999999997</v>
      </c>
      <c r="O8">
        <v>2</v>
      </c>
      <c r="P8">
        <v>4</v>
      </c>
      <c r="Q8">
        <v>0.5</v>
      </c>
      <c r="R8">
        <v>7</v>
      </c>
      <c r="S8">
        <v>18</v>
      </c>
      <c r="T8">
        <v>0.38900000000000001</v>
      </c>
      <c r="U8">
        <v>0.45500000000000002</v>
      </c>
      <c r="V8">
        <v>0</v>
      </c>
      <c r="W8">
        <v>1</v>
      </c>
      <c r="X8">
        <v>0</v>
      </c>
      <c r="Y8">
        <v>1</v>
      </c>
      <c r="Z8">
        <v>7</v>
      </c>
      <c r="AA8">
        <v>8</v>
      </c>
      <c r="AB8">
        <v>9</v>
      </c>
      <c r="AC8">
        <v>1</v>
      </c>
      <c r="AD8">
        <v>0</v>
      </c>
      <c r="AE8">
        <v>2</v>
      </c>
      <c r="AF8">
        <v>4</v>
      </c>
      <c r="AG8">
        <v>20</v>
      </c>
      <c r="AH8">
        <v>14.3</v>
      </c>
      <c r="AI8">
        <v>25</v>
      </c>
    </row>
    <row r="9" spans="1:35" ht="21" x14ac:dyDescent="0.3">
      <c r="A9" t="s">
        <v>560</v>
      </c>
      <c r="B9" s="11">
        <v>8</v>
      </c>
      <c r="C9">
        <v>951</v>
      </c>
      <c r="D9">
        <v>8</v>
      </c>
      <c r="E9" s="4">
        <v>44502</v>
      </c>
      <c r="F9" t="s">
        <v>62</v>
      </c>
      <c r="H9" t="s">
        <v>76</v>
      </c>
      <c r="I9" t="s">
        <v>197</v>
      </c>
      <c r="J9" t="s">
        <v>41</v>
      </c>
      <c r="K9" s="9">
        <v>1.5493055555555555</v>
      </c>
      <c r="L9">
        <v>10</v>
      </c>
      <c r="M9">
        <v>21</v>
      </c>
      <c r="N9">
        <v>0.47599999999999998</v>
      </c>
      <c r="O9">
        <v>0</v>
      </c>
      <c r="P9">
        <v>4</v>
      </c>
      <c r="Q9">
        <v>0</v>
      </c>
      <c r="R9">
        <v>10</v>
      </c>
      <c r="S9">
        <v>17</v>
      </c>
      <c r="T9">
        <v>0.58799999999999997</v>
      </c>
      <c r="U9">
        <v>0.47599999999999998</v>
      </c>
      <c r="V9">
        <v>7</v>
      </c>
      <c r="W9">
        <v>8</v>
      </c>
      <c r="X9">
        <v>0.875</v>
      </c>
      <c r="Y9">
        <v>5</v>
      </c>
      <c r="Z9">
        <v>4</v>
      </c>
      <c r="AA9">
        <v>9</v>
      </c>
      <c r="AB9">
        <v>7</v>
      </c>
      <c r="AC9">
        <v>0</v>
      </c>
      <c r="AD9">
        <v>0</v>
      </c>
      <c r="AE9">
        <v>3</v>
      </c>
      <c r="AF9">
        <v>1</v>
      </c>
      <c r="AG9">
        <v>27</v>
      </c>
      <c r="AH9">
        <v>22.1</v>
      </c>
      <c r="AI9">
        <v>-6</v>
      </c>
    </row>
    <row r="10" spans="1:35" ht="21" x14ac:dyDescent="0.3">
      <c r="A10" t="s">
        <v>560</v>
      </c>
      <c r="B10" s="11">
        <v>9</v>
      </c>
      <c r="C10">
        <v>952</v>
      </c>
      <c r="D10">
        <v>9</v>
      </c>
      <c r="E10" s="4">
        <v>44504</v>
      </c>
      <c r="F10" t="s">
        <v>62</v>
      </c>
      <c r="H10" t="s">
        <v>68</v>
      </c>
      <c r="I10" t="s">
        <v>198</v>
      </c>
      <c r="J10" t="s">
        <v>41</v>
      </c>
      <c r="K10" s="9">
        <v>1.4437500000000001</v>
      </c>
      <c r="L10">
        <v>10</v>
      </c>
      <c r="M10">
        <v>23</v>
      </c>
      <c r="N10">
        <v>0.435</v>
      </c>
      <c r="O10">
        <v>3</v>
      </c>
      <c r="P10">
        <v>6</v>
      </c>
      <c r="Q10">
        <v>0.5</v>
      </c>
      <c r="R10">
        <v>7</v>
      </c>
      <c r="S10">
        <v>17</v>
      </c>
      <c r="T10">
        <v>0.41199999999999998</v>
      </c>
      <c r="U10">
        <v>0.5</v>
      </c>
      <c r="V10">
        <v>4</v>
      </c>
      <c r="W10">
        <v>4</v>
      </c>
      <c r="X10">
        <v>1</v>
      </c>
      <c r="Y10">
        <v>1</v>
      </c>
      <c r="Z10">
        <v>5</v>
      </c>
      <c r="AA10">
        <v>6</v>
      </c>
      <c r="AB10">
        <v>5</v>
      </c>
      <c r="AC10">
        <v>0</v>
      </c>
      <c r="AD10">
        <v>0</v>
      </c>
      <c r="AE10">
        <v>4</v>
      </c>
      <c r="AF10">
        <v>2</v>
      </c>
      <c r="AG10">
        <v>27</v>
      </c>
      <c r="AH10">
        <v>15.8</v>
      </c>
      <c r="AI10">
        <v>6</v>
      </c>
    </row>
    <row r="11" spans="1:35" ht="21" x14ac:dyDescent="0.3">
      <c r="A11" t="s">
        <v>560</v>
      </c>
      <c r="B11" s="11">
        <v>10</v>
      </c>
      <c r="C11">
        <v>953</v>
      </c>
      <c r="D11">
        <v>10</v>
      </c>
      <c r="E11" s="4">
        <v>44506</v>
      </c>
      <c r="F11" t="s">
        <v>62</v>
      </c>
      <c r="G11" t="s">
        <v>37</v>
      </c>
      <c r="H11" t="s">
        <v>96</v>
      </c>
      <c r="I11" t="s">
        <v>199</v>
      </c>
      <c r="J11" t="s">
        <v>41</v>
      </c>
      <c r="K11" s="9">
        <v>1.2284722222222222</v>
      </c>
      <c r="L11">
        <v>1</v>
      </c>
      <c r="M11">
        <v>13</v>
      </c>
      <c r="N11">
        <v>7.6999999999999999E-2</v>
      </c>
      <c r="O11">
        <v>1</v>
      </c>
      <c r="P11">
        <v>3</v>
      </c>
      <c r="Q11">
        <v>0.33300000000000002</v>
      </c>
      <c r="R11">
        <v>0</v>
      </c>
      <c r="S11">
        <v>10</v>
      </c>
      <c r="T11">
        <v>0</v>
      </c>
      <c r="U11">
        <v>0.115</v>
      </c>
      <c r="V11">
        <v>5</v>
      </c>
      <c r="W11">
        <v>8</v>
      </c>
      <c r="X11">
        <v>0.625</v>
      </c>
      <c r="Y11">
        <v>2</v>
      </c>
      <c r="Z11">
        <v>7</v>
      </c>
      <c r="AA11">
        <v>9</v>
      </c>
      <c r="AB11">
        <v>6</v>
      </c>
      <c r="AC11">
        <v>2</v>
      </c>
      <c r="AD11">
        <v>0</v>
      </c>
      <c r="AE11">
        <v>6</v>
      </c>
      <c r="AF11">
        <v>3</v>
      </c>
      <c r="AG11">
        <v>8</v>
      </c>
      <c r="AH11">
        <v>0.6</v>
      </c>
      <c r="AI11">
        <v>-20</v>
      </c>
    </row>
    <row r="12" spans="1:35" ht="21" x14ac:dyDescent="0.3">
      <c r="A12" t="s">
        <v>560</v>
      </c>
      <c r="B12" s="11">
        <v>11</v>
      </c>
      <c r="C12">
        <v>954</v>
      </c>
      <c r="D12">
        <v>11</v>
      </c>
      <c r="E12" s="4">
        <v>44508</v>
      </c>
      <c r="F12" t="s">
        <v>62</v>
      </c>
      <c r="H12" t="s">
        <v>72</v>
      </c>
      <c r="I12" t="s">
        <v>200</v>
      </c>
      <c r="J12" t="s">
        <v>41</v>
      </c>
      <c r="K12" s="9">
        <v>1.7090277777777778</v>
      </c>
      <c r="L12">
        <v>5</v>
      </c>
      <c r="M12">
        <v>15</v>
      </c>
      <c r="N12">
        <v>0.33300000000000002</v>
      </c>
      <c r="O12">
        <v>0</v>
      </c>
      <c r="P12">
        <v>2</v>
      </c>
      <c r="Q12">
        <v>0</v>
      </c>
      <c r="R12">
        <v>5</v>
      </c>
      <c r="S12">
        <v>13</v>
      </c>
      <c r="T12">
        <v>0.38500000000000001</v>
      </c>
      <c r="U12">
        <v>0.33300000000000002</v>
      </c>
      <c r="V12">
        <v>7</v>
      </c>
      <c r="W12">
        <v>10</v>
      </c>
      <c r="X12">
        <v>0.7</v>
      </c>
      <c r="Y12">
        <v>0</v>
      </c>
      <c r="Z12">
        <v>12</v>
      </c>
      <c r="AA12">
        <v>12</v>
      </c>
      <c r="AB12">
        <v>14</v>
      </c>
      <c r="AC12">
        <v>3</v>
      </c>
      <c r="AD12">
        <v>0</v>
      </c>
      <c r="AE12">
        <v>7</v>
      </c>
      <c r="AF12">
        <v>3</v>
      </c>
      <c r="AG12">
        <v>17</v>
      </c>
      <c r="AH12">
        <v>15.5</v>
      </c>
      <c r="AI12">
        <v>-17</v>
      </c>
    </row>
    <row r="13" spans="1:35" ht="21" x14ac:dyDescent="0.3">
      <c r="A13" t="s">
        <v>560</v>
      </c>
      <c r="B13" s="11">
        <v>12</v>
      </c>
      <c r="C13">
        <v>955</v>
      </c>
      <c r="D13">
        <v>12</v>
      </c>
      <c r="E13" s="4">
        <v>44510</v>
      </c>
      <c r="F13" t="s">
        <v>62</v>
      </c>
      <c r="H13" t="s">
        <v>120</v>
      </c>
      <c r="I13" t="s">
        <v>201</v>
      </c>
      <c r="J13" t="s">
        <v>41</v>
      </c>
      <c r="K13" s="9">
        <v>1.8062499999999999</v>
      </c>
      <c r="L13">
        <v>10</v>
      </c>
      <c r="M13">
        <v>22</v>
      </c>
      <c r="N13">
        <v>0.45500000000000002</v>
      </c>
      <c r="O13">
        <v>3</v>
      </c>
      <c r="P13">
        <v>7</v>
      </c>
      <c r="Q13">
        <v>0.42899999999999999</v>
      </c>
      <c r="R13">
        <v>7</v>
      </c>
      <c r="S13">
        <v>15</v>
      </c>
      <c r="T13">
        <v>0.46700000000000003</v>
      </c>
      <c r="U13">
        <v>0.52300000000000002</v>
      </c>
      <c r="V13">
        <v>2</v>
      </c>
      <c r="W13">
        <v>2</v>
      </c>
      <c r="X13">
        <v>1</v>
      </c>
      <c r="Y13">
        <v>1</v>
      </c>
      <c r="Z13">
        <v>11</v>
      </c>
      <c r="AA13">
        <v>12</v>
      </c>
      <c r="AB13">
        <v>14</v>
      </c>
      <c r="AC13">
        <v>1</v>
      </c>
      <c r="AD13">
        <v>2</v>
      </c>
      <c r="AE13">
        <v>8</v>
      </c>
      <c r="AF13">
        <v>5</v>
      </c>
      <c r="AG13">
        <v>25</v>
      </c>
      <c r="AH13">
        <v>19.8</v>
      </c>
      <c r="AI13">
        <v>10</v>
      </c>
    </row>
    <row r="14" spans="1:35" ht="21" x14ac:dyDescent="0.3">
      <c r="A14" t="s">
        <v>560</v>
      </c>
      <c r="B14" s="11">
        <v>13</v>
      </c>
      <c r="C14">
        <v>956</v>
      </c>
      <c r="D14">
        <v>13</v>
      </c>
      <c r="E14" s="4">
        <v>44512</v>
      </c>
      <c r="F14" t="s">
        <v>62</v>
      </c>
      <c r="H14" t="s">
        <v>80</v>
      </c>
      <c r="I14" t="s">
        <v>202</v>
      </c>
      <c r="J14" t="s">
        <v>41</v>
      </c>
      <c r="K14" s="9">
        <v>1.2868055555555555</v>
      </c>
      <c r="L14">
        <v>7</v>
      </c>
      <c r="M14">
        <v>11</v>
      </c>
      <c r="N14">
        <v>0.63600000000000001</v>
      </c>
      <c r="O14">
        <v>2</v>
      </c>
      <c r="P14">
        <v>4</v>
      </c>
      <c r="Q14">
        <v>0.5</v>
      </c>
      <c r="R14">
        <v>5</v>
      </c>
      <c r="S14">
        <v>7</v>
      </c>
      <c r="T14">
        <v>0.71399999999999997</v>
      </c>
      <c r="U14">
        <v>0.72699999999999998</v>
      </c>
      <c r="V14">
        <v>4</v>
      </c>
      <c r="W14">
        <v>6</v>
      </c>
      <c r="X14">
        <v>0.66700000000000004</v>
      </c>
      <c r="Y14">
        <v>0</v>
      </c>
      <c r="Z14">
        <v>5</v>
      </c>
      <c r="AA14">
        <v>5</v>
      </c>
      <c r="AB14">
        <v>3</v>
      </c>
      <c r="AC14">
        <v>0</v>
      </c>
      <c r="AD14">
        <v>0</v>
      </c>
      <c r="AE14">
        <v>5</v>
      </c>
      <c r="AF14">
        <v>1</v>
      </c>
      <c r="AG14">
        <v>20</v>
      </c>
      <c r="AH14">
        <v>12.5</v>
      </c>
      <c r="AI14">
        <v>-32</v>
      </c>
    </row>
    <row r="15" spans="1:35" ht="21" x14ac:dyDescent="0.3">
      <c r="A15" t="s">
        <v>560</v>
      </c>
      <c r="B15" s="11">
        <v>14</v>
      </c>
      <c r="C15">
        <v>957</v>
      </c>
      <c r="D15">
        <v>14</v>
      </c>
      <c r="E15" s="4">
        <v>44514</v>
      </c>
      <c r="F15" t="s">
        <v>62</v>
      </c>
      <c r="H15" t="s">
        <v>102</v>
      </c>
      <c r="I15" t="s">
        <v>203</v>
      </c>
      <c r="J15" t="s">
        <v>41</v>
      </c>
      <c r="K15" s="9">
        <v>1.4284722222222221</v>
      </c>
      <c r="L15">
        <v>5</v>
      </c>
      <c r="M15">
        <v>11</v>
      </c>
      <c r="N15">
        <v>0.45500000000000002</v>
      </c>
      <c r="O15">
        <v>3</v>
      </c>
      <c r="P15">
        <v>5</v>
      </c>
      <c r="Q15">
        <v>0.6</v>
      </c>
      <c r="R15">
        <v>2</v>
      </c>
      <c r="S15">
        <v>6</v>
      </c>
      <c r="T15">
        <v>0.33300000000000002</v>
      </c>
      <c r="U15">
        <v>0.59099999999999997</v>
      </c>
      <c r="V15">
        <v>1</v>
      </c>
      <c r="W15">
        <v>2</v>
      </c>
      <c r="X15">
        <v>0.5</v>
      </c>
      <c r="Y15">
        <v>1</v>
      </c>
      <c r="Z15">
        <v>10</v>
      </c>
      <c r="AA15">
        <v>11</v>
      </c>
      <c r="AB15">
        <v>7</v>
      </c>
      <c r="AC15">
        <v>2</v>
      </c>
      <c r="AD15">
        <v>0</v>
      </c>
      <c r="AE15">
        <v>7</v>
      </c>
      <c r="AF15">
        <v>3</v>
      </c>
      <c r="AG15">
        <v>14</v>
      </c>
      <c r="AH15">
        <v>10.3</v>
      </c>
      <c r="AI15">
        <v>11</v>
      </c>
    </row>
    <row r="16" spans="1:35" ht="21" x14ac:dyDescent="0.3">
      <c r="A16" t="s">
        <v>560</v>
      </c>
      <c r="B16" s="11">
        <v>15</v>
      </c>
      <c r="C16">
        <v>958</v>
      </c>
      <c r="D16">
        <v>15</v>
      </c>
      <c r="E16" s="4">
        <v>44515</v>
      </c>
      <c r="F16" t="s">
        <v>62</v>
      </c>
      <c r="H16" t="s">
        <v>82</v>
      </c>
      <c r="I16" t="s">
        <v>204</v>
      </c>
      <c r="J16" t="s">
        <v>41</v>
      </c>
      <c r="K16" s="9">
        <v>1.3020833333333333</v>
      </c>
      <c r="L16">
        <v>8</v>
      </c>
      <c r="M16">
        <v>19</v>
      </c>
      <c r="N16">
        <v>0.42099999999999999</v>
      </c>
      <c r="O16">
        <v>0</v>
      </c>
      <c r="P16">
        <v>6</v>
      </c>
      <c r="Q16">
        <v>0</v>
      </c>
      <c r="R16">
        <v>8</v>
      </c>
      <c r="S16">
        <v>13</v>
      </c>
      <c r="T16">
        <v>0.61499999999999999</v>
      </c>
      <c r="U16">
        <v>0.42099999999999999</v>
      </c>
      <c r="V16">
        <v>9</v>
      </c>
      <c r="W16">
        <v>10</v>
      </c>
      <c r="X16">
        <v>0.9</v>
      </c>
      <c r="Y16">
        <v>0</v>
      </c>
      <c r="Z16">
        <v>6</v>
      </c>
      <c r="AA16">
        <v>6</v>
      </c>
      <c r="AB16">
        <v>8</v>
      </c>
      <c r="AC16">
        <v>1</v>
      </c>
      <c r="AD16">
        <v>0</v>
      </c>
      <c r="AE16">
        <v>4</v>
      </c>
      <c r="AF16">
        <v>3</v>
      </c>
      <c r="AG16">
        <v>25</v>
      </c>
      <c r="AH16">
        <v>17.7</v>
      </c>
      <c r="AI16">
        <v>-13</v>
      </c>
    </row>
    <row r="17" spans="1:35" ht="21" x14ac:dyDescent="0.3">
      <c r="A17" t="s">
        <v>560</v>
      </c>
      <c r="B17" s="11">
        <v>16</v>
      </c>
      <c r="C17">
        <v>959</v>
      </c>
      <c r="D17">
        <v>16</v>
      </c>
      <c r="E17" s="4">
        <v>44517</v>
      </c>
      <c r="F17" t="s">
        <v>62</v>
      </c>
      <c r="G17" t="s">
        <v>37</v>
      </c>
      <c r="H17" t="s">
        <v>126</v>
      </c>
      <c r="I17" t="s">
        <v>205</v>
      </c>
      <c r="J17" t="s">
        <v>41</v>
      </c>
      <c r="K17" s="9">
        <v>1.4847222222222223</v>
      </c>
      <c r="L17">
        <v>7</v>
      </c>
      <c r="M17">
        <v>16</v>
      </c>
      <c r="N17">
        <v>0.438</v>
      </c>
      <c r="O17">
        <v>2</v>
      </c>
      <c r="P17">
        <v>5</v>
      </c>
      <c r="Q17">
        <v>0.4</v>
      </c>
      <c r="R17">
        <v>5</v>
      </c>
      <c r="S17">
        <v>11</v>
      </c>
      <c r="T17">
        <v>0.45500000000000002</v>
      </c>
      <c r="U17">
        <v>0.5</v>
      </c>
      <c r="V17">
        <v>3</v>
      </c>
      <c r="W17">
        <v>4</v>
      </c>
      <c r="X17">
        <v>0.75</v>
      </c>
      <c r="Y17">
        <v>1</v>
      </c>
      <c r="Z17">
        <v>3</v>
      </c>
      <c r="AA17">
        <v>4</v>
      </c>
      <c r="AB17">
        <v>15</v>
      </c>
      <c r="AC17">
        <v>1</v>
      </c>
      <c r="AD17">
        <v>0</v>
      </c>
      <c r="AE17">
        <v>3</v>
      </c>
      <c r="AF17">
        <v>3</v>
      </c>
      <c r="AG17">
        <v>19</v>
      </c>
      <c r="AH17">
        <v>19.100000000000001</v>
      </c>
      <c r="AI17">
        <v>3</v>
      </c>
    </row>
    <row r="18" spans="1:35" ht="21" x14ac:dyDescent="0.3">
      <c r="A18" t="s">
        <v>560</v>
      </c>
      <c r="B18" s="11">
        <v>17</v>
      </c>
      <c r="C18">
        <v>960</v>
      </c>
      <c r="D18">
        <v>17</v>
      </c>
      <c r="E18" s="4">
        <v>44519</v>
      </c>
      <c r="F18" t="s">
        <v>62</v>
      </c>
      <c r="G18" t="s">
        <v>37</v>
      </c>
      <c r="H18" t="s">
        <v>55</v>
      </c>
      <c r="I18" t="s">
        <v>206</v>
      </c>
      <c r="J18" t="s">
        <v>41</v>
      </c>
      <c r="K18" s="9">
        <v>1.3055555555555556</v>
      </c>
      <c r="L18">
        <v>5</v>
      </c>
      <c r="M18">
        <v>13</v>
      </c>
      <c r="N18">
        <v>0.38500000000000001</v>
      </c>
      <c r="O18">
        <v>1</v>
      </c>
      <c r="P18">
        <v>4</v>
      </c>
      <c r="Q18">
        <v>0.25</v>
      </c>
      <c r="R18">
        <v>4</v>
      </c>
      <c r="S18">
        <v>9</v>
      </c>
      <c r="T18">
        <v>0.44400000000000001</v>
      </c>
      <c r="U18">
        <v>0.42299999999999999</v>
      </c>
      <c r="V18">
        <v>1</v>
      </c>
      <c r="W18">
        <v>4</v>
      </c>
      <c r="X18">
        <v>0.25</v>
      </c>
      <c r="Y18">
        <v>1</v>
      </c>
      <c r="Z18">
        <v>3</v>
      </c>
      <c r="AA18">
        <v>4</v>
      </c>
      <c r="AB18">
        <v>6</v>
      </c>
      <c r="AC18">
        <v>1</v>
      </c>
      <c r="AD18">
        <v>0</v>
      </c>
      <c r="AE18">
        <v>2</v>
      </c>
      <c r="AF18">
        <v>5</v>
      </c>
      <c r="AG18">
        <v>12</v>
      </c>
      <c r="AH18">
        <v>6.5</v>
      </c>
      <c r="AI18">
        <v>-12</v>
      </c>
    </row>
    <row r="19" spans="1:35" ht="21" x14ac:dyDescent="0.3">
      <c r="A19" t="s">
        <v>560</v>
      </c>
      <c r="B19" s="11">
        <v>18</v>
      </c>
      <c r="C19">
        <v>961</v>
      </c>
      <c r="D19">
        <v>18</v>
      </c>
      <c r="E19" s="4">
        <v>44521</v>
      </c>
      <c r="F19" t="s">
        <v>62</v>
      </c>
      <c r="G19" t="s">
        <v>37</v>
      </c>
      <c r="H19" t="s">
        <v>89</v>
      </c>
      <c r="I19" t="s">
        <v>207</v>
      </c>
      <c r="J19" t="s">
        <v>41</v>
      </c>
      <c r="K19" s="9">
        <v>1.4506944444444445</v>
      </c>
      <c r="L19">
        <v>10</v>
      </c>
      <c r="M19">
        <v>21</v>
      </c>
      <c r="N19">
        <v>0.47599999999999998</v>
      </c>
      <c r="O19">
        <v>1</v>
      </c>
      <c r="P19">
        <v>6</v>
      </c>
      <c r="Q19">
        <v>0.16700000000000001</v>
      </c>
      <c r="R19">
        <v>9</v>
      </c>
      <c r="S19">
        <v>15</v>
      </c>
      <c r="T19">
        <v>0.6</v>
      </c>
      <c r="U19">
        <v>0.5</v>
      </c>
      <c r="V19">
        <v>5</v>
      </c>
      <c r="W19">
        <v>8</v>
      </c>
      <c r="X19">
        <v>0.625</v>
      </c>
      <c r="Y19">
        <v>1</v>
      </c>
      <c r="Z19">
        <v>8</v>
      </c>
      <c r="AA19">
        <v>9</v>
      </c>
      <c r="AB19">
        <v>10</v>
      </c>
      <c r="AC19">
        <v>2</v>
      </c>
      <c r="AD19">
        <v>0</v>
      </c>
      <c r="AE19">
        <v>3</v>
      </c>
      <c r="AF19">
        <v>4</v>
      </c>
      <c r="AG19">
        <v>26</v>
      </c>
      <c r="AH19">
        <v>21.6</v>
      </c>
      <c r="AI19">
        <v>8</v>
      </c>
    </row>
    <row r="20" spans="1:35" ht="21" x14ac:dyDescent="0.3">
      <c r="A20" t="s">
        <v>560</v>
      </c>
      <c r="B20" s="11">
        <v>19</v>
      </c>
      <c r="C20">
        <v>962</v>
      </c>
      <c r="D20">
        <v>19</v>
      </c>
      <c r="E20" s="4">
        <v>44523</v>
      </c>
      <c r="F20" t="s">
        <v>62</v>
      </c>
      <c r="G20" t="s">
        <v>37</v>
      </c>
      <c r="H20" t="s">
        <v>110</v>
      </c>
      <c r="I20" t="s">
        <v>208</v>
      </c>
      <c r="J20" t="s">
        <v>41</v>
      </c>
      <c r="K20" s="9">
        <v>1.5479166666666666</v>
      </c>
      <c r="L20">
        <v>10</v>
      </c>
      <c r="M20">
        <v>18</v>
      </c>
      <c r="N20">
        <v>0.55600000000000005</v>
      </c>
      <c r="O20">
        <v>3</v>
      </c>
      <c r="P20">
        <v>6</v>
      </c>
      <c r="Q20">
        <v>0.5</v>
      </c>
      <c r="R20">
        <v>7</v>
      </c>
      <c r="S20">
        <v>12</v>
      </c>
      <c r="T20">
        <v>0.58299999999999996</v>
      </c>
      <c r="U20">
        <v>0.63900000000000001</v>
      </c>
      <c r="V20">
        <v>8</v>
      </c>
      <c r="W20">
        <v>9</v>
      </c>
      <c r="X20">
        <v>0.88900000000000001</v>
      </c>
      <c r="Y20">
        <v>1</v>
      </c>
      <c r="Z20">
        <v>12</v>
      </c>
      <c r="AA20">
        <v>13</v>
      </c>
      <c r="AB20">
        <v>10</v>
      </c>
      <c r="AC20">
        <v>2</v>
      </c>
      <c r="AD20">
        <v>0</v>
      </c>
      <c r="AE20">
        <v>6</v>
      </c>
      <c r="AF20">
        <v>2</v>
      </c>
      <c r="AG20">
        <v>31</v>
      </c>
      <c r="AH20">
        <v>28.5</v>
      </c>
      <c r="AI20">
        <v>0</v>
      </c>
    </row>
    <row r="21" spans="1:35" ht="21" x14ac:dyDescent="0.3">
      <c r="A21" t="s">
        <v>560</v>
      </c>
      <c r="B21" s="11">
        <v>20</v>
      </c>
      <c r="C21">
        <v>963</v>
      </c>
      <c r="D21">
        <v>20</v>
      </c>
      <c r="E21" s="4">
        <v>44524</v>
      </c>
      <c r="F21" t="s">
        <v>62</v>
      </c>
      <c r="G21" t="s">
        <v>37</v>
      </c>
      <c r="H21" t="s">
        <v>108</v>
      </c>
      <c r="I21" t="s">
        <v>209</v>
      </c>
      <c r="J21" t="s">
        <v>41</v>
      </c>
      <c r="K21" s="9">
        <v>1.6465277777777778</v>
      </c>
      <c r="L21">
        <v>5</v>
      </c>
      <c r="M21">
        <v>15</v>
      </c>
      <c r="N21">
        <v>0.33300000000000002</v>
      </c>
      <c r="O21">
        <v>1</v>
      </c>
      <c r="P21">
        <v>3</v>
      </c>
      <c r="Q21">
        <v>0.33300000000000002</v>
      </c>
      <c r="R21">
        <v>4</v>
      </c>
      <c r="S21">
        <v>12</v>
      </c>
      <c r="T21">
        <v>0.33300000000000002</v>
      </c>
      <c r="U21">
        <v>0.36699999999999999</v>
      </c>
      <c r="V21">
        <v>9</v>
      </c>
      <c r="W21">
        <v>11</v>
      </c>
      <c r="X21">
        <v>0.81799999999999995</v>
      </c>
      <c r="Y21">
        <v>1</v>
      </c>
      <c r="Z21">
        <v>6</v>
      </c>
      <c r="AA21">
        <v>7</v>
      </c>
      <c r="AB21">
        <v>5</v>
      </c>
      <c r="AC21">
        <v>0</v>
      </c>
      <c r="AD21">
        <v>1</v>
      </c>
      <c r="AE21">
        <v>4</v>
      </c>
      <c r="AF21">
        <v>3</v>
      </c>
      <c r="AG21">
        <v>20</v>
      </c>
      <c r="AH21">
        <v>12.2</v>
      </c>
      <c r="AI21">
        <v>14</v>
      </c>
    </row>
    <row r="22" spans="1:35" ht="21" x14ac:dyDescent="0.3">
      <c r="A22" t="s">
        <v>560</v>
      </c>
      <c r="B22" s="11">
        <v>21</v>
      </c>
      <c r="C22">
        <v>964</v>
      </c>
      <c r="D22">
        <v>21</v>
      </c>
      <c r="E22" s="4">
        <v>44526</v>
      </c>
      <c r="F22" t="s">
        <v>62</v>
      </c>
      <c r="H22" t="s">
        <v>66</v>
      </c>
      <c r="I22" t="s">
        <v>211</v>
      </c>
      <c r="J22" t="s">
        <v>41</v>
      </c>
      <c r="K22" s="9">
        <v>2.1319444444444446</v>
      </c>
      <c r="L22">
        <v>10</v>
      </c>
      <c r="M22">
        <v>18</v>
      </c>
      <c r="N22">
        <v>0.55600000000000005</v>
      </c>
      <c r="O22">
        <v>2</v>
      </c>
      <c r="P22">
        <v>4</v>
      </c>
      <c r="Q22">
        <v>0.5</v>
      </c>
      <c r="R22">
        <v>8</v>
      </c>
      <c r="S22">
        <v>14</v>
      </c>
      <c r="T22">
        <v>0.57099999999999995</v>
      </c>
      <c r="U22">
        <v>0.61099999999999999</v>
      </c>
      <c r="V22">
        <v>7</v>
      </c>
      <c r="W22">
        <v>9</v>
      </c>
      <c r="X22">
        <v>0.77800000000000002</v>
      </c>
      <c r="Y22">
        <v>4</v>
      </c>
      <c r="Z22">
        <v>6</v>
      </c>
      <c r="AA22">
        <v>10</v>
      </c>
      <c r="AB22">
        <v>11</v>
      </c>
      <c r="AC22">
        <v>2</v>
      </c>
      <c r="AD22">
        <v>0</v>
      </c>
      <c r="AE22">
        <v>3</v>
      </c>
      <c r="AF22">
        <v>3</v>
      </c>
      <c r="AG22">
        <v>29</v>
      </c>
      <c r="AH22">
        <v>29.7</v>
      </c>
      <c r="AI22">
        <v>-4</v>
      </c>
    </row>
    <row r="23" spans="1:35" ht="21" x14ac:dyDescent="0.3">
      <c r="A23" t="s">
        <v>560</v>
      </c>
      <c r="B23" s="11">
        <v>22</v>
      </c>
      <c r="C23">
        <v>965</v>
      </c>
      <c r="D23">
        <v>22</v>
      </c>
      <c r="E23" s="4">
        <v>44528</v>
      </c>
      <c r="F23" t="s">
        <v>62</v>
      </c>
      <c r="H23" t="s">
        <v>89</v>
      </c>
      <c r="I23" t="s">
        <v>136</v>
      </c>
      <c r="J23" t="s">
        <v>41</v>
      </c>
      <c r="K23" s="9">
        <v>1.5243055555555556</v>
      </c>
      <c r="L23">
        <v>10</v>
      </c>
      <c r="M23">
        <v>16</v>
      </c>
      <c r="N23">
        <v>0.625</v>
      </c>
      <c r="O23">
        <v>1</v>
      </c>
      <c r="P23">
        <v>3</v>
      </c>
      <c r="Q23">
        <v>0.33300000000000002</v>
      </c>
      <c r="R23">
        <v>9</v>
      </c>
      <c r="S23">
        <v>13</v>
      </c>
      <c r="T23">
        <v>0.69199999999999995</v>
      </c>
      <c r="U23">
        <v>0.65600000000000003</v>
      </c>
      <c r="V23">
        <v>4</v>
      </c>
      <c r="W23">
        <v>8</v>
      </c>
      <c r="X23">
        <v>0.5</v>
      </c>
      <c r="Y23">
        <v>2</v>
      </c>
      <c r="Z23">
        <v>4</v>
      </c>
      <c r="AA23">
        <v>6</v>
      </c>
      <c r="AB23">
        <v>9</v>
      </c>
      <c r="AC23">
        <v>1</v>
      </c>
      <c r="AD23">
        <v>0</v>
      </c>
      <c r="AE23">
        <v>3</v>
      </c>
      <c r="AF23">
        <v>2</v>
      </c>
      <c r="AG23">
        <v>25</v>
      </c>
      <c r="AH23">
        <v>22.3</v>
      </c>
      <c r="AI23">
        <v>4</v>
      </c>
    </row>
    <row r="24" spans="1:35" ht="21" x14ac:dyDescent="0.3">
      <c r="A24" t="s">
        <v>560</v>
      </c>
      <c r="B24" s="11">
        <v>23</v>
      </c>
      <c r="C24">
        <v>966</v>
      </c>
      <c r="D24">
        <v>23</v>
      </c>
      <c r="E24" s="4">
        <v>44530</v>
      </c>
      <c r="F24" t="s">
        <v>62</v>
      </c>
      <c r="G24" t="s">
        <v>37</v>
      </c>
      <c r="H24" t="s">
        <v>66</v>
      </c>
      <c r="I24" t="s">
        <v>212</v>
      </c>
      <c r="J24" t="s">
        <v>41</v>
      </c>
      <c r="K24" s="9">
        <v>1.4458333333333333</v>
      </c>
      <c r="L24">
        <v>9</v>
      </c>
      <c r="M24">
        <v>21</v>
      </c>
      <c r="N24">
        <v>0.42899999999999999</v>
      </c>
      <c r="O24">
        <v>1</v>
      </c>
      <c r="P24">
        <v>5</v>
      </c>
      <c r="Q24">
        <v>0.2</v>
      </c>
      <c r="R24">
        <v>8</v>
      </c>
      <c r="S24">
        <v>16</v>
      </c>
      <c r="T24">
        <v>0.5</v>
      </c>
      <c r="U24">
        <v>0.45200000000000001</v>
      </c>
      <c r="V24">
        <v>4</v>
      </c>
      <c r="W24">
        <v>7</v>
      </c>
      <c r="X24">
        <v>0.57099999999999995</v>
      </c>
      <c r="Y24">
        <v>0</v>
      </c>
      <c r="Z24">
        <v>5</v>
      </c>
      <c r="AA24">
        <v>5</v>
      </c>
      <c r="AB24">
        <v>6</v>
      </c>
      <c r="AC24">
        <v>1</v>
      </c>
      <c r="AD24">
        <v>0</v>
      </c>
      <c r="AE24">
        <v>4</v>
      </c>
      <c r="AF24">
        <v>2</v>
      </c>
      <c r="AG24">
        <v>23</v>
      </c>
      <c r="AH24">
        <v>12.6</v>
      </c>
      <c r="AI24">
        <v>12</v>
      </c>
    </row>
    <row r="25" spans="1:35" ht="21" x14ac:dyDescent="0.3">
      <c r="A25" t="s">
        <v>560</v>
      </c>
      <c r="B25" s="11">
        <v>24</v>
      </c>
      <c r="C25">
        <v>967</v>
      </c>
      <c r="D25">
        <v>24</v>
      </c>
      <c r="E25" s="4">
        <v>44533</v>
      </c>
      <c r="F25" t="s">
        <v>62</v>
      </c>
      <c r="H25" t="s">
        <v>64</v>
      </c>
      <c r="I25" t="s">
        <v>213</v>
      </c>
      <c r="J25" t="s">
        <v>41</v>
      </c>
      <c r="K25" s="9">
        <v>1.5104166666666667</v>
      </c>
      <c r="L25">
        <v>4</v>
      </c>
      <c r="M25">
        <v>8</v>
      </c>
      <c r="N25">
        <v>0.5</v>
      </c>
      <c r="O25">
        <v>2</v>
      </c>
      <c r="P25">
        <v>2</v>
      </c>
      <c r="Q25">
        <v>1</v>
      </c>
      <c r="R25">
        <v>2</v>
      </c>
      <c r="S25">
        <v>6</v>
      </c>
      <c r="T25">
        <v>0.33300000000000002</v>
      </c>
      <c r="U25">
        <v>0.625</v>
      </c>
      <c r="V25">
        <v>0</v>
      </c>
      <c r="W25">
        <v>0</v>
      </c>
      <c r="Y25">
        <v>1</v>
      </c>
      <c r="Z25">
        <v>1</v>
      </c>
      <c r="AA25">
        <v>2</v>
      </c>
      <c r="AB25">
        <v>9</v>
      </c>
      <c r="AC25">
        <v>1</v>
      </c>
      <c r="AD25">
        <v>0</v>
      </c>
      <c r="AE25">
        <v>2</v>
      </c>
      <c r="AF25">
        <v>4</v>
      </c>
      <c r="AG25">
        <v>10</v>
      </c>
      <c r="AH25">
        <v>10.7</v>
      </c>
      <c r="AI25">
        <v>-6</v>
      </c>
    </row>
    <row r="26" spans="1:35" ht="21" x14ac:dyDescent="0.3">
      <c r="A26" t="s">
        <v>560</v>
      </c>
      <c r="B26" s="11">
        <v>25</v>
      </c>
      <c r="C26">
        <v>968</v>
      </c>
      <c r="D26">
        <v>25</v>
      </c>
      <c r="E26" s="4">
        <v>44537</v>
      </c>
      <c r="F26" t="s">
        <v>62</v>
      </c>
      <c r="H26" t="s">
        <v>55</v>
      </c>
      <c r="I26" t="s">
        <v>214</v>
      </c>
      <c r="J26" t="s">
        <v>41</v>
      </c>
      <c r="K26" s="9">
        <v>1.4875</v>
      </c>
      <c r="L26">
        <v>9</v>
      </c>
      <c r="M26">
        <v>16</v>
      </c>
      <c r="N26">
        <v>0.56299999999999994</v>
      </c>
      <c r="O26">
        <v>1</v>
      </c>
      <c r="P26">
        <v>4</v>
      </c>
      <c r="Q26">
        <v>0.25</v>
      </c>
      <c r="R26">
        <v>8</v>
      </c>
      <c r="S26">
        <v>12</v>
      </c>
      <c r="T26">
        <v>0.66700000000000004</v>
      </c>
      <c r="U26">
        <v>0.59399999999999997</v>
      </c>
      <c r="V26">
        <v>5</v>
      </c>
      <c r="W26">
        <v>6</v>
      </c>
      <c r="X26">
        <v>0.83299999999999996</v>
      </c>
      <c r="Y26">
        <v>1</v>
      </c>
      <c r="Z26">
        <v>2</v>
      </c>
      <c r="AA26">
        <v>3</v>
      </c>
      <c r="AB26">
        <v>11</v>
      </c>
      <c r="AC26">
        <v>1</v>
      </c>
      <c r="AD26">
        <v>0</v>
      </c>
      <c r="AE26">
        <v>4</v>
      </c>
      <c r="AF26">
        <v>2</v>
      </c>
      <c r="AG26">
        <v>24</v>
      </c>
      <c r="AH26">
        <v>21.2</v>
      </c>
      <c r="AI26">
        <v>11</v>
      </c>
    </row>
    <row r="27" spans="1:35" ht="21" x14ac:dyDescent="0.3">
      <c r="A27" t="s">
        <v>560</v>
      </c>
      <c r="B27" s="11">
        <v>26</v>
      </c>
      <c r="C27">
        <v>969</v>
      </c>
      <c r="D27">
        <v>26</v>
      </c>
      <c r="E27" s="4">
        <v>44539</v>
      </c>
      <c r="F27" t="s">
        <v>62</v>
      </c>
      <c r="G27" t="s">
        <v>37</v>
      </c>
      <c r="H27" t="s">
        <v>42</v>
      </c>
      <c r="I27" t="s">
        <v>215</v>
      </c>
      <c r="J27" t="s">
        <v>41</v>
      </c>
      <c r="K27" s="9">
        <v>1.3888888888888888</v>
      </c>
      <c r="L27">
        <v>3</v>
      </c>
      <c r="M27">
        <v>9</v>
      </c>
      <c r="N27">
        <v>0.33300000000000002</v>
      </c>
      <c r="O27">
        <v>2</v>
      </c>
      <c r="P27">
        <v>3</v>
      </c>
      <c r="Q27">
        <v>0.66700000000000004</v>
      </c>
      <c r="R27">
        <v>1</v>
      </c>
      <c r="S27">
        <v>6</v>
      </c>
      <c r="T27">
        <v>0.16700000000000001</v>
      </c>
      <c r="U27">
        <v>0.44400000000000001</v>
      </c>
      <c r="V27">
        <v>1</v>
      </c>
      <c r="W27">
        <v>4</v>
      </c>
      <c r="X27">
        <v>0.25</v>
      </c>
      <c r="Y27">
        <v>0</v>
      </c>
      <c r="Z27">
        <v>6</v>
      </c>
      <c r="AA27">
        <v>6</v>
      </c>
      <c r="AB27">
        <v>7</v>
      </c>
      <c r="AC27">
        <v>0</v>
      </c>
      <c r="AD27">
        <v>1</v>
      </c>
      <c r="AE27">
        <v>6</v>
      </c>
      <c r="AF27">
        <v>4</v>
      </c>
      <c r="AG27">
        <v>9</v>
      </c>
      <c r="AH27">
        <v>2.5</v>
      </c>
      <c r="AI27">
        <v>-16</v>
      </c>
    </row>
    <row r="28" spans="1:35" ht="21" x14ac:dyDescent="0.3">
      <c r="A28" t="s">
        <v>560</v>
      </c>
      <c r="B28" s="11">
        <v>27</v>
      </c>
      <c r="C28">
        <v>970</v>
      </c>
      <c r="D28">
        <v>27</v>
      </c>
      <c r="E28" s="4">
        <v>44540</v>
      </c>
      <c r="F28" t="s">
        <v>62</v>
      </c>
      <c r="G28" t="s">
        <v>37</v>
      </c>
      <c r="H28" t="s">
        <v>68</v>
      </c>
      <c r="I28" t="s">
        <v>216</v>
      </c>
      <c r="J28" t="s">
        <v>41</v>
      </c>
      <c r="K28" s="9">
        <v>1.3888888888888888</v>
      </c>
      <c r="L28">
        <v>4</v>
      </c>
      <c r="M28">
        <v>8</v>
      </c>
      <c r="N28">
        <v>0.5</v>
      </c>
      <c r="O28">
        <v>0</v>
      </c>
      <c r="P28">
        <v>1</v>
      </c>
      <c r="Q28">
        <v>0</v>
      </c>
      <c r="R28">
        <v>4</v>
      </c>
      <c r="S28">
        <v>7</v>
      </c>
      <c r="T28">
        <v>0.57099999999999995</v>
      </c>
      <c r="U28">
        <v>0.5</v>
      </c>
      <c r="V28">
        <v>0</v>
      </c>
      <c r="W28">
        <v>0</v>
      </c>
      <c r="Y28">
        <v>2</v>
      </c>
      <c r="Z28">
        <v>7</v>
      </c>
      <c r="AA28">
        <v>9</v>
      </c>
      <c r="AB28">
        <v>7</v>
      </c>
      <c r="AC28">
        <v>0</v>
      </c>
      <c r="AD28">
        <v>1</v>
      </c>
      <c r="AE28">
        <v>5</v>
      </c>
      <c r="AF28">
        <v>1</v>
      </c>
      <c r="AG28">
        <v>8</v>
      </c>
      <c r="AH28">
        <v>7.7</v>
      </c>
      <c r="AI28">
        <v>18</v>
      </c>
    </row>
    <row r="29" spans="1:35" ht="21" x14ac:dyDescent="0.3">
      <c r="A29" t="s">
        <v>560</v>
      </c>
      <c r="B29" s="11">
        <v>28</v>
      </c>
      <c r="C29">
        <v>971</v>
      </c>
      <c r="D29">
        <v>28</v>
      </c>
      <c r="E29" s="4">
        <v>44542</v>
      </c>
      <c r="F29" t="s">
        <v>62</v>
      </c>
      <c r="H29" t="s">
        <v>104</v>
      </c>
      <c r="I29" t="s">
        <v>217</v>
      </c>
      <c r="J29" t="s">
        <v>41</v>
      </c>
      <c r="K29" s="9">
        <v>1.4777777777777779</v>
      </c>
      <c r="L29">
        <v>9</v>
      </c>
      <c r="M29">
        <v>18</v>
      </c>
      <c r="N29">
        <v>0.5</v>
      </c>
      <c r="O29">
        <v>0</v>
      </c>
      <c r="P29">
        <v>0</v>
      </c>
      <c r="R29">
        <v>9</v>
      </c>
      <c r="S29">
        <v>18</v>
      </c>
      <c r="T29">
        <v>0.5</v>
      </c>
      <c r="U29">
        <v>0.5</v>
      </c>
      <c r="V29">
        <v>1</v>
      </c>
      <c r="W29">
        <v>2</v>
      </c>
      <c r="X29">
        <v>0.5</v>
      </c>
      <c r="Y29">
        <v>2</v>
      </c>
      <c r="Z29">
        <v>5</v>
      </c>
      <c r="AA29">
        <v>7</v>
      </c>
      <c r="AB29">
        <v>5</v>
      </c>
      <c r="AC29">
        <v>2</v>
      </c>
      <c r="AD29">
        <v>0</v>
      </c>
      <c r="AE29">
        <v>5</v>
      </c>
      <c r="AF29">
        <v>2</v>
      </c>
      <c r="AG29">
        <v>19</v>
      </c>
      <c r="AH29">
        <v>12.2</v>
      </c>
      <c r="AI29">
        <v>3</v>
      </c>
    </row>
    <row r="30" spans="1:35" ht="21" x14ac:dyDescent="0.3">
      <c r="A30" t="s">
        <v>560</v>
      </c>
      <c r="B30" s="11">
        <v>29</v>
      </c>
      <c r="C30">
        <v>972</v>
      </c>
      <c r="D30">
        <v>29</v>
      </c>
      <c r="E30" s="4">
        <v>44545</v>
      </c>
      <c r="F30" t="s">
        <v>62</v>
      </c>
      <c r="G30" t="s">
        <v>37</v>
      </c>
      <c r="H30" t="s">
        <v>49</v>
      </c>
      <c r="I30" t="s">
        <v>218</v>
      </c>
      <c r="J30" t="s">
        <v>41</v>
      </c>
      <c r="K30" s="9">
        <v>1.7534722222222223</v>
      </c>
      <c r="L30">
        <v>8</v>
      </c>
      <c r="M30">
        <v>18</v>
      </c>
      <c r="N30">
        <v>0.44400000000000001</v>
      </c>
      <c r="O30">
        <v>1</v>
      </c>
      <c r="P30">
        <v>4</v>
      </c>
      <c r="Q30">
        <v>0.25</v>
      </c>
      <c r="R30">
        <v>7</v>
      </c>
      <c r="S30">
        <v>14</v>
      </c>
      <c r="T30">
        <v>0.5</v>
      </c>
      <c r="U30">
        <v>0.47199999999999998</v>
      </c>
      <c r="V30">
        <v>6</v>
      </c>
      <c r="W30">
        <v>8</v>
      </c>
      <c r="X30">
        <v>0.75</v>
      </c>
      <c r="Y30">
        <v>1</v>
      </c>
      <c r="Z30">
        <v>9</v>
      </c>
      <c r="AA30">
        <v>10</v>
      </c>
      <c r="AB30">
        <v>9</v>
      </c>
      <c r="AC30">
        <v>0</v>
      </c>
      <c r="AD30">
        <v>0</v>
      </c>
      <c r="AE30">
        <v>4</v>
      </c>
      <c r="AF30">
        <v>2</v>
      </c>
      <c r="AG30">
        <v>23</v>
      </c>
      <c r="AH30">
        <v>17.7</v>
      </c>
      <c r="AI30">
        <v>8</v>
      </c>
    </row>
    <row r="31" spans="1:35" ht="21" x14ac:dyDescent="0.3">
      <c r="A31" t="s">
        <v>560</v>
      </c>
      <c r="B31" s="11">
        <v>30</v>
      </c>
      <c r="C31">
        <v>973</v>
      </c>
      <c r="D31">
        <v>30</v>
      </c>
      <c r="E31" s="4">
        <v>44547</v>
      </c>
      <c r="F31" t="s">
        <v>62</v>
      </c>
      <c r="G31" t="s">
        <v>37</v>
      </c>
      <c r="H31" t="s">
        <v>80</v>
      </c>
      <c r="I31" t="s">
        <v>219</v>
      </c>
      <c r="J31" t="s">
        <v>41</v>
      </c>
      <c r="K31" s="9">
        <v>1.1888888888888889</v>
      </c>
      <c r="L31">
        <v>4</v>
      </c>
      <c r="M31">
        <v>7</v>
      </c>
      <c r="N31">
        <v>0.57099999999999995</v>
      </c>
      <c r="O31">
        <v>0</v>
      </c>
      <c r="P31">
        <v>1</v>
      </c>
      <c r="Q31">
        <v>0</v>
      </c>
      <c r="R31">
        <v>4</v>
      </c>
      <c r="S31">
        <v>6</v>
      </c>
      <c r="T31">
        <v>0.66700000000000004</v>
      </c>
      <c r="U31">
        <v>0.57099999999999995</v>
      </c>
      <c r="V31">
        <v>6</v>
      </c>
      <c r="W31">
        <v>11</v>
      </c>
      <c r="X31">
        <v>0.54500000000000004</v>
      </c>
      <c r="Y31">
        <v>0</v>
      </c>
      <c r="Z31">
        <v>4</v>
      </c>
      <c r="AA31">
        <v>4</v>
      </c>
      <c r="AB31">
        <v>3</v>
      </c>
      <c r="AC31">
        <v>0</v>
      </c>
      <c r="AD31">
        <v>1</v>
      </c>
      <c r="AE31">
        <v>1</v>
      </c>
      <c r="AF31">
        <v>3</v>
      </c>
      <c r="AG31">
        <v>14</v>
      </c>
      <c r="AH31">
        <v>10.5</v>
      </c>
      <c r="AI31">
        <v>-15</v>
      </c>
    </row>
    <row r="32" spans="1:35" ht="21" x14ac:dyDescent="0.3">
      <c r="A32" t="s">
        <v>560</v>
      </c>
      <c r="B32" s="11">
        <v>31</v>
      </c>
      <c r="C32">
        <v>974</v>
      </c>
      <c r="D32">
        <v>31</v>
      </c>
      <c r="E32" s="4">
        <v>44549</v>
      </c>
      <c r="F32" t="s">
        <v>62</v>
      </c>
      <c r="G32" t="s">
        <v>37</v>
      </c>
      <c r="H32" t="s">
        <v>82</v>
      </c>
      <c r="I32" t="s">
        <v>220</v>
      </c>
      <c r="J32" t="s">
        <v>41</v>
      </c>
      <c r="K32" s="9">
        <v>1.5888888888888888</v>
      </c>
      <c r="L32">
        <v>9</v>
      </c>
      <c r="M32">
        <v>19</v>
      </c>
      <c r="N32">
        <v>0.47399999999999998</v>
      </c>
      <c r="O32">
        <v>0</v>
      </c>
      <c r="P32">
        <v>2</v>
      </c>
      <c r="Q32">
        <v>0</v>
      </c>
      <c r="R32">
        <v>9</v>
      </c>
      <c r="S32">
        <v>17</v>
      </c>
      <c r="T32">
        <v>0.52900000000000003</v>
      </c>
      <c r="U32">
        <v>0.47399999999999998</v>
      </c>
      <c r="V32">
        <v>2</v>
      </c>
      <c r="W32">
        <v>6</v>
      </c>
      <c r="X32">
        <v>0.33300000000000002</v>
      </c>
      <c r="Y32">
        <v>2</v>
      </c>
      <c r="Z32">
        <v>7</v>
      </c>
      <c r="AA32">
        <v>9</v>
      </c>
      <c r="AB32">
        <v>8</v>
      </c>
      <c r="AC32">
        <v>1</v>
      </c>
      <c r="AD32">
        <v>2</v>
      </c>
      <c r="AE32">
        <v>6</v>
      </c>
      <c r="AF32">
        <v>4</v>
      </c>
      <c r="AG32">
        <v>20</v>
      </c>
      <c r="AH32">
        <v>12.6</v>
      </c>
      <c r="AI32">
        <v>-2</v>
      </c>
    </row>
    <row r="33" spans="1:35" ht="21" x14ac:dyDescent="0.3">
      <c r="A33" t="s">
        <v>560</v>
      </c>
      <c r="B33" s="11">
        <v>32</v>
      </c>
      <c r="C33">
        <v>975</v>
      </c>
      <c r="D33">
        <v>32</v>
      </c>
      <c r="E33" s="4">
        <v>44551</v>
      </c>
      <c r="F33" t="s">
        <v>62</v>
      </c>
      <c r="H33" t="s">
        <v>99</v>
      </c>
      <c r="I33" t="s">
        <v>221</v>
      </c>
      <c r="J33" t="s">
        <v>41</v>
      </c>
      <c r="K33" s="9">
        <v>1.5222222222222221</v>
      </c>
      <c r="L33">
        <v>10</v>
      </c>
      <c r="M33">
        <v>20</v>
      </c>
      <c r="N33">
        <v>0.5</v>
      </c>
      <c r="O33">
        <v>0</v>
      </c>
      <c r="P33">
        <v>2</v>
      </c>
      <c r="Q33">
        <v>0</v>
      </c>
      <c r="R33">
        <v>10</v>
      </c>
      <c r="S33">
        <v>18</v>
      </c>
      <c r="T33">
        <v>0.55600000000000005</v>
      </c>
      <c r="U33">
        <v>0.5</v>
      </c>
      <c r="V33">
        <v>2</v>
      </c>
      <c r="W33">
        <v>4</v>
      </c>
      <c r="X33">
        <v>0.5</v>
      </c>
      <c r="Y33">
        <v>1</v>
      </c>
      <c r="Z33">
        <v>9</v>
      </c>
      <c r="AA33">
        <v>10</v>
      </c>
      <c r="AB33">
        <v>5</v>
      </c>
      <c r="AC33">
        <v>3</v>
      </c>
      <c r="AD33">
        <v>0</v>
      </c>
      <c r="AE33">
        <v>7</v>
      </c>
      <c r="AF33">
        <v>3</v>
      </c>
      <c r="AG33">
        <v>22</v>
      </c>
      <c r="AH33">
        <v>12.9</v>
      </c>
      <c r="AI33">
        <v>-6</v>
      </c>
    </row>
    <row r="34" spans="1:35" ht="21" x14ac:dyDescent="0.3">
      <c r="A34" t="s">
        <v>560</v>
      </c>
      <c r="B34" s="11">
        <v>33</v>
      </c>
      <c r="C34">
        <v>976</v>
      </c>
      <c r="D34">
        <v>33</v>
      </c>
      <c r="E34" s="4">
        <v>44553</v>
      </c>
      <c r="F34" t="s">
        <v>62</v>
      </c>
      <c r="H34" t="s">
        <v>102</v>
      </c>
      <c r="I34" t="s">
        <v>222</v>
      </c>
      <c r="J34" t="s">
        <v>41</v>
      </c>
      <c r="K34" s="9">
        <v>1.4631944444444445</v>
      </c>
      <c r="L34">
        <v>12</v>
      </c>
      <c r="M34">
        <v>20</v>
      </c>
      <c r="N34">
        <v>0.6</v>
      </c>
      <c r="O34">
        <v>1</v>
      </c>
      <c r="P34">
        <v>2</v>
      </c>
      <c r="Q34">
        <v>0.5</v>
      </c>
      <c r="R34">
        <v>11</v>
      </c>
      <c r="S34">
        <v>18</v>
      </c>
      <c r="T34">
        <v>0.61099999999999999</v>
      </c>
      <c r="U34">
        <v>0.625</v>
      </c>
      <c r="V34">
        <v>5</v>
      </c>
      <c r="W34">
        <v>9</v>
      </c>
      <c r="X34">
        <v>0.55600000000000005</v>
      </c>
      <c r="Y34">
        <v>0</v>
      </c>
      <c r="Z34">
        <v>7</v>
      </c>
      <c r="AA34">
        <v>7</v>
      </c>
      <c r="AB34">
        <v>4</v>
      </c>
      <c r="AC34">
        <v>1</v>
      </c>
      <c r="AD34">
        <v>0</v>
      </c>
      <c r="AE34">
        <v>5</v>
      </c>
      <c r="AF34">
        <v>3</v>
      </c>
      <c r="AG34">
        <v>30</v>
      </c>
      <c r="AH34">
        <v>18.899999999999999</v>
      </c>
      <c r="AI34">
        <v>-14</v>
      </c>
    </row>
    <row r="35" spans="1:35" ht="21" x14ac:dyDescent="0.3">
      <c r="A35" t="s">
        <v>560</v>
      </c>
      <c r="B35" s="11">
        <v>34</v>
      </c>
      <c r="C35">
        <v>977</v>
      </c>
      <c r="D35">
        <v>34</v>
      </c>
      <c r="E35" s="4">
        <v>44555</v>
      </c>
      <c r="F35" t="s">
        <v>62</v>
      </c>
      <c r="H35" t="s">
        <v>85</v>
      </c>
      <c r="I35" t="s">
        <v>223</v>
      </c>
      <c r="J35" t="s">
        <v>41</v>
      </c>
      <c r="K35" s="9">
        <v>1.5368055555555555</v>
      </c>
      <c r="L35">
        <v>4</v>
      </c>
      <c r="M35">
        <v>20</v>
      </c>
      <c r="N35">
        <v>0.2</v>
      </c>
      <c r="O35">
        <v>0</v>
      </c>
      <c r="P35">
        <v>3</v>
      </c>
      <c r="Q35">
        <v>0</v>
      </c>
      <c r="R35">
        <v>4</v>
      </c>
      <c r="S35">
        <v>17</v>
      </c>
      <c r="T35">
        <v>0.23499999999999999</v>
      </c>
      <c r="U35">
        <v>0.2</v>
      </c>
      <c r="V35">
        <v>5</v>
      </c>
      <c r="W35">
        <v>6</v>
      </c>
      <c r="X35">
        <v>0.83299999999999996</v>
      </c>
      <c r="Y35">
        <v>5</v>
      </c>
      <c r="Z35">
        <v>7</v>
      </c>
      <c r="AA35">
        <v>12</v>
      </c>
      <c r="AB35">
        <v>11</v>
      </c>
      <c r="AC35">
        <v>1</v>
      </c>
      <c r="AD35">
        <v>0</v>
      </c>
      <c r="AE35">
        <v>3</v>
      </c>
      <c r="AF35">
        <v>5</v>
      </c>
      <c r="AG35">
        <v>13</v>
      </c>
      <c r="AH35">
        <v>9.5</v>
      </c>
      <c r="AI35">
        <v>-23</v>
      </c>
    </row>
    <row r="36" spans="1:35" ht="21" x14ac:dyDescent="0.3">
      <c r="A36" t="s">
        <v>560</v>
      </c>
      <c r="B36" s="11">
        <v>35</v>
      </c>
      <c r="C36">
        <v>978</v>
      </c>
      <c r="D36">
        <v>35</v>
      </c>
      <c r="E36" s="4">
        <v>44558</v>
      </c>
      <c r="F36" t="s">
        <v>62</v>
      </c>
      <c r="G36" t="s">
        <v>37</v>
      </c>
      <c r="H36" t="s">
        <v>76</v>
      </c>
      <c r="I36" t="s">
        <v>224</v>
      </c>
      <c r="J36" t="s">
        <v>41</v>
      </c>
      <c r="K36" s="9">
        <v>1.4479166666666667</v>
      </c>
      <c r="L36">
        <v>10</v>
      </c>
      <c r="M36">
        <v>17</v>
      </c>
      <c r="N36">
        <v>0.58799999999999997</v>
      </c>
      <c r="O36">
        <v>2</v>
      </c>
      <c r="P36">
        <v>2</v>
      </c>
      <c r="Q36">
        <v>1</v>
      </c>
      <c r="R36">
        <v>8</v>
      </c>
      <c r="S36">
        <v>15</v>
      </c>
      <c r="T36">
        <v>0.53300000000000003</v>
      </c>
      <c r="U36">
        <v>0.64700000000000002</v>
      </c>
      <c r="V36">
        <v>2</v>
      </c>
      <c r="W36">
        <v>6</v>
      </c>
      <c r="X36">
        <v>0.33300000000000002</v>
      </c>
      <c r="Y36">
        <v>4</v>
      </c>
      <c r="Z36">
        <v>9</v>
      </c>
      <c r="AA36">
        <v>13</v>
      </c>
      <c r="AB36">
        <v>10</v>
      </c>
      <c r="AC36">
        <v>2</v>
      </c>
      <c r="AD36">
        <v>0</v>
      </c>
      <c r="AE36">
        <v>7</v>
      </c>
      <c r="AF36">
        <v>1</v>
      </c>
      <c r="AG36">
        <v>24</v>
      </c>
      <c r="AH36">
        <v>21.6</v>
      </c>
      <c r="AI36">
        <v>9</v>
      </c>
    </row>
    <row r="37" spans="1:35" ht="21" x14ac:dyDescent="0.3">
      <c r="A37" t="s">
        <v>560</v>
      </c>
      <c r="B37" s="11">
        <v>36</v>
      </c>
      <c r="C37">
        <v>979</v>
      </c>
      <c r="D37">
        <v>36</v>
      </c>
      <c r="E37" s="4">
        <v>44559</v>
      </c>
      <c r="F37" t="s">
        <v>62</v>
      </c>
      <c r="G37" t="s">
        <v>37</v>
      </c>
      <c r="H37" t="s">
        <v>42</v>
      </c>
      <c r="I37" t="s">
        <v>225</v>
      </c>
      <c r="J37" t="s">
        <v>41</v>
      </c>
      <c r="K37" s="9">
        <v>1.6479166666666667</v>
      </c>
      <c r="L37">
        <v>7</v>
      </c>
      <c r="M37">
        <v>16</v>
      </c>
      <c r="N37">
        <v>0.438</v>
      </c>
      <c r="O37">
        <v>2</v>
      </c>
      <c r="P37">
        <v>4</v>
      </c>
      <c r="Q37">
        <v>0.5</v>
      </c>
      <c r="R37">
        <v>5</v>
      </c>
      <c r="S37">
        <v>12</v>
      </c>
      <c r="T37">
        <v>0.41699999999999998</v>
      </c>
      <c r="U37">
        <v>0.5</v>
      </c>
      <c r="V37">
        <v>0</v>
      </c>
      <c r="W37">
        <v>0</v>
      </c>
      <c r="Y37">
        <v>2</v>
      </c>
      <c r="Z37">
        <v>8</v>
      </c>
      <c r="AA37">
        <v>10</v>
      </c>
      <c r="AB37">
        <v>12</v>
      </c>
      <c r="AC37">
        <v>0</v>
      </c>
      <c r="AD37">
        <v>0</v>
      </c>
      <c r="AE37">
        <v>5</v>
      </c>
      <c r="AF37">
        <v>5</v>
      </c>
      <c r="AG37">
        <v>16</v>
      </c>
      <c r="AH37">
        <v>12.8</v>
      </c>
      <c r="AI37">
        <v>1</v>
      </c>
    </row>
    <row r="38" spans="1:35" ht="21" x14ac:dyDescent="0.3">
      <c r="A38" t="s">
        <v>560</v>
      </c>
      <c r="B38" s="11">
        <v>37</v>
      </c>
      <c r="C38">
        <v>980</v>
      </c>
      <c r="D38">
        <v>37</v>
      </c>
      <c r="E38" s="4">
        <v>44561</v>
      </c>
      <c r="F38" t="s">
        <v>62</v>
      </c>
      <c r="H38" t="s">
        <v>96</v>
      </c>
      <c r="I38" t="s">
        <v>226</v>
      </c>
      <c r="J38" t="s">
        <v>41</v>
      </c>
      <c r="K38" s="9">
        <v>1.26875</v>
      </c>
      <c r="L38">
        <v>5</v>
      </c>
      <c r="M38">
        <v>10</v>
      </c>
      <c r="N38">
        <v>0.5</v>
      </c>
      <c r="O38">
        <v>0</v>
      </c>
      <c r="P38">
        <v>3</v>
      </c>
      <c r="Q38">
        <v>0</v>
      </c>
      <c r="R38">
        <v>5</v>
      </c>
      <c r="S38">
        <v>7</v>
      </c>
      <c r="T38">
        <v>0.71399999999999997</v>
      </c>
      <c r="U38">
        <v>0.5</v>
      </c>
      <c r="V38">
        <v>5</v>
      </c>
      <c r="W38">
        <v>6</v>
      </c>
      <c r="X38">
        <v>0.83299999999999996</v>
      </c>
      <c r="Y38">
        <v>0</v>
      </c>
      <c r="Z38">
        <v>13</v>
      </c>
      <c r="AA38">
        <v>13</v>
      </c>
      <c r="AB38">
        <v>12</v>
      </c>
      <c r="AC38">
        <v>2</v>
      </c>
      <c r="AD38">
        <v>0</v>
      </c>
      <c r="AE38">
        <v>4</v>
      </c>
      <c r="AF38">
        <v>2</v>
      </c>
      <c r="AG38">
        <v>15</v>
      </c>
      <c r="AH38">
        <v>19.100000000000001</v>
      </c>
      <c r="AI38">
        <v>29</v>
      </c>
    </row>
    <row r="39" spans="1:35" ht="21" x14ac:dyDescent="0.3">
      <c r="A39" t="s">
        <v>560</v>
      </c>
      <c r="B39" s="11">
        <v>38</v>
      </c>
      <c r="C39">
        <v>981</v>
      </c>
      <c r="D39">
        <v>38</v>
      </c>
      <c r="E39" s="4">
        <v>44563</v>
      </c>
      <c r="F39" t="s">
        <v>62</v>
      </c>
      <c r="H39" t="s">
        <v>80</v>
      </c>
      <c r="I39" t="s">
        <v>227</v>
      </c>
      <c r="J39" t="s">
        <v>41</v>
      </c>
      <c r="K39" s="9">
        <v>1.3916666666666666</v>
      </c>
      <c r="L39">
        <v>7</v>
      </c>
      <c r="M39">
        <v>16</v>
      </c>
      <c r="N39">
        <v>0.438</v>
      </c>
      <c r="O39">
        <v>0</v>
      </c>
      <c r="P39">
        <v>5</v>
      </c>
      <c r="Q39">
        <v>0</v>
      </c>
      <c r="R39">
        <v>7</v>
      </c>
      <c r="S39">
        <v>11</v>
      </c>
      <c r="T39">
        <v>0.63600000000000001</v>
      </c>
      <c r="U39">
        <v>0.438</v>
      </c>
      <c r="V39">
        <v>6</v>
      </c>
      <c r="W39">
        <v>8</v>
      </c>
      <c r="X39">
        <v>0.75</v>
      </c>
      <c r="Y39">
        <v>0</v>
      </c>
      <c r="Z39">
        <v>3</v>
      </c>
      <c r="AA39">
        <v>3</v>
      </c>
      <c r="AB39">
        <v>5</v>
      </c>
      <c r="AC39">
        <v>1</v>
      </c>
      <c r="AD39">
        <v>1</v>
      </c>
      <c r="AE39">
        <v>9</v>
      </c>
      <c r="AF39">
        <v>5</v>
      </c>
      <c r="AG39">
        <v>20</v>
      </c>
      <c r="AH39">
        <v>5.9</v>
      </c>
      <c r="AI39">
        <v>-2</v>
      </c>
    </row>
    <row r="40" spans="1:35" ht="21" x14ac:dyDescent="0.3">
      <c r="A40" t="s">
        <v>560</v>
      </c>
      <c r="B40" s="11">
        <v>39</v>
      </c>
      <c r="C40">
        <v>982</v>
      </c>
      <c r="D40">
        <v>39</v>
      </c>
      <c r="E40" s="4">
        <v>44565</v>
      </c>
      <c r="F40" t="s">
        <v>62</v>
      </c>
      <c r="H40" t="s">
        <v>66</v>
      </c>
      <c r="I40" t="s">
        <v>228</v>
      </c>
      <c r="J40" t="s">
        <v>41</v>
      </c>
      <c r="K40" s="9">
        <v>1.3972222222222221</v>
      </c>
      <c r="L40">
        <v>7</v>
      </c>
      <c r="M40">
        <v>19</v>
      </c>
      <c r="N40">
        <v>0.36799999999999999</v>
      </c>
      <c r="O40">
        <v>0</v>
      </c>
      <c r="P40">
        <v>1</v>
      </c>
      <c r="Q40">
        <v>0</v>
      </c>
      <c r="R40">
        <v>7</v>
      </c>
      <c r="S40">
        <v>18</v>
      </c>
      <c r="T40">
        <v>0.38900000000000001</v>
      </c>
      <c r="U40">
        <v>0.36799999999999999</v>
      </c>
      <c r="V40">
        <v>5</v>
      </c>
      <c r="W40">
        <v>8</v>
      </c>
      <c r="X40">
        <v>0.625</v>
      </c>
      <c r="Y40">
        <v>2</v>
      </c>
      <c r="Z40">
        <v>5</v>
      </c>
      <c r="AA40">
        <v>7</v>
      </c>
      <c r="AB40">
        <v>2</v>
      </c>
      <c r="AC40">
        <v>1</v>
      </c>
      <c r="AD40">
        <v>1</v>
      </c>
      <c r="AE40">
        <v>0</v>
      </c>
      <c r="AF40">
        <v>2</v>
      </c>
      <c r="AG40">
        <v>19</v>
      </c>
      <c r="AH40">
        <v>12.5</v>
      </c>
      <c r="AI40">
        <v>17</v>
      </c>
    </row>
    <row r="41" spans="1:35" ht="21" x14ac:dyDescent="0.3">
      <c r="A41" t="s">
        <v>560</v>
      </c>
      <c r="B41" s="11">
        <v>40</v>
      </c>
      <c r="C41">
        <v>983</v>
      </c>
      <c r="D41">
        <v>40</v>
      </c>
      <c r="E41" s="4">
        <v>44568</v>
      </c>
      <c r="F41" t="s">
        <v>62</v>
      </c>
      <c r="H41" t="s">
        <v>78</v>
      </c>
      <c r="I41" t="s">
        <v>229</v>
      </c>
      <c r="J41" t="s">
        <v>41</v>
      </c>
      <c r="K41" s="9">
        <v>1.2965277777777777</v>
      </c>
      <c r="L41">
        <v>4</v>
      </c>
      <c r="M41">
        <v>14</v>
      </c>
      <c r="N41">
        <v>0.28599999999999998</v>
      </c>
      <c r="O41">
        <v>0</v>
      </c>
      <c r="P41">
        <v>0</v>
      </c>
      <c r="R41">
        <v>4</v>
      </c>
      <c r="S41">
        <v>14</v>
      </c>
      <c r="T41">
        <v>0.28599999999999998</v>
      </c>
      <c r="U41">
        <v>0.28599999999999998</v>
      </c>
      <c r="V41">
        <v>1</v>
      </c>
      <c r="W41">
        <v>3</v>
      </c>
      <c r="X41">
        <v>0.33300000000000002</v>
      </c>
      <c r="Y41">
        <v>1</v>
      </c>
      <c r="Z41">
        <v>10</v>
      </c>
      <c r="AA41">
        <v>11</v>
      </c>
      <c r="AB41">
        <v>13</v>
      </c>
      <c r="AC41">
        <v>0</v>
      </c>
      <c r="AD41">
        <v>0</v>
      </c>
      <c r="AE41">
        <v>3</v>
      </c>
      <c r="AF41">
        <v>6</v>
      </c>
      <c r="AG41">
        <v>9</v>
      </c>
      <c r="AH41">
        <v>7.4</v>
      </c>
      <c r="AI41">
        <v>22</v>
      </c>
    </row>
    <row r="42" spans="1:35" ht="21" x14ac:dyDescent="0.3">
      <c r="A42" t="s">
        <v>560</v>
      </c>
      <c r="B42" s="11">
        <v>41</v>
      </c>
      <c r="C42">
        <v>984</v>
      </c>
      <c r="D42">
        <v>41</v>
      </c>
      <c r="E42" s="4">
        <v>44570</v>
      </c>
      <c r="F42" t="s">
        <v>62</v>
      </c>
      <c r="H42" t="s">
        <v>42</v>
      </c>
      <c r="I42" t="s">
        <v>230</v>
      </c>
      <c r="J42" t="s">
        <v>41</v>
      </c>
      <c r="K42" s="9">
        <v>1.0888888888888888</v>
      </c>
      <c r="L42">
        <v>2</v>
      </c>
      <c r="M42">
        <v>12</v>
      </c>
      <c r="N42">
        <v>0.16700000000000001</v>
      </c>
      <c r="O42">
        <v>0</v>
      </c>
      <c r="P42">
        <v>1</v>
      </c>
      <c r="Q42">
        <v>0</v>
      </c>
      <c r="R42">
        <v>2</v>
      </c>
      <c r="S42">
        <v>11</v>
      </c>
      <c r="T42">
        <v>0.182</v>
      </c>
      <c r="U42">
        <v>0.16700000000000001</v>
      </c>
      <c r="V42">
        <v>2</v>
      </c>
      <c r="W42">
        <v>2</v>
      </c>
      <c r="X42">
        <v>1</v>
      </c>
      <c r="Y42">
        <v>1</v>
      </c>
      <c r="Z42">
        <v>6</v>
      </c>
      <c r="AA42">
        <v>7</v>
      </c>
      <c r="AB42">
        <v>6</v>
      </c>
      <c r="AC42">
        <v>0</v>
      </c>
      <c r="AD42">
        <v>1</v>
      </c>
      <c r="AE42">
        <v>0</v>
      </c>
      <c r="AF42">
        <v>2</v>
      </c>
      <c r="AG42">
        <v>6</v>
      </c>
      <c r="AH42">
        <v>5</v>
      </c>
      <c r="AI42">
        <v>-22</v>
      </c>
    </row>
    <row r="43" spans="1:35" ht="21" x14ac:dyDescent="0.3">
      <c r="A43" t="s">
        <v>560</v>
      </c>
      <c r="B43" s="11">
        <v>42</v>
      </c>
      <c r="C43">
        <v>985</v>
      </c>
      <c r="D43">
        <v>42</v>
      </c>
      <c r="E43" s="4">
        <v>44573</v>
      </c>
      <c r="F43" t="s">
        <v>62</v>
      </c>
      <c r="G43" t="s">
        <v>37</v>
      </c>
      <c r="H43" t="s">
        <v>66</v>
      </c>
      <c r="I43" t="s">
        <v>231</v>
      </c>
      <c r="J43" t="s">
        <v>41</v>
      </c>
      <c r="K43" s="9">
        <v>1.5541666666666667</v>
      </c>
      <c r="L43">
        <v>2</v>
      </c>
      <c r="M43">
        <v>14</v>
      </c>
      <c r="N43">
        <v>0.14299999999999999</v>
      </c>
      <c r="O43">
        <v>0</v>
      </c>
      <c r="P43">
        <v>5</v>
      </c>
      <c r="Q43">
        <v>0</v>
      </c>
      <c r="R43">
        <v>2</v>
      </c>
      <c r="S43">
        <v>9</v>
      </c>
      <c r="T43">
        <v>0.222</v>
      </c>
      <c r="U43">
        <v>0.14299999999999999</v>
      </c>
      <c r="V43">
        <v>4</v>
      </c>
      <c r="W43">
        <v>5</v>
      </c>
      <c r="X43">
        <v>0.8</v>
      </c>
      <c r="Y43">
        <v>3</v>
      </c>
      <c r="Z43">
        <v>9</v>
      </c>
      <c r="AA43">
        <v>12</v>
      </c>
      <c r="AB43">
        <v>6</v>
      </c>
      <c r="AC43">
        <v>1</v>
      </c>
      <c r="AD43">
        <v>0</v>
      </c>
      <c r="AE43">
        <v>1</v>
      </c>
      <c r="AF43">
        <v>3</v>
      </c>
      <c r="AG43">
        <v>8</v>
      </c>
      <c r="AH43">
        <v>6.4</v>
      </c>
      <c r="AI43">
        <v>-7</v>
      </c>
    </row>
    <row r="44" spans="1:35" ht="21" x14ac:dyDescent="0.3">
      <c r="A44" t="s">
        <v>560</v>
      </c>
      <c r="B44" s="11">
        <v>43</v>
      </c>
      <c r="C44">
        <v>986</v>
      </c>
      <c r="D44">
        <v>43</v>
      </c>
      <c r="E44" s="4">
        <v>44576</v>
      </c>
      <c r="F44" t="s">
        <v>62</v>
      </c>
      <c r="G44" t="s">
        <v>37</v>
      </c>
      <c r="H44" t="s">
        <v>34</v>
      </c>
      <c r="I44" t="s">
        <v>232</v>
      </c>
      <c r="J44" t="s">
        <v>41</v>
      </c>
      <c r="K44" s="9">
        <v>1.08125</v>
      </c>
      <c r="L44">
        <v>7</v>
      </c>
      <c r="M44">
        <v>15</v>
      </c>
      <c r="N44">
        <v>0.46700000000000003</v>
      </c>
      <c r="O44">
        <v>1</v>
      </c>
      <c r="P44">
        <v>2</v>
      </c>
      <c r="Q44">
        <v>0.5</v>
      </c>
      <c r="R44">
        <v>6</v>
      </c>
      <c r="S44">
        <v>13</v>
      </c>
      <c r="T44">
        <v>0.46200000000000002</v>
      </c>
      <c r="U44">
        <v>0.5</v>
      </c>
      <c r="V44">
        <v>4</v>
      </c>
      <c r="W44">
        <v>4</v>
      </c>
      <c r="X44">
        <v>1</v>
      </c>
      <c r="Y44">
        <v>1</v>
      </c>
      <c r="Z44">
        <v>4</v>
      </c>
      <c r="AA44">
        <v>5</v>
      </c>
      <c r="AB44">
        <v>3</v>
      </c>
      <c r="AC44">
        <v>0</v>
      </c>
      <c r="AD44">
        <v>0</v>
      </c>
      <c r="AE44">
        <v>0</v>
      </c>
      <c r="AF44">
        <v>1</v>
      </c>
      <c r="AG44">
        <v>19</v>
      </c>
      <c r="AH44">
        <v>14.9</v>
      </c>
      <c r="AI44">
        <v>-11</v>
      </c>
    </row>
    <row r="45" spans="1:35" ht="21" x14ac:dyDescent="0.3">
      <c r="A45" t="s">
        <v>560</v>
      </c>
      <c r="B45" s="11">
        <v>44</v>
      </c>
      <c r="C45">
        <v>987</v>
      </c>
      <c r="D45">
        <v>44</v>
      </c>
      <c r="E45" s="4">
        <v>44578</v>
      </c>
      <c r="F45" t="s">
        <v>62</v>
      </c>
      <c r="H45" t="s">
        <v>118</v>
      </c>
      <c r="I45" t="s">
        <v>233</v>
      </c>
      <c r="J45" t="s">
        <v>41</v>
      </c>
      <c r="K45" s="9">
        <v>1.1527777777777777</v>
      </c>
      <c r="L45">
        <v>5</v>
      </c>
      <c r="M45">
        <v>15</v>
      </c>
      <c r="N45">
        <v>0.33300000000000002</v>
      </c>
      <c r="O45">
        <v>1</v>
      </c>
      <c r="P45">
        <v>4</v>
      </c>
      <c r="Q45">
        <v>0.25</v>
      </c>
      <c r="R45">
        <v>4</v>
      </c>
      <c r="S45">
        <v>11</v>
      </c>
      <c r="T45">
        <v>0.36399999999999999</v>
      </c>
      <c r="U45">
        <v>0.36699999999999999</v>
      </c>
      <c r="V45">
        <v>4</v>
      </c>
      <c r="W45">
        <v>4</v>
      </c>
      <c r="X45">
        <v>1</v>
      </c>
      <c r="Y45">
        <v>2</v>
      </c>
      <c r="Z45">
        <v>6</v>
      </c>
      <c r="AA45">
        <v>8</v>
      </c>
      <c r="AB45">
        <v>3</v>
      </c>
      <c r="AC45">
        <v>1</v>
      </c>
      <c r="AD45">
        <v>0</v>
      </c>
      <c r="AE45">
        <v>2</v>
      </c>
      <c r="AF45">
        <v>3</v>
      </c>
      <c r="AG45">
        <v>15</v>
      </c>
      <c r="AH45">
        <v>9.6</v>
      </c>
      <c r="AI45">
        <v>-11</v>
      </c>
    </row>
    <row r="46" spans="1:35" ht="21" x14ac:dyDescent="0.3">
      <c r="A46" t="s">
        <v>560</v>
      </c>
      <c r="B46" s="11">
        <v>45</v>
      </c>
      <c r="C46">
        <v>988</v>
      </c>
      <c r="D46">
        <v>45</v>
      </c>
      <c r="E46" s="4">
        <v>44580</v>
      </c>
      <c r="F46" t="s">
        <v>62</v>
      </c>
      <c r="H46" t="s">
        <v>108</v>
      </c>
      <c r="I46" t="s">
        <v>234</v>
      </c>
      <c r="J46" t="s">
        <v>41</v>
      </c>
      <c r="K46" s="9">
        <v>1.1083333333333334</v>
      </c>
      <c r="L46">
        <v>5</v>
      </c>
      <c r="M46">
        <v>17</v>
      </c>
      <c r="N46">
        <v>0.29399999999999998</v>
      </c>
      <c r="O46">
        <v>4</v>
      </c>
      <c r="P46">
        <v>6</v>
      </c>
      <c r="Q46">
        <v>0.66700000000000004</v>
      </c>
      <c r="R46">
        <v>1</v>
      </c>
      <c r="S46">
        <v>11</v>
      </c>
      <c r="T46">
        <v>9.0999999999999998E-2</v>
      </c>
      <c r="U46">
        <v>0.41199999999999998</v>
      </c>
      <c r="V46">
        <v>0</v>
      </c>
      <c r="W46">
        <v>0</v>
      </c>
      <c r="Y46">
        <v>1</v>
      </c>
      <c r="Z46">
        <v>1</v>
      </c>
      <c r="AA46">
        <v>2</v>
      </c>
      <c r="AB46">
        <v>3</v>
      </c>
      <c r="AC46">
        <v>1</v>
      </c>
      <c r="AD46">
        <v>0</v>
      </c>
      <c r="AE46">
        <v>1</v>
      </c>
      <c r="AF46">
        <v>4</v>
      </c>
      <c r="AG46">
        <v>14</v>
      </c>
      <c r="AH46">
        <v>5.6</v>
      </c>
      <c r="AI46">
        <v>-18</v>
      </c>
    </row>
    <row r="47" spans="1:35" ht="21" x14ac:dyDescent="0.3">
      <c r="A47" t="s">
        <v>560</v>
      </c>
      <c r="B47" s="11">
        <v>46</v>
      </c>
      <c r="C47">
        <v>989</v>
      </c>
      <c r="D47">
        <v>46</v>
      </c>
      <c r="E47" s="4">
        <v>44582</v>
      </c>
      <c r="F47" t="s">
        <v>62</v>
      </c>
      <c r="G47" t="s">
        <v>37</v>
      </c>
      <c r="H47" t="s">
        <v>104</v>
      </c>
      <c r="I47" t="s">
        <v>235</v>
      </c>
      <c r="J47" t="s">
        <v>41</v>
      </c>
      <c r="K47" s="9">
        <v>1.46875</v>
      </c>
      <c r="L47">
        <v>8</v>
      </c>
      <c r="M47">
        <v>17</v>
      </c>
      <c r="N47">
        <v>0.47099999999999997</v>
      </c>
      <c r="O47">
        <v>0</v>
      </c>
      <c r="P47">
        <v>1</v>
      </c>
      <c r="Q47">
        <v>0</v>
      </c>
      <c r="R47">
        <v>8</v>
      </c>
      <c r="S47">
        <v>16</v>
      </c>
      <c r="T47">
        <v>0.5</v>
      </c>
      <c r="U47">
        <v>0.47099999999999997</v>
      </c>
      <c r="V47">
        <v>2</v>
      </c>
      <c r="W47">
        <v>2</v>
      </c>
      <c r="X47">
        <v>1</v>
      </c>
      <c r="Y47">
        <v>2</v>
      </c>
      <c r="Z47">
        <v>9</v>
      </c>
      <c r="AA47">
        <v>11</v>
      </c>
      <c r="AB47">
        <v>7</v>
      </c>
      <c r="AC47">
        <v>3</v>
      </c>
      <c r="AD47">
        <v>0</v>
      </c>
      <c r="AE47">
        <v>3</v>
      </c>
      <c r="AF47">
        <v>3</v>
      </c>
      <c r="AG47">
        <v>18</v>
      </c>
      <c r="AH47">
        <v>17.100000000000001</v>
      </c>
      <c r="AI47">
        <v>11</v>
      </c>
    </row>
    <row r="48" spans="1:35" ht="21" x14ac:dyDescent="0.3">
      <c r="A48" t="s">
        <v>560</v>
      </c>
      <c r="B48" s="11">
        <v>47</v>
      </c>
      <c r="C48">
        <v>990</v>
      </c>
      <c r="D48">
        <v>47</v>
      </c>
      <c r="E48" s="4">
        <v>44584</v>
      </c>
      <c r="F48" t="s">
        <v>62</v>
      </c>
      <c r="G48" t="s">
        <v>37</v>
      </c>
      <c r="H48" t="s">
        <v>120</v>
      </c>
      <c r="I48" t="s">
        <v>236</v>
      </c>
      <c r="J48" t="s">
        <v>41</v>
      </c>
      <c r="K48" s="9">
        <v>1.3194444444444444</v>
      </c>
      <c r="L48">
        <v>9</v>
      </c>
      <c r="M48">
        <v>15</v>
      </c>
      <c r="N48">
        <v>0.6</v>
      </c>
      <c r="O48">
        <v>0</v>
      </c>
      <c r="P48">
        <v>3</v>
      </c>
      <c r="Q48">
        <v>0</v>
      </c>
      <c r="R48">
        <v>9</v>
      </c>
      <c r="S48">
        <v>12</v>
      </c>
      <c r="T48">
        <v>0.75</v>
      </c>
      <c r="U48">
        <v>0.6</v>
      </c>
      <c r="V48">
        <v>6</v>
      </c>
      <c r="W48">
        <v>8</v>
      </c>
      <c r="X48">
        <v>0.75</v>
      </c>
      <c r="Y48">
        <v>2</v>
      </c>
      <c r="Z48">
        <v>7</v>
      </c>
      <c r="AA48">
        <v>9</v>
      </c>
      <c r="AB48">
        <v>9</v>
      </c>
      <c r="AC48">
        <v>0</v>
      </c>
      <c r="AD48">
        <v>0</v>
      </c>
      <c r="AE48">
        <v>3</v>
      </c>
      <c r="AF48">
        <v>5</v>
      </c>
      <c r="AG48">
        <v>24</v>
      </c>
      <c r="AH48">
        <v>21.1</v>
      </c>
      <c r="AI48">
        <v>-1</v>
      </c>
    </row>
    <row r="49" spans="1:35" ht="21" x14ac:dyDescent="0.3">
      <c r="A49" t="s">
        <v>560</v>
      </c>
      <c r="B49" s="11">
        <v>48</v>
      </c>
      <c r="C49">
        <v>991</v>
      </c>
      <c r="D49">
        <v>48</v>
      </c>
      <c r="E49" s="4">
        <v>44586</v>
      </c>
      <c r="F49" t="s">
        <v>62</v>
      </c>
      <c r="G49" t="s">
        <v>37</v>
      </c>
      <c r="H49" t="s">
        <v>85</v>
      </c>
      <c r="I49" t="s">
        <v>237</v>
      </c>
      <c r="J49" t="s">
        <v>41</v>
      </c>
      <c r="K49" s="9">
        <v>1.3638888888888889</v>
      </c>
      <c r="L49">
        <v>7</v>
      </c>
      <c r="M49">
        <v>14</v>
      </c>
      <c r="N49">
        <v>0.5</v>
      </c>
      <c r="O49">
        <v>0</v>
      </c>
      <c r="P49">
        <v>2</v>
      </c>
      <c r="Q49">
        <v>0</v>
      </c>
      <c r="R49">
        <v>7</v>
      </c>
      <c r="S49">
        <v>12</v>
      </c>
      <c r="T49">
        <v>0.58299999999999996</v>
      </c>
      <c r="U49">
        <v>0.5</v>
      </c>
      <c r="V49">
        <v>1</v>
      </c>
      <c r="W49">
        <v>1</v>
      </c>
      <c r="X49">
        <v>1</v>
      </c>
      <c r="Y49">
        <v>0</v>
      </c>
      <c r="Z49">
        <v>6</v>
      </c>
      <c r="AA49">
        <v>6</v>
      </c>
      <c r="AB49">
        <v>4</v>
      </c>
      <c r="AC49">
        <v>1</v>
      </c>
      <c r="AD49">
        <v>0</v>
      </c>
      <c r="AE49">
        <v>5</v>
      </c>
      <c r="AF49">
        <v>3</v>
      </c>
      <c r="AG49">
        <v>15</v>
      </c>
      <c r="AH49">
        <v>7.4</v>
      </c>
      <c r="AI49">
        <v>-1</v>
      </c>
    </row>
    <row r="50" spans="1:35" ht="21" x14ac:dyDescent="0.3">
      <c r="A50" t="s">
        <v>560</v>
      </c>
      <c r="B50" s="11">
        <v>49</v>
      </c>
      <c r="C50">
        <v>992</v>
      </c>
      <c r="D50">
        <v>49</v>
      </c>
      <c r="E50" s="4">
        <v>44588</v>
      </c>
      <c r="F50" t="s">
        <v>62</v>
      </c>
      <c r="G50" t="s">
        <v>37</v>
      </c>
      <c r="H50" t="s">
        <v>94</v>
      </c>
      <c r="I50" t="s">
        <v>238</v>
      </c>
      <c r="J50" t="s">
        <v>41</v>
      </c>
      <c r="K50" s="9">
        <v>1.425</v>
      </c>
      <c r="L50">
        <v>9</v>
      </c>
      <c r="M50">
        <v>15</v>
      </c>
      <c r="N50">
        <v>0.6</v>
      </c>
      <c r="O50">
        <v>2</v>
      </c>
      <c r="P50">
        <v>3</v>
      </c>
      <c r="Q50">
        <v>0.66700000000000004</v>
      </c>
      <c r="R50">
        <v>7</v>
      </c>
      <c r="S50">
        <v>12</v>
      </c>
      <c r="T50">
        <v>0.58299999999999996</v>
      </c>
      <c r="U50">
        <v>0.66700000000000004</v>
      </c>
      <c r="V50">
        <v>0</v>
      </c>
      <c r="W50">
        <v>0</v>
      </c>
      <c r="Y50">
        <v>1</v>
      </c>
      <c r="Z50">
        <v>3</v>
      </c>
      <c r="AA50">
        <v>4</v>
      </c>
      <c r="AB50">
        <v>3</v>
      </c>
      <c r="AC50">
        <v>1</v>
      </c>
      <c r="AD50">
        <v>1</v>
      </c>
      <c r="AE50">
        <v>6</v>
      </c>
      <c r="AF50">
        <v>1</v>
      </c>
      <c r="AG50">
        <v>20</v>
      </c>
      <c r="AH50">
        <v>12.1</v>
      </c>
      <c r="AI50">
        <v>-11</v>
      </c>
    </row>
    <row r="51" spans="1:35" ht="21" x14ac:dyDescent="0.3">
      <c r="A51" t="s">
        <v>560</v>
      </c>
      <c r="B51" s="11">
        <v>50</v>
      </c>
      <c r="C51">
        <v>993</v>
      </c>
      <c r="D51">
        <v>50</v>
      </c>
      <c r="E51" s="4">
        <v>44589</v>
      </c>
      <c r="F51" t="s">
        <v>62</v>
      </c>
      <c r="G51" t="s">
        <v>37</v>
      </c>
      <c r="H51" t="s">
        <v>72</v>
      </c>
      <c r="I51" t="s">
        <v>239</v>
      </c>
      <c r="J51" t="s">
        <v>41</v>
      </c>
      <c r="K51" s="9">
        <v>1.5604166666666666</v>
      </c>
      <c r="L51">
        <v>12</v>
      </c>
      <c r="M51">
        <v>23</v>
      </c>
      <c r="N51">
        <v>0.52200000000000002</v>
      </c>
      <c r="O51">
        <v>3</v>
      </c>
      <c r="P51">
        <v>7</v>
      </c>
      <c r="Q51">
        <v>0.42899999999999999</v>
      </c>
      <c r="R51">
        <v>9</v>
      </c>
      <c r="S51">
        <v>16</v>
      </c>
      <c r="T51">
        <v>0.56299999999999994</v>
      </c>
      <c r="U51">
        <v>0.58699999999999997</v>
      </c>
      <c r="V51">
        <v>8</v>
      </c>
      <c r="W51">
        <v>10</v>
      </c>
      <c r="X51">
        <v>0.8</v>
      </c>
      <c r="Y51">
        <v>1</v>
      </c>
      <c r="Z51">
        <v>3</v>
      </c>
      <c r="AA51">
        <v>4</v>
      </c>
      <c r="AB51">
        <v>5</v>
      </c>
      <c r="AC51">
        <v>0</v>
      </c>
      <c r="AD51">
        <v>0</v>
      </c>
      <c r="AE51">
        <v>1</v>
      </c>
      <c r="AF51">
        <v>4</v>
      </c>
      <c r="AG51">
        <v>35</v>
      </c>
      <c r="AH51">
        <v>25.4</v>
      </c>
      <c r="AI51">
        <v>-11</v>
      </c>
    </row>
    <row r="52" spans="1:35" ht="21" x14ac:dyDescent="0.3">
      <c r="A52" t="s">
        <v>560</v>
      </c>
      <c r="B52" s="11">
        <v>51</v>
      </c>
      <c r="C52">
        <v>994</v>
      </c>
      <c r="D52">
        <v>51</v>
      </c>
      <c r="E52" s="4">
        <v>44591</v>
      </c>
      <c r="F52" t="s">
        <v>62</v>
      </c>
      <c r="G52" t="s">
        <v>37</v>
      </c>
      <c r="H52" t="s">
        <v>78</v>
      </c>
      <c r="I52" t="s">
        <v>240</v>
      </c>
      <c r="J52" t="s">
        <v>41</v>
      </c>
      <c r="K52" s="9">
        <v>1.4583333333333333</v>
      </c>
      <c r="L52">
        <v>8</v>
      </c>
      <c r="M52">
        <v>15</v>
      </c>
      <c r="N52">
        <v>0.53300000000000003</v>
      </c>
      <c r="O52">
        <v>2</v>
      </c>
      <c r="P52">
        <v>4</v>
      </c>
      <c r="Q52">
        <v>0.5</v>
      </c>
      <c r="R52">
        <v>6</v>
      </c>
      <c r="S52">
        <v>11</v>
      </c>
      <c r="T52">
        <v>0.54500000000000004</v>
      </c>
      <c r="U52">
        <v>0.6</v>
      </c>
      <c r="V52">
        <v>2</v>
      </c>
      <c r="W52">
        <v>5</v>
      </c>
      <c r="X52">
        <v>0.4</v>
      </c>
      <c r="Y52">
        <v>0</v>
      </c>
      <c r="Z52">
        <v>7</v>
      </c>
      <c r="AA52">
        <v>7</v>
      </c>
      <c r="AB52">
        <v>12</v>
      </c>
      <c r="AC52">
        <v>1</v>
      </c>
      <c r="AD52">
        <v>0</v>
      </c>
      <c r="AE52">
        <v>4</v>
      </c>
      <c r="AF52">
        <v>1</v>
      </c>
      <c r="AG52">
        <v>20</v>
      </c>
      <c r="AH52">
        <v>18.600000000000001</v>
      </c>
      <c r="AI52">
        <v>-6</v>
      </c>
    </row>
    <row r="53" spans="1:35" ht="21" x14ac:dyDescent="0.3">
      <c r="A53" t="s">
        <v>560</v>
      </c>
      <c r="B53" s="11">
        <v>52</v>
      </c>
      <c r="C53">
        <v>995</v>
      </c>
      <c r="D53">
        <v>52</v>
      </c>
      <c r="E53" s="4">
        <v>44594</v>
      </c>
      <c r="F53" t="s">
        <v>62</v>
      </c>
      <c r="H53" t="s">
        <v>96</v>
      </c>
      <c r="I53" t="s">
        <v>241</v>
      </c>
      <c r="J53" t="s">
        <v>41</v>
      </c>
      <c r="K53" s="9">
        <v>1.4111111111111112</v>
      </c>
      <c r="L53">
        <v>3</v>
      </c>
      <c r="M53">
        <v>12</v>
      </c>
      <c r="N53">
        <v>0.25</v>
      </c>
      <c r="O53">
        <v>1</v>
      </c>
      <c r="P53">
        <v>4</v>
      </c>
      <c r="Q53">
        <v>0.25</v>
      </c>
      <c r="R53">
        <v>2</v>
      </c>
      <c r="S53">
        <v>8</v>
      </c>
      <c r="T53">
        <v>0.25</v>
      </c>
      <c r="U53">
        <v>0.29199999999999998</v>
      </c>
      <c r="V53">
        <v>2</v>
      </c>
      <c r="W53">
        <v>3</v>
      </c>
      <c r="X53">
        <v>0.66700000000000004</v>
      </c>
      <c r="Y53">
        <v>2</v>
      </c>
      <c r="Z53">
        <v>8</v>
      </c>
      <c r="AA53">
        <v>10</v>
      </c>
      <c r="AB53">
        <v>13</v>
      </c>
      <c r="AC53">
        <v>1</v>
      </c>
      <c r="AD53">
        <v>0</v>
      </c>
      <c r="AE53">
        <v>4</v>
      </c>
      <c r="AF53">
        <v>5</v>
      </c>
      <c r="AG53">
        <v>9</v>
      </c>
      <c r="AH53">
        <v>9.3000000000000007</v>
      </c>
      <c r="AI53">
        <v>2</v>
      </c>
    </row>
    <row r="54" spans="1:35" ht="21" x14ac:dyDescent="0.3">
      <c r="A54" t="s">
        <v>560</v>
      </c>
      <c r="B54" s="11">
        <v>53</v>
      </c>
      <c r="C54">
        <v>996</v>
      </c>
      <c r="D54">
        <v>53</v>
      </c>
      <c r="E54" s="4">
        <v>44595</v>
      </c>
      <c r="F54" t="s">
        <v>62</v>
      </c>
      <c r="G54" t="s">
        <v>37</v>
      </c>
      <c r="H54" t="s">
        <v>64</v>
      </c>
      <c r="I54" t="s">
        <v>242</v>
      </c>
      <c r="J54" t="s">
        <v>41</v>
      </c>
      <c r="K54" s="9">
        <v>1.4833333333333334</v>
      </c>
      <c r="L54">
        <v>7</v>
      </c>
      <c r="M54">
        <v>18</v>
      </c>
      <c r="N54">
        <v>0.38900000000000001</v>
      </c>
      <c r="O54">
        <v>1</v>
      </c>
      <c r="P54">
        <v>5</v>
      </c>
      <c r="Q54">
        <v>0.2</v>
      </c>
      <c r="R54">
        <v>6</v>
      </c>
      <c r="S54">
        <v>13</v>
      </c>
      <c r="T54">
        <v>0.46200000000000002</v>
      </c>
      <c r="U54">
        <v>0.41699999999999998</v>
      </c>
      <c r="V54">
        <v>2</v>
      </c>
      <c r="W54">
        <v>3</v>
      </c>
      <c r="X54">
        <v>0.66700000000000004</v>
      </c>
      <c r="Y54">
        <v>1</v>
      </c>
      <c r="Z54">
        <v>5</v>
      </c>
      <c r="AA54">
        <v>6</v>
      </c>
      <c r="AB54">
        <v>4</v>
      </c>
      <c r="AC54">
        <v>1</v>
      </c>
      <c r="AD54">
        <v>0</v>
      </c>
      <c r="AE54">
        <v>2</v>
      </c>
      <c r="AF54">
        <v>0</v>
      </c>
      <c r="AG54">
        <v>17</v>
      </c>
      <c r="AH54">
        <v>10.8</v>
      </c>
      <c r="AI54">
        <v>5</v>
      </c>
    </row>
    <row r="55" spans="1:35" ht="21" x14ac:dyDescent="0.3">
      <c r="A55" t="s">
        <v>560</v>
      </c>
      <c r="B55" s="11">
        <v>54</v>
      </c>
      <c r="C55">
        <v>997</v>
      </c>
      <c r="D55">
        <v>54</v>
      </c>
      <c r="E55" s="4">
        <v>44597</v>
      </c>
      <c r="F55" t="s">
        <v>62</v>
      </c>
      <c r="H55" t="s">
        <v>110</v>
      </c>
      <c r="I55" t="s">
        <v>243</v>
      </c>
      <c r="J55" t="s">
        <v>41</v>
      </c>
      <c r="K55" s="9">
        <v>1.2090277777777778</v>
      </c>
      <c r="L55">
        <v>1</v>
      </c>
      <c r="M55">
        <v>10</v>
      </c>
      <c r="N55">
        <v>0.1</v>
      </c>
      <c r="O55">
        <v>0</v>
      </c>
      <c r="P55">
        <v>3</v>
      </c>
      <c r="Q55">
        <v>0</v>
      </c>
      <c r="R55">
        <v>1</v>
      </c>
      <c r="S55">
        <v>7</v>
      </c>
      <c r="T55">
        <v>0.14299999999999999</v>
      </c>
      <c r="U55">
        <v>0.1</v>
      </c>
      <c r="V55">
        <v>3</v>
      </c>
      <c r="W55">
        <v>7</v>
      </c>
      <c r="X55">
        <v>0.42899999999999999</v>
      </c>
      <c r="Y55">
        <v>1</v>
      </c>
      <c r="Z55">
        <v>3</v>
      </c>
      <c r="AA55">
        <v>4</v>
      </c>
      <c r="AB55">
        <v>6</v>
      </c>
      <c r="AC55">
        <v>1</v>
      </c>
      <c r="AD55">
        <v>1</v>
      </c>
      <c r="AE55">
        <v>4</v>
      </c>
      <c r="AF55">
        <v>2</v>
      </c>
      <c r="AG55">
        <v>5</v>
      </c>
      <c r="AH55">
        <v>-0.5</v>
      </c>
      <c r="AI55">
        <v>-15</v>
      </c>
    </row>
    <row r="56" spans="1:35" ht="21" x14ac:dyDescent="0.3">
      <c r="A56" t="s">
        <v>560</v>
      </c>
      <c r="B56" s="11">
        <v>55</v>
      </c>
      <c r="C56">
        <v>998</v>
      </c>
      <c r="D56">
        <v>55</v>
      </c>
      <c r="E56" s="4">
        <v>44600</v>
      </c>
      <c r="F56" t="s">
        <v>62</v>
      </c>
      <c r="H56" t="s">
        <v>126</v>
      </c>
      <c r="I56" t="s">
        <v>244</v>
      </c>
      <c r="J56" t="s">
        <v>41</v>
      </c>
      <c r="K56" s="9">
        <v>1.0868055555555556</v>
      </c>
      <c r="L56">
        <v>3</v>
      </c>
      <c r="M56">
        <v>11</v>
      </c>
      <c r="N56">
        <v>0.27300000000000002</v>
      </c>
      <c r="O56">
        <v>0</v>
      </c>
      <c r="P56">
        <v>1</v>
      </c>
      <c r="Q56">
        <v>0</v>
      </c>
      <c r="R56">
        <v>3</v>
      </c>
      <c r="S56">
        <v>10</v>
      </c>
      <c r="T56">
        <v>0.3</v>
      </c>
      <c r="U56">
        <v>0.27300000000000002</v>
      </c>
      <c r="V56">
        <v>4</v>
      </c>
      <c r="W56">
        <v>7</v>
      </c>
      <c r="X56">
        <v>0.57099999999999995</v>
      </c>
      <c r="Y56">
        <v>2</v>
      </c>
      <c r="Z56">
        <v>8</v>
      </c>
      <c r="AA56">
        <v>10</v>
      </c>
      <c r="AB56">
        <v>5</v>
      </c>
      <c r="AC56">
        <v>0</v>
      </c>
      <c r="AD56">
        <v>1</v>
      </c>
      <c r="AE56">
        <v>4</v>
      </c>
      <c r="AF56">
        <v>1</v>
      </c>
      <c r="AG56">
        <v>10</v>
      </c>
      <c r="AH56">
        <v>5.9</v>
      </c>
      <c r="AI56">
        <v>-16</v>
      </c>
    </row>
    <row r="57" spans="1:35" ht="21" x14ac:dyDescent="0.3">
      <c r="A57" t="s">
        <v>560</v>
      </c>
      <c r="B57" s="11">
        <v>55</v>
      </c>
      <c r="D57">
        <v>56</v>
      </c>
      <c r="E57" s="4">
        <v>44601</v>
      </c>
      <c r="F57" t="s">
        <v>62</v>
      </c>
      <c r="G57" t="s">
        <v>37</v>
      </c>
      <c r="H57" t="s">
        <v>96</v>
      </c>
      <c r="I57" t="s">
        <v>245</v>
      </c>
      <c r="J57" t="s">
        <v>358</v>
      </c>
      <c r="K57" t="s">
        <v>358</v>
      </c>
      <c r="L57" t="s">
        <v>358</v>
      </c>
      <c r="M57" t="s">
        <v>358</v>
      </c>
      <c r="N57" t="s">
        <v>358</v>
      </c>
      <c r="O57" t="s">
        <v>358</v>
      </c>
      <c r="P57" t="s">
        <v>358</v>
      </c>
      <c r="Q57" t="s">
        <v>358</v>
      </c>
      <c r="R57" t="s">
        <v>358</v>
      </c>
      <c r="S57" t="s">
        <v>358</v>
      </c>
      <c r="T57" t="s">
        <v>358</v>
      </c>
      <c r="U57" t="s">
        <v>358</v>
      </c>
      <c r="V57" t="s">
        <v>358</v>
      </c>
      <c r="W57" t="s">
        <v>358</v>
      </c>
      <c r="X57" t="s">
        <v>358</v>
      </c>
      <c r="Y57" t="s">
        <v>358</v>
      </c>
      <c r="Z57" t="s">
        <v>358</v>
      </c>
      <c r="AA57" t="s">
        <v>358</v>
      </c>
      <c r="AB57" t="s">
        <v>358</v>
      </c>
      <c r="AC57" t="s">
        <v>358</v>
      </c>
      <c r="AD57" t="s">
        <v>358</v>
      </c>
      <c r="AE57" t="s">
        <v>358</v>
      </c>
      <c r="AF57" t="s">
        <v>358</v>
      </c>
      <c r="AG57" t="s">
        <v>358</v>
      </c>
      <c r="AH57" t="s">
        <v>358</v>
      </c>
      <c r="AI57" t="s">
        <v>358</v>
      </c>
    </row>
    <row r="58" spans="1:35" ht="21" x14ac:dyDescent="0.3">
      <c r="A58" t="s">
        <v>560</v>
      </c>
      <c r="B58" s="11">
        <v>56</v>
      </c>
      <c r="C58">
        <v>999</v>
      </c>
      <c r="D58">
        <v>57</v>
      </c>
      <c r="E58" s="4">
        <v>44604</v>
      </c>
      <c r="F58" t="s">
        <v>62</v>
      </c>
      <c r="G58" t="s">
        <v>37</v>
      </c>
      <c r="H58" t="s">
        <v>33</v>
      </c>
      <c r="I58" t="s">
        <v>246</v>
      </c>
      <c r="J58" t="s">
        <v>41</v>
      </c>
      <c r="K58" s="9">
        <v>1.4645833333333333</v>
      </c>
      <c r="L58">
        <v>7</v>
      </c>
      <c r="M58">
        <v>13</v>
      </c>
      <c r="N58">
        <v>0.53800000000000003</v>
      </c>
      <c r="O58">
        <v>1</v>
      </c>
      <c r="P58">
        <v>2</v>
      </c>
      <c r="Q58">
        <v>0.5</v>
      </c>
      <c r="R58">
        <v>6</v>
      </c>
      <c r="S58">
        <v>11</v>
      </c>
      <c r="T58">
        <v>0.54500000000000004</v>
      </c>
      <c r="U58">
        <v>0.57699999999999996</v>
      </c>
      <c r="V58">
        <v>4</v>
      </c>
      <c r="W58">
        <v>4</v>
      </c>
      <c r="X58">
        <v>1</v>
      </c>
      <c r="Y58">
        <v>1</v>
      </c>
      <c r="Z58">
        <v>6</v>
      </c>
      <c r="AA58">
        <v>7</v>
      </c>
      <c r="AB58">
        <v>5</v>
      </c>
      <c r="AC58">
        <v>1</v>
      </c>
      <c r="AD58">
        <v>0</v>
      </c>
      <c r="AE58">
        <v>1</v>
      </c>
      <c r="AF58">
        <v>4</v>
      </c>
      <c r="AG58">
        <v>19</v>
      </c>
      <c r="AH58">
        <v>17.100000000000001</v>
      </c>
      <c r="AI58">
        <v>2</v>
      </c>
    </row>
    <row r="59" spans="1:35" ht="21" x14ac:dyDescent="0.3">
      <c r="A59" t="s">
        <v>560</v>
      </c>
      <c r="B59" s="11">
        <v>57</v>
      </c>
      <c r="C59">
        <v>1000</v>
      </c>
      <c r="D59">
        <v>58</v>
      </c>
      <c r="E59" s="4">
        <v>44608</v>
      </c>
      <c r="F59" t="s">
        <v>62</v>
      </c>
      <c r="H59" t="s">
        <v>118</v>
      </c>
      <c r="I59" t="s">
        <v>247</v>
      </c>
      <c r="J59" t="s">
        <v>41</v>
      </c>
      <c r="K59" s="9">
        <v>1.3923611111111112</v>
      </c>
      <c r="L59">
        <v>6</v>
      </c>
      <c r="M59">
        <v>13</v>
      </c>
      <c r="N59">
        <v>0.46200000000000002</v>
      </c>
      <c r="O59">
        <v>1</v>
      </c>
      <c r="P59">
        <v>4</v>
      </c>
      <c r="Q59">
        <v>0.25</v>
      </c>
      <c r="R59">
        <v>5</v>
      </c>
      <c r="S59">
        <v>9</v>
      </c>
      <c r="T59">
        <v>0.55600000000000005</v>
      </c>
      <c r="U59">
        <v>0.5</v>
      </c>
      <c r="V59">
        <v>4</v>
      </c>
      <c r="W59">
        <v>7</v>
      </c>
      <c r="X59">
        <v>0.57099999999999995</v>
      </c>
      <c r="Y59">
        <v>4</v>
      </c>
      <c r="Z59">
        <v>3</v>
      </c>
      <c r="AA59">
        <v>7</v>
      </c>
      <c r="AB59">
        <v>6</v>
      </c>
      <c r="AC59">
        <v>1</v>
      </c>
      <c r="AD59">
        <v>0</v>
      </c>
      <c r="AE59">
        <v>6</v>
      </c>
      <c r="AF59">
        <v>2</v>
      </c>
      <c r="AG59">
        <v>17</v>
      </c>
      <c r="AH59">
        <v>11.2</v>
      </c>
      <c r="AI59">
        <v>5</v>
      </c>
    </row>
    <row r="60" spans="1:35" ht="21" x14ac:dyDescent="0.3">
      <c r="A60" t="s">
        <v>560</v>
      </c>
      <c r="B60" s="11">
        <v>58</v>
      </c>
      <c r="C60">
        <v>1001</v>
      </c>
      <c r="D60">
        <v>59</v>
      </c>
      <c r="E60" s="4">
        <v>44617</v>
      </c>
      <c r="F60" t="s">
        <v>62</v>
      </c>
      <c r="H60" t="s">
        <v>64</v>
      </c>
      <c r="I60" t="s">
        <v>248</v>
      </c>
      <c r="J60" t="s">
        <v>41</v>
      </c>
      <c r="K60" s="9">
        <v>1.3666666666666667</v>
      </c>
      <c r="L60">
        <v>9</v>
      </c>
      <c r="M60">
        <v>21</v>
      </c>
      <c r="N60">
        <v>0.42899999999999999</v>
      </c>
      <c r="O60">
        <v>0</v>
      </c>
      <c r="P60">
        <v>3</v>
      </c>
      <c r="Q60">
        <v>0</v>
      </c>
      <c r="R60">
        <v>9</v>
      </c>
      <c r="S60">
        <v>18</v>
      </c>
      <c r="T60">
        <v>0.5</v>
      </c>
      <c r="U60">
        <v>0.42899999999999999</v>
      </c>
      <c r="V60">
        <v>0</v>
      </c>
      <c r="W60">
        <v>2</v>
      </c>
      <c r="X60">
        <v>0</v>
      </c>
      <c r="Y60">
        <v>0</v>
      </c>
      <c r="Z60">
        <v>3</v>
      </c>
      <c r="AA60">
        <v>3</v>
      </c>
      <c r="AB60">
        <v>1</v>
      </c>
      <c r="AC60">
        <v>1</v>
      </c>
      <c r="AD60">
        <v>0</v>
      </c>
      <c r="AE60">
        <v>0</v>
      </c>
      <c r="AF60">
        <v>3</v>
      </c>
      <c r="AG60">
        <v>18</v>
      </c>
      <c r="AH60">
        <v>7.5</v>
      </c>
      <c r="AI60">
        <v>2</v>
      </c>
    </row>
    <row r="61" spans="1:35" ht="21" x14ac:dyDescent="0.3">
      <c r="A61" t="s">
        <v>560</v>
      </c>
      <c r="B61" s="11">
        <v>59</v>
      </c>
      <c r="C61">
        <v>1002</v>
      </c>
      <c r="D61">
        <v>60</v>
      </c>
      <c r="E61" s="4">
        <v>44619</v>
      </c>
      <c r="F61" t="s">
        <v>62</v>
      </c>
      <c r="H61" t="s">
        <v>74</v>
      </c>
      <c r="I61" t="s">
        <v>163</v>
      </c>
      <c r="J61" t="s">
        <v>41</v>
      </c>
      <c r="K61" s="9">
        <v>1.1583333333333334</v>
      </c>
      <c r="L61">
        <v>5</v>
      </c>
      <c r="M61">
        <v>15</v>
      </c>
      <c r="N61">
        <v>0.33300000000000002</v>
      </c>
      <c r="O61">
        <v>0</v>
      </c>
      <c r="P61">
        <v>2</v>
      </c>
      <c r="Q61">
        <v>0</v>
      </c>
      <c r="R61">
        <v>5</v>
      </c>
      <c r="S61">
        <v>13</v>
      </c>
      <c r="T61">
        <v>0.38500000000000001</v>
      </c>
      <c r="U61">
        <v>0.33300000000000002</v>
      </c>
      <c r="V61">
        <v>6</v>
      </c>
      <c r="W61">
        <v>7</v>
      </c>
      <c r="X61">
        <v>0.85699999999999998</v>
      </c>
      <c r="Y61">
        <v>1</v>
      </c>
      <c r="Z61">
        <v>5</v>
      </c>
      <c r="AA61">
        <v>6</v>
      </c>
      <c r="AB61">
        <v>1</v>
      </c>
      <c r="AC61">
        <v>1</v>
      </c>
      <c r="AD61">
        <v>0</v>
      </c>
      <c r="AE61">
        <v>7</v>
      </c>
      <c r="AF61">
        <v>3</v>
      </c>
      <c r="AG61">
        <v>16</v>
      </c>
      <c r="AH61">
        <v>2.8</v>
      </c>
      <c r="AI61">
        <v>-26</v>
      </c>
    </row>
    <row r="62" spans="1:35" ht="21" x14ac:dyDescent="0.3">
      <c r="A62" t="s">
        <v>560</v>
      </c>
      <c r="B62" s="11">
        <v>60</v>
      </c>
      <c r="C62">
        <v>1003</v>
      </c>
      <c r="D62">
        <v>61</v>
      </c>
      <c r="E62" s="4">
        <v>44621</v>
      </c>
      <c r="F62" t="s">
        <v>62</v>
      </c>
      <c r="H62" t="s">
        <v>49</v>
      </c>
      <c r="I62" t="s">
        <v>249</v>
      </c>
      <c r="J62" t="s">
        <v>41</v>
      </c>
      <c r="K62" s="9">
        <v>1.5909722222222222</v>
      </c>
      <c r="L62">
        <v>5</v>
      </c>
      <c r="M62">
        <v>17</v>
      </c>
      <c r="N62">
        <v>0.29399999999999998</v>
      </c>
      <c r="O62">
        <v>0</v>
      </c>
      <c r="P62">
        <v>4</v>
      </c>
      <c r="Q62">
        <v>0</v>
      </c>
      <c r="R62">
        <v>5</v>
      </c>
      <c r="S62">
        <v>13</v>
      </c>
      <c r="T62">
        <v>0.38500000000000001</v>
      </c>
      <c r="U62">
        <v>0.29399999999999998</v>
      </c>
      <c r="V62">
        <v>2</v>
      </c>
      <c r="W62">
        <v>2</v>
      </c>
      <c r="X62">
        <v>1</v>
      </c>
      <c r="Y62">
        <v>2</v>
      </c>
      <c r="Z62">
        <v>4</v>
      </c>
      <c r="AA62">
        <v>6</v>
      </c>
      <c r="AB62">
        <v>8</v>
      </c>
      <c r="AC62">
        <v>2</v>
      </c>
      <c r="AD62">
        <v>1</v>
      </c>
      <c r="AE62">
        <v>0</v>
      </c>
      <c r="AF62">
        <v>3</v>
      </c>
      <c r="AG62">
        <v>12</v>
      </c>
      <c r="AH62">
        <v>11.8</v>
      </c>
      <c r="AI62">
        <v>-8</v>
      </c>
    </row>
    <row r="63" spans="1:35" ht="21" x14ac:dyDescent="0.3">
      <c r="A63" t="s">
        <v>560</v>
      </c>
      <c r="B63" s="11">
        <v>61</v>
      </c>
      <c r="C63">
        <v>1004</v>
      </c>
      <c r="D63">
        <v>62</v>
      </c>
      <c r="E63" s="4">
        <v>44623</v>
      </c>
      <c r="F63" t="s">
        <v>62</v>
      </c>
      <c r="G63" t="s">
        <v>37</v>
      </c>
      <c r="H63" t="s">
        <v>64</v>
      </c>
      <c r="I63" t="s">
        <v>250</v>
      </c>
      <c r="J63" t="s">
        <v>41</v>
      </c>
      <c r="K63" s="9">
        <v>1.2048611111111112</v>
      </c>
      <c r="L63">
        <v>7</v>
      </c>
      <c r="M63">
        <v>16</v>
      </c>
      <c r="N63">
        <v>0.438</v>
      </c>
      <c r="O63">
        <v>0</v>
      </c>
      <c r="P63">
        <v>2</v>
      </c>
      <c r="Q63">
        <v>0</v>
      </c>
      <c r="R63">
        <v>7</v>
      </c>
      <c r="S63">
        <v>14</v>
      </c>
      <c r="T63">
        <v>0.5</v>
      </c>
      <c r="U63">
        <v>0.438</v>
      </c>
      <c r="V63">
        <v>3</v>
      </c>
      <c r="W63">
        <v>4</v>
      </c>
      <c r="X63">
        <v>0.75</v>
      </c>
      <c r="Y63">
        <v>2</v>
      </c>
      <c r="Z63">
        <v>6</v>
      </c>
      <c r="AA63">
        <v>8</v>
      </c>
      <c r="AB63">
        <v>3</v>
      </c>
      <c r="AC63">
        <v>0</v>
      </c>
      <c r="AD63">
        <v>0</v>
      </c>
      <c r="AE63">
        <v>2</v>
      </c>
      <c r="AF63">
        <v>4</v>
      </c>
      <c r="AG63">
        <v>17</v>
      </c>
      <c r="AH63">
        <v>9.9</v>
      </c>
      <c r="AI63">
        <v>-15</v>
      </c>
    </row>
    <row r="64" spans="1:35" ht="21" x14ac:dyDescent="0.3">
      <c r="A64" t="s">
        <v>560</v>
      </c>
      <c r="B64" s="11">
        <v>62</v>
      </c>
      <c r="C64">
        <v>1005</v>
      </c>
      <c r="D64">
        <v>63</v>
      </c>
      <c r="E64" s="4">
        <v>44625</v>
      </c>
      <c r="F64" t="s">
        <v>62</v>
      </c>
      <c r="H64" t="s">
        <v>33</v>
      </c>
      <c r="I64" t="s">
        <v>251</v>
      </c>
      <c r="J64" t="s">
        <v>41</v>
      </c>
      <c r="K64" s="9">
        <v>1.3333333333333333</v>
      </c>
      <c r="L64">
        <v>9</v>
      </c>
      <c r="M64">
        <v>17</v>
      </c>
      <c r="N64">
        <v>0.52900000000000003</v>
      </c>
      <c r="O64">
        <v>1</v>
      </c>
      <c r="P64">
        <v>3</v>
      </c>
      <c r="Q64">
        <v>0.33300000000000002</v>
      </c>
      <c r="R64">
        <v>8</v>
      </c>
      <c r="S64">
        <v>14</v>
      </c>
      <c r="T64">
        <v>0.57099999999999995</v>
      </c>
      <c r="U64">
        <v>0.55900000000000005</v>
      </c>
      <c r="V64">
        <v>1</v>
      </c>
      <c r="W64">
        <v>2</v>
      </c>
      <c r="X64">
        <v>0.5</v>
      </c>
      <c r="Y64">
        <v>0</v>
      </c>
      <c r="Z64">
        <v>4</v>
      </c>
      <c r="AA64">
        <v>4</v>
      </c>
      <c r="AB64">
        <v>4</v>
      </c>
      <c r="AC64">
        <v>0</v>
      </c>
      <c r="AD64">
        <v>0</v>
      </c>
      <c r="AE64">
        <v>5</v>
      </c>
      <c r="AF64">
        <v>5</v>
      </c>
      <c r="AG64">
        <v>20</v>
      </c>
      <c r="AH64">
        <v>8.3000000000000007</v>
      </c>
      <c r="AI64">
        <v>13</v>
      </c>
    </row>
    <row r="65" spans="1:35" ht="21" x14ac:dyDescent="0.3">
      <c r="A65" t="s">
        <v>560</v>
      </c>
      <c r="B65" s="11">
        <v>63</v>
      </c>
      <c r="C65">
        <v>1006</v>
      </c>
      <c r="D65">
        <v>64</v>
      </c>
      <c r="E65" s="4">
        <v>44627</v>
      </c>
      <c r="F65" t="s">
        <v>62</v>
      </c>
      <c r="G65" t="s">
        <v>37</v>
      </c>
      <c r="H65" t="s">
        <v>102</v>
      </c>
      <c r="I65" t="s">
        <v>252</v>
      </c>
      <c r="J65" t="s">
        <v>41</v>
      </c>
      <c r="K65" s="9">
        <v>1.4430555555555555</v>
      </c>
      <c r="L65">
        <v>5</v>
      </c>
      <c r="M65">
        <v>14</v>
      </c>
      <c r="N65">
        <v>0.35699999999999998</v>
      </c>
      <c r="O65">
        <v>0</v>
      </c>
      <c r="P65">
        <v>2</v>
      </c>
      <c r="Q65">
        <v>0</v>
      </c>
      <c r="R65">
        <v>5</v>
      </c>
      <c r="S65">
        <v>12</v>
      </c>
      <c r="T65">
        <v>0.41699999999999998</v>
      </c>
      <c r="U65">
        <v>0.35699999999999998</v>
      </c>
      <c r="V65">
        <v>7</v>
      </c>
      <c r="W65">
        <v>13</v>
      </c>
      <c r="X65">
        <v>0.53800000000000003</v>
      </c>
      <c r="Y65">
        <v>3</v>
      </c>
      <c r="Z65">
        <v>7</v>
      </c>
      <c r="AA65">
        <v>10</v>
      </c>
      <c r="AB65">
        <v>6</v>
      </c>
      <c r="AC65">
        <v>0</v>
      </c>
      <c r="AD65">
        <v>0</v>
      </c>
      <c r="AE65">
        <v>5</v>
      </c>
      <c r="AF65">
        <v>5</v>
      </c>
      <c r="AG65">
        <v>17</v>
      </c>
      <c r="AH65">
        <v>8.1999999999999993</v>
      </c>
      <c r="AI65">
        <v>5</v>
      </c>
    </row>
    <row r="66" spans="1:35" ht="21" x14ac:dyDescent="0.3">
      <c r="A66" t="s">
        <v>560</v>
      </c>
      <c r="B66" s="11">
        <v>64</v>
      </c>
      <c r="C66">
        <v>1007</v>
      </c>
      <c r="D66">
        <v>65</v>
      </c>
      <c r="E66" s="4">
        <v>44629</v>
      </c>
      <c r="F66" t="s">
        <v>62</v>
      </c>
      <c r="G66" t="s">
        <v>37</v>
      </c>
      <c r="H66" t="s">
        <v>76</v>
      </c>
      <c r="I66" t="s">
        <v>253</v>
      </c>
      <c r="J66" t="s">
        <v>41</v>
      </c>
      <c r="K66" s="9">
        <v>1.6590277777777778</v>
      </c>
      <c r="L66">
        <v>11</v>
      </c>
      <c r="M66">
        <v>21</v>
      </c>
      <c r="N66">
        <v>0.52400000000000002</v>
      </c>
      <c r="O66">
        <v>1</v>
      </c>
      <c r="P66">
        <v>3</v>
      </c>
      <c r="Q66">
        <v>0.33300000000000002</v>
      </c>
      <c r="R66">
        <v>10</v>
      </c>
      <c r="S66">
        <v>18</v>
      </c>
      <c r="T66">
        <v>0.55600000000000005</v>
      </c>
      <c r="U66">
        <v>0.54800000000000004</v>
      </c>
      <c r="V66">
        <v>7</v>
      </c>
      <c r="W66">
        <v>8</v>
      </c>
      <c r="X66">
        <v>0.875</v>
      </c>
      <c r="Y66">
        <v>3</v>
      </c>
      <c r="Z66">
        <v>5</v>
      </c>
      <c r="AA66">
        <v>8</v>
      </c>
      <c r="AB66">
        <v>6</v>
      </c>
      <c r="AC66">
        <v>0</v>
      </c>
      <c r="AD66">
        <v>1</v>
      </c>
      <c r="AE66">
        <v>2</v>
      </c>
      <c r="AF66">
        <v>2</v>
      </c>
      <c r="AG66">
        <v>30</v>
      </c>
      <c r="AH66">
        <v>25</v>
      </c>
      <c r="AI66">
        <v>-2</v>
      </c>
    </row>
    <row r="67" spans="1:35" ht="21" x14ac:dyDescent="0.3">
      <c r="A67" t="s">
        <v>560</v>
      </c>
      <c r="B67" s="11">
        <v>65</v>
      </c>
      <c r="C67">
        <v>1008</v>
      </c>
      <c r="D67">
        <v>66</v>
      </c>
      <c r="E67" s="4">
        <v>44631</v>
      </c>
      <c r="F67" t="s">
        <v>62</v>
      </c>
      <c r="H67" t="s">
        <v>155</v>
      </c>
      <c r="I67" t="s">
        <v>154</v>
      </c>
      <c r="J67" t="s">
        <v>41</v>
      </c>
      <c r="K67" s="9">
        <v>1.3055555555555556</v>
      </c>
      <c r="L67">
        <v>2</v>
      </c>
      <c r="M67">
        <v>11</v>
      </c>
      <c r="N67">
        <v>0.182</v>
      </c>
      <c r="O67">
        <v>0</v>
      </c>
      <c r="P67">
        <v>1</v>
      </c>
      <c r="Q67">
        <v>0</v>
      </c>
      <c r="R67">
        <v>2</v>
      </c>
      <c r="S67">
        <v>10</v>
      </c>
      <c r="T67">
        <v>0.2</v>
      </c>
      <c r="U67">
        <v>0.182</v>
      </c>
      <c r="V67">
        <v>1</v>
      </c>
      <c r="W67">
        <v>4</v>
      </c>
      <c r="X67">
        <v>0.25</v>
      </c>
      <c r="Y67">
        <v>0</v>
      </c>
      <c r="Z67">
        <v>3</v>
      </c>
      <c r="AA67">
        <v>3</v>
      </c>
      <c r="AB67">
        <v>9</v>
      </c>
      <c r="AC67">
        <v>1</v>
      </c>
      <c r="AD67">
        <v>1</v>
      </c>
      <c r="AE67">
        <v>1</v>
      </c>
      <c r="AF67">
        <v>3</v>
      </c>
      <c r="AG67">
        <v>5</v>
      </c>
      <c r="AH67">
        <v>3.6</v>
      </c>
      <c r="AI67">
        <v>2</v>
      </c>
    </row>
    <row r="68" spans="1:35" ht="21" x14ac:dyDescent="0.3">
      <c r="A68" t="s">
        <v>560</v>
      </c>
      <c r="B68" s="11">
        <v>66</v>
      </c>
      <c r="C68">
        <v>1009</v>
      </c>
      <c r="D68">
        <v>67</v>
      </c>
      <c r="E68" s="4">
        <v>44633</v>
      </c>
      <c r="F68" t="s">
        <v>62</v>
      </c>
      <c r="G68" t="s">
        <v>37</v>
      </c>
      <c r="H68" t="s">
        <v>99</v>
      </c>
      <c r="I68" t="s">
        <v>254</v>
      </c>
      <c r="J68" t="s">
        <v>41</v>
      </c>
      <c r="K68" s="9">
        <v>1.1888888888888889</v>
      </c>
      <c r="L68">
        <v>5</v>
      </c>
      <c r="M68">
        <v>10</v>
      </c>
      <c r="N68">
        <v>0.5</v>
      </c>
      <c r="O68">
        <v>0</v>
      </c>
      <c r="P68">
        <v>2</v>
      </c>
      <c r="Q68">
        <v>0</v>
      </c>
      <c r="R68">
        <v>5</v>
      </c>
      <c r="S68">
        <v>8</v>
      </c>
      <c r="T68">
        <v>0.625</v>
      </c>
      <c r="U68">
        <v>0.5</v>
      </c>
      <c r="V68">
        <v>3</v>
      </c>
      <c r="W68">
        <v>4</v>
      </c>
      <c r="X68">
        <v>0.75</v>
      </c>
      <c r="Y68">
        <v>1</v>
      </c>
      <c r="Z68">
        <v>1</v>
      </c>
      <c r="AA68">
        <v>2</v>
      </c>
      <c r="AB68">
        <v>2</v>
      </c>
      <c r="AC68">
        <v>0</v>
      </c>
      <c r="AD68">
        <v>0</v>
      </c>
      <c r="AE68">
        <v>4</v>
      </c>
      <c r="AF68">
        <v>1</v>
      </c>
      <c r="AG68">
        <v>13</v>
      </c>
      <c r="AH68">
        <v>5.6</v>
      </c>
      <c r="AI68">
        <v>-6</v>
      </c>
    </row>
    <row r="69" spans="1:35" ht="21" x14ac:dyDescent="0.3">
      <c r="A69" t="s">
        <v>560</v>
      </c>
      <c r="B69" s="11">
        <v>67</v>
      </c>
      <c r="C69">
        <v>1010</v>
      </c>
      <c r="D69">
        <v>68</v>
      </c>
      <c r="E69" s="4">
        <v>44634</v>
      </c>
      <c r="F69" t="s">
        <v>62</v>
      </c>
      <c r="H69" t="s">
        <v>92</v>
      </c>
      <c r="I69" t="s">
        <v>255</v>
      </c>
      <c r="J69" t="s">
        <v>41</v>
      </c>
      <c r="K69" s="9">
        <v>1.4555555555555555</v>
      </c>
      <c r="L69">
        <v>4</v>
      </c>
      <c r="M69">
        <v>10</v>
      </c>
      <c r="N69">
        <v>0.4</v>
      </c>
      <c r="O69">
        <v>0</v>
      </c>
      <c r="P69">
        <v>1</v>
      </c>
      <c r="Q69">
        <v>0</v>
      </c>
      <c r="R69">
        <v>4</v>
      </c>
      <c r="S69">
        <v>9</v>
      </c>
      <c r="T69">
        <v>0.44400000000000001</v>
      </c>
      <c r="U69">
        <v>0.4</v>
      </c>
      <c r="V69">
        <v>6</v>
      </c>
      <c r="W69">
        <v>7</v>
      </c>
      <c r="X69">
        <v>0.85699999999999998</v>
      </c>
      <c r="Y69">
        <v>2</v>
      </c>
      <c r="Z69">
        <v>6</v>
      </c>
      <c r="AA69">
        <v>8</v>
      </c>
      <c r="AB69">
        <v>4</v>
      </c>
      <c r="AC69">
        <v>1</v>
      </c>
      <c r="AD69">
        <v>0</v>
      </c>
      <c r="AE69">
        <v>1</v>
      </c>
      <c r="AF69">
        <v>2</v>
      </c>
      <c r="AG69">
        <v>14</v>
      </c>
      <c r="AH69">
        <v>13.4</v>
      </c>
      <c r="AI69">
        <v>4</v>
      </c>
    </row>
    <row r="70" spans="1:35" ht="21" x14ac:dyDescent="0.3">
      <c r="A70" t="s">
        <v>560</v>
      </c>
      <c r="B70" s="11">
        <v>68</v>
      </c>
      <c r="C70">
        <v>1011</v>
      </c>
      <c r="D70">
        <v>69</v>
      </c>
      <c r="E70" s="4">
        <v>44636</v>
      </c>
      <c r="F70" t="s">
        <v>62</v>
      </c>
      <c r="G70" t="s">
        <v>37</v>
      </c>
      <c r="H70" t="s">
        <v>80</v>
      </c>
      <c r="I70" t="s">
        <v>256</v>
      </c>
      <c r="J70" t="s">
        <v>41</v>
      </c>
      <c r="K70" s="9">
        <v>1.4868055555555555</v>
      </c>
      <c r="L70">
        <v>5</v>
      </c>
      <c r="M70">
        <v>12</v>
      </c>
      <c r="N70">
        <v>0.41699999999999998</v>
      </c>
      <c r="O70">
        <v>1</v>
      </c>
      <c r="P70">
        <v>4</v>
      </c>
      <c r="Q70">
        <v>0.25</v>
      </c>
      <c r="R70">
        <v>4</v>
      </c>
      <c r="S70">
        <v>8</v>
      </c>
      <c r="T70">
        <v>0.5</v>
      </c>
      <c r="U70">
        <v>0.45800000000000002</v>
      </c>
      <c r="V70">
        <v>4</v>
      </c>
      <c r="W70">
        <v>6</v>
      </c>
      <c r="X70">
        <v>0.66700000000000004</v>
      </c>
      <c r="Y70">
        <v>2</v>
      </c>
      <c r="Z70">
        <v>2</v>
      </c>
      <c r="AA70">
        <v>4</v>
      </c>
      <c r="AB70">
        <v>5</v>
      </c>
      <c r="AC70">
        <v>2</v>
      </c>
      <c r="AD70">
        <v>0</v>
      </c>
      <c r="AE70">
        <v>3</v>
      </c>
      <c r="AF70">
        <v>3</v>
      </c>
      <c r="AG70">
        <v>15</v>
      </c>
      <c r="AH70">
        <v>11.1</v>
      </c>
      <c r="AI70">
        <v>-1</v>
      </c>
    </row>
    <row r="71" spans="1:35" ht="21" x14ac:dyDescent="0.3">
      <c r="A71" t="s">
        <v>560</v>
      </c>
      <c r="B71" s="11">
        <v>69</v>
      </c>
      <c r="C71">
        <v>1012</v>
      </c>
      <c r="D71">
        <v>70</v>
      </c>
      <c r="E71" s="4">
        <v>44638</v>
      </c>
      <c r="F71" t="s">
        <v>62</v>
      </c>
      <c r="G71" t="s">
        <v>37</v>
      </c>
      <c r="H71" t="s">
        <v>92</v>
      </c>
      <c r="I71" t="s">
        <v>257</v>
      </c>
      <c r="J71" t="s">
        <v>41</v>
      </c>
      <c r="K71" s="9">
        <v>1.7180555555555554</v>
      </c>
      <c r="L71">
        <v>8</v>
      </c>
      <c r="M71">
        <v>18</v>
      </c>
      <c r="N71">
        <v>0.44400000000000001</v>
      </c>
      <c r="O71">
        <v>4</v>
      </c>
      <c r="P71">
        <v>7</v>
      </c>
      <c r="Q71">
        <v>0.57099999999999995</v>
      </c>
      <c r="R71">
        <v>4</v>
      </c>
      <c r="S71">
        <v>11</v>
      </c>
      <c r="T71">
        <v>0.36399999999999999</v>
      </c>
      <c r="U71">
        <v>0.55600000000000005</v>
      </c>
      <c r="V71">
        <v>2</v>
      </c>
      <c r="W71">
        <v>2</v>
      </c>
      <c r="X71">
        <v>1</v>
      </c>
      <c r="Y71">
        <v>1</v>
      </c>
      <c r="Z71">
        <v>9</v>
      </c>
      <c r="AA71">
        <v>10</v>
      </c>
      <c r="AB71">
        <v>10</v>
      </c>
      <c r="AC71">
        <v>1</v>
      </c>
      <c r="AD71">
        <v>0</v>
      </c>
      <c r="AE71">
        <v>4</v>
      </c>
      <c r="AF71">
        <v>2</v>
      </c>
      <c r="AG71">
        <v>22</v>
      </c>
      <c r="AH71">
        <v>19.2</v>
      </c>
      <c r="AI71">
        <v>7</v>
      </c>
    </row>
    <row r="72" spans="1:35" ht="21" x14ac:dyDescent="0.3">
      <c r="A72" t="s">
        <v>560</v>
      </c>
      <c r="B72" s="11">
        <v>70</v>
      </c>
      <c r="C72">
        <v>1013</v>
      </c>
      <c r="D72">
        <v>71</v>
      </c>
      <c r="E72" s="4">
        <v>44639</v>
      </c>
      <c r="F72" t="s">
        <v>62</v>
      </c>
      <c r="G72" t="s">
        <v>37</v>
      </c>
      <c r="H72" t="s">
        <v>155</v>
      </c>
      <c r="I72" t="s">
        <v>230</v>
      </c>
      <c r="J72" t="s">
        <v>41</v>
      </c>
      <c r="K72" s="9">
        <v>1.5256944444444445</v>
      </c>
      <c r="L72">
        <v>10</v>
      </c>
      <c r="M72">
        <v>15</v>
      </c>
      <c r="N72">
        <v>0.66700000000000004</v>
      </c>
      <c r="O72">
        <v>2</v>
      </c>
      <c r="P72">
        <v>3</v>
      </c>
      <c r="Q72">
        <v>0.66700000000000004</v>
      </c>
      <c r="R72">
        <v>8</v>
      </c>
      <c r="S72">
        <v>12</v>
      </c>
      <c r="T72">
        <v>0.66700000000000004</v>
      </c>
      <c r="U72">
        <v>0.73299999999999998</v>
      </c>
      <c r="V72">
        <v>0</v>
      </c>
      <c r="W72">
        <v>0</v>
      </c>
      <c r="Y72">
        <v>2</v>
      </c>
      <c r="Z72">
        <v>8</v>
      </c>
      <c r="AA72">
        <v>10</v>
      </c>
      <c r="AB72">
        <v>8</v>
      </c>
      <c r="AC72">
        <v>1</v>
      </c>
      <c r="AD72">
        <v>1</v>
      </c>
      <c r="AE72">
        <v>5</v>
      </c>
      <c r="AF72">
        <v>3</v>
      </c>
      <c r="AG72">
        <v>22</v>
      </c>
      <c r="AH72">
        <v>20.399999999999999</v>
      </c>
      <c r="AI72">
        <v>-1</v>
      </c>
    </row>
    <row r="73" spans="1:35" ht="21" x14ac:dyDescent="0.3">
      <c r="A73" t="s">
        <v>560</v>
      </c>
      <c r="B73" s="11">
        <v>71</v>
      </c>
      <c r="C73">
        <v>1014</v>
      </c>
      <c r="D73">
        <v>72</v>
      </c>
      <c r="E73" s="4">
        <v>44641</v>
      </c>
      <c r="F73" t="s">
        <v>62</v>
      </c>
      <c r="G73" t="s">
        <v>37</v>
      </c>
      <c r="H73" t="s">
        <v>87</v>
      </c>
      <c r="I73" t="s">
        <v>258</v>
      </c>
      <c r="J73" t="s">
        <v>41</v>
      </c>
      <c r="K73" s="9">
        <v>1.4722222222222223</v>
      </c>
      <c r="L73">
        <v>7</v>
      </c>
      <c r="M73">
        <v>14</v>
      </c>
      <c r="N73">
        <v>0.5</v>
      </c>
      <c r="O73">
        <v>2</v>
      </c>
      <c r="P73">
        <v>6</v>
      </c>
      <c r="Q73">
        <v>0.33300000000000002</v>
      </c>
      <c r="R73">
        <v>5</v>
      </c>
      <c r="S73">
        <v>8</v>
      </c>
      <c r="T73">
        <v>0.625</v>
      </c>
      <c r="U73">
        <v>0.57099999999999995</v>
      </c>
      <c r="V73">
        <v>4</v>
      </c>
      <c r="W73">
        <v>7</v>
      </c>
      <c r="X73">
        <v>0.57099999999999995</v>
      </c>
      <c r="Y73">
        <v>0</v>
      </c>
      <c r="Z73">
        <v>5</v>
      </c>
      <c r="AA73">
        <v>5</v>
      </c>
      <c r="AB73">
        <v>11</v>
      </c>
      <c r="AC73">
        <v>1</v>
      </c>
      <c r="AD73">
        <v>0</v>
      </c>
      <c r="AE73">
        <v>1</v>
      </c>
      <c r="AF73">
        <v>4</v>
      </c>
      <c r="AG73">
        <v>20</v>
      </c>
      <c r="AH73">
        <v>19.399999999999999</v>
      </c>
      <c r="AI73">
        <v>23</v>
      </c>
    </row>
    <row r="74" spans="1:35" ht="21" x14ac:dyDescent="0.3">
      <c r="A74" t="s">
        <v>560</v>
      </c>
      <c r="B74" s="11">
        <v>72</v>
      </c>
      <c r="C74">
        <v>1015</v>
      </c>
      <c r="D74">
        <v>73</v>
      </c>
      <c r="E74" s="4">
        <v>44643</v>
      </c>
      <c r="F74" t="s">
        <v>62</v>
      </c>
      <c r="H74" t="s">
        <v>94</v>
      </c>
      <c r="I74" t="s">
        <v>173</v>
      </c>
      <c r="J74" t="s">
        <v>41</v>
      </c>
      <c r="K74" s="9">
        <v>1.3701388888888888</v>
      </c>
      <c r="L74">
        <v>10</v>
      </c>
      <c r="M74">
        <v>20</v>
      </c>
      <c r="N74">
        <v>0.5</v>
      </c>
      <c r="O74">
        <v>2</v>
      </c>
      <c r="P74">
        <v>5</v>
      </c>
      <c r="Q74">
        <v>0.4</v>
      </c>
      <c r="R74">
        <v>8</v>
      </c>
      <c r="S74">
        <v>15</v>
      </c>
      <c r="T74">
        <v>0.53300000000000003</v>
      </c>
      <c r="U74">
        <v>0.55000000000000004</v>
      </c>
      <c r="V74">
        <v>2</v>
      </c>
      <c r="W74">
        <v>5</v>
      </c>
      <c r="X74">
        <v>0.4</v>
      </c>
      <c r="Y74">
        <v>2</v>
      </c>
      <c r="Z74">
        <v>7</v>
      </c>
      <c r="AA74">
        <v>9</v>
      </c>
      <c r="AB74">
        <v>8</v>
      </c>
      <c r="AC74">
        <v>1</v>
      </c>
      <c r="AD74">
        <v>0</v>
      </c>
      <c r="AE74">
        <v>7</v>
      </c>
      <c r="AF74">
        <v>2</v>
      </c>
      <c r="AG74">
        <v>24</v>
      </c>
      <c r="AH74">
        <v>15.1</v>
      </c>
      <c r="AI74">
        <v>-12</v>
      </c>
    </row>
    <row r="75" spans="1:35" ht="21" x14ac:dyDescent="0.3">
      <c r="A75" t="s">
        <v>560</v>
      </c>
      <c r="B75" s="11">
        <v>73</v>
      </c>
      <c r="C75">
        <v>1016</v>
      </c>
      <c r="D75">
        <v>74</v>
      </c>
      <c r="E75" s="4">
        <v>44647</v>
      </c>
      <c r="F75" t="s">
        <v>62</v>
      </c>
      <c r="G75" t="s">
        <v>37</v>
      </c>
      <c r="H75" t="s">
        <v>74</v>
      </c>
      <c r="I75" t="s">
        <v>125</v>
      </c>
      <c r="J75" t="s">
        <v>41</v>
      </c>
      <c r="K75" s="9">
        <v>1.320138888888889</v>
      </c>
      <c r="L75">
        <v>8</v>
      </c>
      <c r="M75">
        <v>15</v>
      </c>
      <c r="N75">
        <v>0.53300000000000003</v>
      </c>
      <c r="O75">
        <v>2</v>
      </c>
      <c r="P75">
        <v>5</v>
      </c>
      <c r="Q75">
        <v>0.4</v>
      </c>
      <c r="R75">
        <v>6</v>
      </c>
      <c r="S75">
        <v>10</v>
      </c>
      <c r="T75">
        <v>0.6</v>
      </c>
      <c r="U75">
        <v>0.6</v>
      </c>
      <c r="V75">
        <v>0</v>
      </c>
      <c r="W75">
        <v>0</v>
      </c>
      <c r="Y75">
        <v>3</v>
      </c>
      <c r="Z75">
        <v>4</v>
      </c>
      <c r="AA75">
        <v>7</v>
      </c>
      <c r="AB75">
        <v>6</v>
      </c>
      <c r="AC75">
        <v>1</v>
      </c>
      <c r="AD75">
        <v>0</v>
      </c>
      <c r="AE75">
        <v>3</v>
      </c>
      <c r="AF75">
        <v>2</v>
      </c>
      <c r="AG75">
        <v>18</v>
      </c>
      <c r="AH75">
        <v>15.4</v>
      </c>
      <c r="AI75">
        <v>-18</v>
      </c>
    </row>
    <row r="76" spans="1:35" ht="21" x14ac:dyDescent="0.3">
      <c r="A76" t="s">
        <v>560</v>
      </c>
      <c r="B76" s="11">
        <v>74</v>
      </c>
      <c r="C76">
        <v>1017</v>
      </c>
      <c r="D76">
        <v>75</v>
      </c>
      <c r="E76" s="4">
        <v>44649</v>
      </c>
      <c r="F76" t="s">
        <v>62</v>
      </c>
      <c r="G76" t="s">
        <v>37</v>
      </c>
      <c r="H76" t="s">
        <v>49</v>
      </c>
      <c r="I76" t="s">
        <v>259</v>
      </c>
      <c r="J76" t="s">
        <v>41</v>
      </c>
      <c r="K76" s="9">
        <v>1.3381944444444445</v>
      </c>
      <c r="L76">
        <v>9</v>
      </c>
      <c r="M76">
        <v>17</v>
      </c>
      <c r="N76">
        <v>0.52900000000000003</v>
      </c>
      <c r="O76">
        <v>1</v>
      </c>
      <c r="P76">
        <v>5</v>
      </c>
      <c r="Q76">
        <v>0.2</v>
      </c>
      <c r="R76">
        <v>8</v>
      </c>
      <c r="S76">
        <v>12</v>
      </c>
      <c r="T76">
        <v>0.66700000000000004</v>
      </c>
      <c r="U76">
        <v>0.55900000000000005</v>
      </c>
      <c r="V76">
        <v>6</v>
      </c>
      <c r="W76">
        <v>6</v>
      </c>
      <c r="X76">
        <v>1</v>
      </c>
      <c r="Y76">
        <v>0</v>
      </c>
      <c r="Z76">
        <v>8</v>
      </c>
      <c r="AA76">
        <v>8</v>
      </c>
      <c r="AB76">
        <v>6</v>
      </c>
      <c r="AC76">
        <v>0</v>
      </c>
      <c r="AD76">
        <v>0</v>
      </c>
      <c r="AE76">
        <v>2</v>
      </c>
      <c r="AF76">
        <v>3</v>
      </c>
      <c r="AG76">
        <v>25</v>
      </c>
      <c r="AH76">
        <v>20.100000000000001</v>
      </c>
      <c r="AI76">
        <v>-25</v>
      </c>
    </row>
    <row r="77" spans="1:35" ht="21" x14ac:dyDescent="0.3">
      <c r="A77" t="s">
        <v>560</v>
      </c>
      <c r="B77" s="11">
        <v>75</v>
      </c>
      <c r="C77">
        <v>1018</v>
      </c>
      <c r="D77">
        <v>76</v>
      </c>
      <c r="E77" s="4">
        <v>44651</v>
      </c>
      <c r="F77" t="s">
        <v>62</v>
      </c>
      <c r="G77" t="s">
        <v>37</v>
      </c>
      <c r="H77" t="s">
        <v>118</v>
      </c>
      <c r="I77" t="s">
        <v>260</v>
      </c>
      <c r="J77" t="s">
        <v>41</v>
      </c>
      <c r="K77" s="9">
        <v>1.4368055555555554</v>
      </c>
      <c r="L77">
        <v>9</v>
      </c>
      <c r="M77">
        <v>18</v>
      </c>
      <c r="N77">
        <v>0.5</v>
      </c>
      <c r="O77">
        <v>0</v>
      </c>
      <c r="P77">
        <v>2</v>
      </c>
      <c r="Q77">
        <v>0</v>
      </c>
      <c r="R77">
        <v>9</v>
      </c>
      <c r="S77">
        <v>16</v>
      </c>
      <c r="T77">
        <v>0.56299999999999994</v>
      </c>
      <c r="U77">
        <v>0.5</v>
      </c>
      <c r="V77">
        <v>6</v>
      </c>
      <c r="W77">
        <v>10</v>
      </c>
      <c r="X77">
        <v>0.6</v>
      </c>
      <c r="Y77">
        <v>1</v>
      </c>
      <c r="Z77">
        <v>5</v>
      </c>
      <c r="AA77">
        <v>6</v>
      </c>
      <c r="AB77">
        <v>7</v>
      </c>
      <c r="AC77">
        <v>0</v>
      </c>
      <c r="AD77">
        <v>0</v>
      </c>
      <c r="AE77">
        <v>3</v>
      </c>
      <c r="AF77">
        <v>2</v>
      </c>
      <c r="AG77">
        <v>24</v>
      </c>
      <c r="AH77">
        <v>16.7</v>
      </c>
      <c r="AI77">
        <v>-17</v>
      </c>
    </row>
    <row r="78" spans="1:35" ht="21" x14ac:dyDescent="0.3">
      <c r="A78" t="s">
        <v>560</v>
      </c>
      <c r="B78" s="11">
        <v>76</v>
      </c>
      <c r="C78">
        <v>1019</v>
      </c>
      <c r="D78">
        <v>77</v>
      </c>
      <c r="E78" s="4">
        <v>44652</v>
      </c>
      <c r="F78" t="s">
        <v>62</v>
      </c>
      <c r="H78" t="s">
        <v>74</v>
      </c>
      <c r="I78" t="s">
        <v>261</v>
      </c>
      <c r="J78" t="s">
        <v>41</v>
      </c>
      <c r="K78" s="9">
        <v>1.2743055555555556</v>
      </c>
      <c r="L78">
        <v>5</v>
      </c>
      <c r="M78">
        <v>15</v>
      </c>
      <c r="N78">
        <v>0.33300000000000002</v>
      </c>
      <c r="O78">
        <v>2</v>
      </c>
      <c r="P78">
        <v>4</v>
      </c>
      <c r="Q78">
        <v>0.5</v>
      </c>
      <c r="R78">
        <v>3</v>
      </c>
      <c r="S78">
        <v>11</v>
      </c>
      <c r="T78">
        <v>0.27300000000000002</v>
      </c>
      <c r="U78">
        <v>0.4</v>
      </c>
      <c r="V78">
        <v>0</v>
      </c>
      <c r="W78">
        <v>0</v>
      </c>
      <c r="Y78">
        <v>2</v>
      </c>
      <c r="Z78">
        <v>2</v>
      </c>
      <c r="AA78">
        <v>4</v>
      </c>
      <c r="AB78">
        <v>5</v>
      </c>
      <c r="AC78">
        <v>0</v>
      </c>
      <c r="AD78">
        <v>0</v>
      </c>
      <c r="AE78">
        <v>1</v>
      </c>
      <c r="AF78">
        <v>6</v>
      </c>
      <c r="AG78">
        <v>12</v>
      </c>
      <c r="AH78">
        <v>5.6</v>
      </c>
      <c r="AI78">
        <v>-12</v>
      </c>
    </row>
    <row r="79" spans="1:35" ht="21" x14ac:dyDescent="0.3">
      <c r="A79" t="s">
        <v>560</v>
      </c>
      <c r="B79" s="11">
        <v>77</v>
      </c>
      <c r="C79">
        <v>1020</v>
      </c>
      <c r="D79">
        <v>78</v>
      </c>
      <c r="E79" s="4">
        <v>44654</v>
      </c>
      <c r="F79" t="s">
        <v>62</v>
      </c>
      <c r="H79" t="s">
        <v>34</v>
      </c>
      <c r="I79" t="s">
        <v>262</v>
      </c>
      <c r="J79" t="s">
        <v>41</v>
      </c>
      <c r="K79" s="9">
        <v>1.4069444444444446</v>
      </c>
      <c r="L79">
        <v>11</v>
      </c>
      <c r="M79">
        <v>15</v>
      </c>
      <c r="N79">
        <v>0.73299999999999998</v>
      </c>
      <c r="O79">
        <v>0</v>
      </c>
      <c r="P79">
        <v>1</v>
      </c>
      <c r="Q79">
        <v>0</v>
      </c>
      <c r="R79">
        <v>11</v>
      </c>
      <c r="S79">
        <v>14</v>
      </c>
      <c r="T79">
        <v>0.78600000000000003</v>
      </c>
      <c r="U79">
        <v>0.73299999999999998</v>
      </c>
      <c r="V79">
        <v>5</v>
      </c>
      <c r="W79">
        <v>10</v>
      </c>
      <c r="X79">
        <v>0.5</v>
      </c>
      <c r="Y79">
        <v>2</v>
      </c>
      <c r="Z79">
        <v>8</v>
      </c>
      <c r="AA79">
        <v>10</v>
      </c>
      <c r="AB79">
        <v>7</v>
      </c>
      <c r="AC79">
        <v>2</v>
      </c>
      <c r="AD79">
        <v>1</v>
      </c>
      <c r="AE79">
        <v>2</v>
      </c>
      <c r="AF79">
        <v>5</v>
      </c>
      <c r="AG79">
        <v>27</v>
      </c>
      <c r="AH79">
        <v>26.3</v>
      </c>
      <c r="AI79">
        <v>1</v>
      </c>
    </row>
    <row r="80" spans="1:35" ht="21" x14ac:dyDescent="0.3">
      <c r="A80" t="s">
        <v>560</v>
      </c>
      <c r="B80" s="11">
        <v>78</v>
      </c>
      <c r="C80">
        <v>1021</v>
      </c>
      <c r="D80">
        <v>79</v>
      </c>
      <c r="E80" s="4">
        <v>44656</v>
      </c>
      <c r="F80" t="s">
        <v>62</v>
      </c>
      <c r="G80" t="s">
        <v>37</v>
      </c>
      <c r="H80" t="s">
        <v>99</v>
      </c>
      <c r="I80" t="s">
        <v>161</v>
      </c>
      <c r="J80" t="s">
        <v>41</v>
      </c>
      <c r="K80" s="9">
        <v>1.4270833333333333</v>
      </c>
      <c r="L80">
        <v>10</v>
      </c>
      <c r="M80">
        <v>20</v>
      </c>
      <c r="N80">
        <v>0.5</v>
      </c>
      <c r="O80">
        <v>2</v>
      </c>
      <c r="P80">
        <v>3</v>
      </c>
      <c r="Q80">
        <v>0.66700000000000004</v>
      </c>
      <c r="R80">
        <v>8</v>
      </c>
      <c r="S80">
        <v>17</v>
      </c>
      <c r="T80">
        <v>0.47099999999999997</v>
      </c>
      <c r="U80">
        <v>0.55000000000000004</v>
      </c>
      <c r="V80">
        <v>6</v>
      </c>
      <c r="W80">
        <v>8</v>
      </c>
      <c r="X80">
        <v>0.75</v>
      </c>
      <c r="Y80">
        <v>1</v>
      </c>
      <c r="Z80">
        <v>4</v>
      </c>
      <c r="AA80">
        <v>5</v>
      </c>
      <c r="AB80">
        <v>3</v>
      </c>
      <c r="AC80">
        <v>0</v>
      </c>
      <c r="AD80">
        <v>0</v>
      </c>
      <c r="AE80">
        <v>6</v>
      </c>
      <c r="AF80">
        <v>2</v>
      </c>
      <c r="AG80">
        <v>28</v>
      </c>
      <c r="AH80">
        <v>14.4</v>
      </c>
      <c r="AI80">
        <v>-9</v>
      </c>
    </row>
    <row r="81" spans="1:35" ht="21" x14ac:dyDescent="0.3">
      <c r="A81" t="s">
        <v>560</v>
      </c>
      <c r="B81" s="11">
        <v>78</v>
      </c>
      <c r="D81">
        <v>80</v>
      </c>
      <c r="E81" s="4">
        <v>44658</v>
      </c>
      <c r="F81" t="s">
        <v>62</v>
      </c>
      <c r="G81" t="s">
        <v>37</v>
      </c>
      <c r="H81" t="s">
        <v>33</v>
      </c>
      <c r="I81" t="s">
        <v>263</v>
      </c>
      <c r="J81" t="s">
        <v>91</v>
      </c>
      <c r="K81" t="s">
        <v>91</v>
      </c>
      <c r="L81" t="s">
        <v>91</v>
      </c>
      <c r="M81" t="s">
        <v>91</v>
      </c>
      <c r="N81" t="s">
        <v>91</v>
      </c>
      <c r="O81" t="s">
        <v>91</v>
      </c>
      <c r="P81" t="s">
        <v>91</v>
      </c>
      <c r="Q81" t="s">
        <v>91</v>
      </c>
      <c r="R81" t="s">
        <v>91</v>
      </c>
      <c r="S81" t="s">
        <v>91</v>
      </c>
      <c r="T81" t="s">
        <v>91</v>
      </c>
      <c r="U81" t="s">
        <v>91</v>
      </c>
      <c r="V81" t="s">
        <v>91</v>
      </c>
      <c r="W81" t="s">
        <v>91</v>
      </c>
      <c r="X81" t="s">
        <v>91</v>
      </c>
      <c r="Y81" t="s">
        <v>91</v>
      </c>
      <c r="Z81" t="s">
        <v>91</v>
      </c>
      <c r="AA81" t="s">
        <v>91</v>
      </c>
      <c r="AB81" t="s">
        <v>91</v>
      </c>
      <c r="AC81" t="s">
        <v>91</v>
      </c>
      <c r="AD81" t="s">
        <v>91</v>
      </c>
      <c r="AE81" t="s">
        <v>91</v>
      </c>
      <c r="AF81" t="s">
        <v>91</v>
      </c>
      <c r="AG81" t="s">
        <v>91</v>
      </c>
      <c r="AH81" t="s">
        <v>91</v>
      </c>
      <c r="AI81" t="s">
        <v>91</v>
      </c>
    </row>
    <row r="82" spans="1:35" ht="21" x14ac:dyDescent="0.3">
      <c r="A82" t="s">
        <v>560</v>
      </c>
      <c r="B82" s="11">
        <v>78</v>
      </c>
      <c r="D82">
        <v>81</v>
      </c>
      <c r="E82" s="4">
        <v>44659</v>
      </c>
      <c r="F82" t="s">
        <v>62</v>
      </c>
      <c r="H82" t="s">
        <v>68</v>
      </c>
      <c r="I82" t="s">
        <v>264</v>
      </c>
      <c r="J82" t="s">
        <v>91</v>
      </c>
      <c r="K82" t="s">
        <v>91</v>
      </c>
      <c r="L82" t="s">
        <v>91</v>
      </c>
      <c r="M82" t="s">
        <v>91</v>
      </c>
      <c r="N82" t="s">
        <v>91</v>
      </c>
      <c r="O82" t="s">
        <v>91</v>
      </c>
      <c r="P82" t="s">
        <v>91</v>
      </c>
      <c r="Q82" t="s">
        <v>91</v>
      </c>
      <c r="R82" t="s">
        <v>91</v>
      </c>
      <c r="S82" t="s">
        <v>91</v>
      </c>
      <c r="T82" t="s">
        <v>91</v>
      </c>
      <c r="U82" t="s">
        <v>91</v>
      </c>
      <c r="V82" t="s">
        <v>91</v>
      </c>
      <c r="W82" t="s">
        <v>91</v>
      </c>
      <c r="X82" t="s">
        <v>91</v>
      </c>
      <c r="Y82" t="s">
        <v>91</v>
      </c>
      <c r="Z82" t="s">
        <v>91</v>
      </c>
      <c r="AA82" t="s">
        <v>91</v>
      </c>
      <c r="AB82" t="s">
        <v>91</v>
      </c>
      <c r="AC82" t="s">
        <v>91</v>
      </c>
      <c r="AD82" t="s">
        <v>91</v>
      </c>
      <c r="AE82" t="s">
        <v>91</v>
      </c>
      <c r="AF82" t="s">
        <v>91</v>
      </c>
      <c r="AG82" t="s">
        <v>91</v>
      </c>
      <c r="AH82" t="s">
        <v>91</v>
      </c>
      <c r="AI82" t="s">
        <v>91</v>
      </c>
    </row>
    <row r="83" spans="1:35" ht="21" x14ac:dyDescent="0.3">
      <c r="A83" t="s">
        <v>560</v>
      </c>
      <c r="B83" s="11">
        <v>78</v>
      </c>
      <c r="D83">
        <v>82</v>
      </c>
      <c r="E83" s="4">
        <v>44661</v>
      </c>
      <c r="F83" t="s">
        <v>62</v>
      </c>
      <c r="G83" t="s">
        <v>37</v>
      </c>
      <c r="H83" t="s">
        <v>34</v>
      </c>
      <c r="I83" t="s">
        <v>265</v>
      </c>
      <c r="J83" t="s">
        <v>91</v>
      </c>
      <c r="K83" t="s">
        <v>91</v>
      </c>
      <c r="L83" t="s">
        <v>91</v>
      </c>
      <c r="M83" t="s">
        <v>91</v>
      </c>
      <c r="N83" t="s">
        <v>91</v>
      </c>
      <c r="O83" t="s">
        <v>91</v>
      </c>
      <c r="P83" t="s">
        <v>91</v>
      </c>
      <c r="Q83" t="s">
        <v>91</v>
      </c>
      <c r="R83" t="s">
        <v>91</v>
      </c>
      <c r="S83" t="s">
        <v>91</v>
      </c>
      <c r="T83" t="s">
        <v>91</v>
      </c>
      <c r="U83" t="s">
        <v>91</v>
      </c>
      <c r="V83" t="s">
        <v>91</v>
      </c>
      <c r="W83" t="s">
        <v>91</v>
      </c>
      <c r="X83" t="s">
        <v>91</v>
      </c>
      <c r="Y83" t="s">
        <v>91</v>
      </c>
      <c r="Z83" t="s">
        <v>91</v>
      </c>
      <c r="AA83" t="s">
        <v>91</v>
      </c>
      <c r="AB83" t="s">
        <v>91</v>
      </c>
      <c r="AC83" t="s">
        <v>91</v>
      </c>
      <c r="AD83" t="s">
        <v>91</v>
      </c>
      <c r="AE83" t="s">
        <v>91</v>
      </c>
      <c r="AF83" t="s">
        <v>91</v>
      </c>
      <c r="AG83" t="s">
        <v>91</v>
      </c>
      <c r="AH83" t="s">
        <v>91</v>
      </c>
      <c r="AI83" t="s">
        <v>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8B77-94AC-3E4B-8E4D-9E17BF26F086}">
  <dimension ref="A1:AI83"/>
  <sheetViews>
    <sheetView zoomScale="182" workbookViewId="0">
      <selection activeCell="H2" sqref="H2:H83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t="s">
        <v>561</v>
      </c>
      <c r="B2" s="11">
        <v>1</v>
      </c>
      <c r="C2">
        <v>629</v>
      </c>
      <c r="D2">
        <v>1</v>
      </c>
      <c r="E2" s="4">
        <v>44490</v>
      </c>
      <c r="F2" t="s">
        <v>64</v>
      </c>
      <c r="G2" t="s">
        <v>37</v>
      </c>
      <c r="H2" t="s">
        <v>33</v>
      </c>
      <c r="I2" t="s">
        <v>368</v>
      </c>
      <c r="J2" t="s">
        <v>41</v>
      </c>
      <c r="K2" s="9">
        <v>1.6368055555555556</v>
      </c>
      <c r="L2">
        <v>4</v>
      </c>
      <c r="M2">
        <v>19</v>
      </c>
      <c r="N2">
        <v>0.21099999999999999</v>
      </c>
      <c r="O2">
        <v>3</v>
      </c>
      <c r="P2">
        <v>9</v>
      </c>
      <c r="Q2">
        <v>0.33300000000000002</v>
      </c>
      <c r="R2">
        <v>1</v>
      </c>
      <c r="S2">
        <v>10</v>
      </c>
      <c r="T2">
        <v>0.1</v>
      </c>
      <c r="U2">
        <v>0.28899999999999998</v>
      </c>
      <c r="V2">
        <v>0</v>
      </c>
      <c r="W2">
        <v>0</v>
      </c>
      <c r="Y2">
        <v>1</v>
      </c>
      <c r="Z2">
        <v>4</v>
      </c>
      <c r="AA2">
        <v>5</v>
      </c>
      <c r="AB2">
        <v>6</v>
      </c>
      <c r="AC2">
        <v>1</v>
      </c>
      <c r="AD2">
        <v>0</v>
      </c>
      <c r="AE2">
        <v>1</v>
      </c>
      <c r="AF2">
        <v>3</v>
      </c>
      <c r="AG2">
        <v>11</v>
      </c>
      <c r="AH2">
        <v>4.2</v>
      </c>
      <c r="AI2">
        <v>-9</v>
      </c>
    </row>
    <row r="3" spans="1:35" ht="21" x14ac:dyDescent="0.3">
      <c r="A3" t="s">
        <v>561</v>
      </c>
      <c r="B3" s="11">
        <v>2</v>
      </c>
      <c r="C3">
        <v>630</v>
      </c>
      <c r="D3">
        <v>2</v>
      </c>
      <c r="E3" s="4">
        <v>44492</v>
      </c>
      <c r="F3" t="s">
        <v>64</v>
      </c>
      <c r="H3" t="s">
        <v>42</v>
      </c>
      <c r="I3" t="s">
        <v>369</v>
      </c>
      <c r="J3" t="s">
        <v>41</v>
      </c>
      <c r="K3" s="9">
        <v>1.5111111111111111</v>
      </c>
      <c r="L3">
        <v>7</v>
      </c>
      <c r="M3">
        <v>17</v>
      </c>
      <c r="N3">
        <v>0.41199999999999998</v>
      </c>
      <c r="O3">
        <v>3</v>
      </c>
      <c r="P3">
        <v>8</v>
      </c>
      <c r="Q3">
        <v>0.375</v>
      </c>
      <c r="R3">
        <v>4</v>
      </c>
      <c r="S3">
        <v>9</v>
      </c>
      <c r="T3">
        <v>0.44400000000000001</v>
      </c>
      <c r="U3">
        <v>0.5</v>
      </c>
      <c r="V3">
        <v>0</v>
      </c>
      <c r="W3">
        <v>0</v>
      </c>
      <c r="Y3">
        <v>0</v>
      </c>
      <c r="Z3">
        <v>1</v>
      </c>
      <c r="AA3">
        <v>1</v>
      </c>
      <c r="AB3">
        <v>2</v>
      </c>
      <c r="AC3">
        <v>1</v>
      </c>
      <c r="AD3">
        <v>0</v>
      </c>
      <c r="AE3">
        <v>0</v>
      </c>
      <c r="AF3">
        <v>3</v>
      </c>
      <c r="AG3">
        <v>17</v>
      </c>
      <c r="AH3">
        <v>9.4</v>
      </c>
      <c r="AI3">
        <v>-8</v>
      </c>
    </row>
    <row r="4" spans="1:35" ht="21" x14ac:dyDescent="0.3">
      <c r="A4" t="s">
        <v>561</v>
      </c>
      <c r="B4" s="11">
        <v>3</v>
      </c>
      <c r="C4">
        <v>631</v>
      </c>
      <c r="D4">
        <v>3</v>
      </c>
      <c r="E4" s="4">
        <v>44494</v>
      </c>
      <c r="F4" t="s">
        <v>64</v>
      </c>
      <c r="H4" t="s">
        <v>96</v>
      </c>
      <c r="I4" t="s">
        <v>370</v>
      </c>
      <c r="J4" t="s">
        <v>41</v>
      </c>
      <c r="K4" s="9">
        <v>1.1118055555555555</v>
      </c>
      <c r="L4">
        <v>6</v>
      </c>
      <c r="M4">
        <v>20</v>
      </c>
      <c r="N4">
        <v>0.3</v>
      </c>
      <c r="O4">
        <v>3</v>
      </c>
      <c r="P4">
        <v>15</v>
      </c>
      <c r="Q4">
        <v>0.2</v>
      </c>
      <c r="R4">
        <v>3</v>
      </c>
      <c r="S4">
        <v>5</v>
      </c>
      <c r="T4">
        <v>0.6</v>
      </c>
      <c r="U4">
        <v>0.375</v>
      </c>
      <c r="V4">
        <v>3</v>
      </c>
      <c r="W4">
        <v>4</v>
      </c>
      <c r="X4">
        <v>0.75</v>
      </c>
      <c r="Y4">
        <v>1</v>
      </c>
      <c r="Z4">
        <v>4</v>
      </c>
      <c r="AA4">
        <v>5</v>
      </c>
      <c r="AB4">
        <v>4</v>
      </c>
      <c r="AC4">
        <v>0</v>
      </c>
      <c r="AD4">
        <v>0</v>
      </c>
      <c r="AE4">
        <v>1</v>
      </c>
      <c r="AF4">
        <v>1</v>
      </c>
      <c r="AG4">
        <v>18</v>
      </c>
      <c r="AH4">
        <v>9.3000000000000007</v>
      </c>
      <c r="AI4">
        <v>28</v>
      </c>
    </row>
    <row r="5" spans="1:35" ht="21" x14ac:dyDescent="0.3">
      <c r="A5" t="s">
        <v>561</v>
      </c>
      <c r="B5" s="11">
        <v>4</v>
      </c>
      <c r="C5">
        <v>632</v>
      </c>
      <c r="D5">
        <v>4</v>
      </c>
      <c r="E5" s="4">
        <v>44496</v>
      </c>
      <c r="F5" t="s">
        <v>64</v>
      </c>
      <c r="H5" t="s">
        <v>87</v>
      </c>
      <c r="I5" t="s">
        <v>371</v>
      </c>
      <c r="J5" t="s">
        <v>41</v>
      </c>
      <c r="K5" s="9">
        <v>1.4159722222222222</v>
      </c>
      <c r="L5">
        <v>6</v>
      </c>
      <c r="M5">
        <v>15</v>
      </c>
      <c r="N5">
        <v>0.4</v>
      </c>
      <c r="O5">
        <v>3</v>
      </c>
      <c r="P5">
        <v>8</v>
      </c>
      <c r="Q5">
        <v>0.375</v>
      </c>
      <c r="R5">
        <v>3</v>
      </c>
      <c r="S5">
        <v>7</v>
      </c>
      <c r="T5">
        <v>0.42899999999999999</v>
      </c>
      <c r="U5">
        <v>0.5</v>
      </c>
      <c r="V5">
        <v>1</v>
      </c>
      <c r="W5">
        <v>1</v>
      </c>
      <c r="X5">
        <v>1</v>
      </c>
      <c r="Y5">
        <v>4</v>
      </c>
      <c r="Z5">
        <v>0</v>
      </c>
      <c r="AA5">
        <v>4</v>
      </c>
      <c r="AB5">
        <v>3</v>
      </c>
      <c r="AC5">
        <v>1</v>
      </c>
      <c r="AD5">
        <v>0</v>
      </c>
      <c r="AE5">
        <v>1</v>
      </c>
      <c r="AF5">
        <v>3</v>
      </c>
      <c r="AG5">
        <v>16</v>
      </c>
      <c r="AH5">
        <v>11.6</v>
      </c>
      <c r="AI5">
        <v>-1</v>
      </c>
    </row>
    <row r="6" spans="1:35" ht="21" x14ac:dyDescent="0.3">
      <c r="A6" t="s">
        <v>561</v>
      </c>
      <c r="B6" s="11">
        <v>5</v>
      </c>
      <c r="C6">
        <v>633</v>
      </c>
      <c r="D6">
        <v>5</v>
      </c>
      <c r="E6" s="4">
        <v>44498</v>
      </c>
      <c r="F6" t="s">
        <v>64</v>
      </c>
      <c r="G6" t="s">
        <v>37</v>
      </c>
      <c r="H6" t="s">
        <v>96</v>
      </c>
      <c r="I6" t="s">
        <v>372</v>
      </c>
      <c r="J6" t="s">
        <v>41</v>
      </c>
      <c r="K6" s="9">
        <v>1.4090277777777778</v>
      </c>
      <c r="L6">
        <v>3</v>
      </c>
      <c r="M6">
        <v>12</v>
      </c>
      <c r="N6">
        <v>0.25</v>
      </c>
      <c r="O6">
        <v>2</v>
      </c>
      <c r="P6">
        <v>8</v>
      </c>
      <c r="Q6">
        <v>0.25</v>
      </c>
      <c r="R6">
        <v>1</v>
      </c>
      <c r="S6">
        <v>4</v>
      </c>
      <c r="T6">
        <v>0.25</v>
      </c>
      <c r="U6">
        <v>0.33300000000000002</v>
      </c>
      <c r="V6">
        <v>0</v>
      </c>
      <c r="W6">
        <v>0</v>
      </c>
      <c r="Y6">
        <v>0</v>
      </c>
      <c r="Z6">
        <v>4</v>
      </c>
      <c r="AA6">
        <v>4</v>
      </c>
      <c r="AB6">
        <v>4</v>
      </c>
      <c r="AC6">
        <v>1</v>
      </c>
      <c r="AD6">
        <v>0</v>
      </c>
      <c r="AE6">
        <v>2</v>
      </c>
      <c r="AF6">
        <v>1</v>
      </c>
      <c r="AG6">
        <v>8</v>
      </c>
      <c r="AH6">
        <v>3.4</v>
      </c>
      <c r="AI6">
        <v>-11</v>
      </c>
    </row>
    <row r="7" spans="1:35" ht="21" x14ac:dyDescent="0.3">
      <c r="A7" t="s">
        <v>561</v>
      </c>
      <c r="B7" s="11">
        <v>6</v>
      </c>
      <c r="C7">
        <v>634</v>
      </c>
      <c r="D7">
        <v>6</v>
      </c>
      <c r="E7" s="4">
        <v>44501</v>
      </c>
      <c r="F7" t="s">
        <v>64</v>
      </c>
      <c r="H7" t="s">
        <v>68</v>
      </c>
      <c r="I7" t="s">
        <v>241</v>
      </c>
      <c r="J7" t="s">
        <v>41</v>
      </c>
      <c r="K7" s="9">
        <v>1.6347222222222222</v>
      </c>
      <c r="L7">
        <v>5</v>
      </c>
      <c r="M7">
        <v>17</v>
      </c>
      <c r="N7">
        <v>0.29399999999999998</v>
      </c>
      <c r="O7">
        <v>2</v>
      </c>
      <c r="P7">
        <v>7</v>
      </c>
      <c r="Q7">
        <v>0.28599999999999998</v>
      </c>
      <c r="R7">
        <v>3</v>
      </c>
      <c r="S7">
        <v>10</v>
      </c>
      <c r="T7">
        <v>0.3</v>
      </c>
      <c r="U7">
        <v>0.35299999999999998</v>
      </c>
      <c r="V7">
        <v>3</v>
      </c>
      <c r="W7">
        <v>4</v>
      </c>
      <c r="X7">
        <v>0.75</v>
      </c>
      <c r="Y7">
        <v>0</v>
      </c>
      <c r="Z7">
        <v>3</v>
      </c>
      <c r="AA7">
        <v>3</v>
      </c>
      <c r="AB7">
        <v>2</v>
      </c>
      <c r="AC7">
        <v>0</v>
      </c>
      <c r="AD7">
        <v>0</v>
      </c>
      <c r="AE7">
        <v>2</v>
      </c>
      <c r="AF7">
        <v>0</v>
      </c>
      <c r="AG7">
        <v>15</v>
      </c>
      <c r="AH7">
        <v>5</v>
      </c>
      <c r="AI7">
        <v>4</v>
      </c>
    </row>
    <row r="8" spans="1:35" ht="21" x14ac:dyDescent="0.3">
      <c r="A8" t="s">
        <v>561</v>
      </c>
      <c r="B8" s="11">
        <v>7</v>
      </c>
      <c r="C8">
        <v>635</v>
      </c>
      <c r="D8">
        <v>7</v>
      </c>
      <c r="E8" s="4">
        <v>44503</v>
      </c>
      <c r="F8" t="s">
        <v>64</v>
      </c>
      <c r="G8" t="s">
        <v>37</v>
      </c>
      <c r="H8" t="s">
        <v>80</v>
      </c>
      <c r="I8" t="s">
        <v>373</v>
      </c>
      <c r="J8" t="s">
        <v>41</v>
      </c>
      <c r="K8" s="9">
        <v>1.5097222222222222</v>
      </c>
      <c r="L8">
        <v>11</v>
      </c>
      <c r="M8">
        <v>18</v>
      </c>
      <c r="N8">
        <v>0.61099999999999999</v>
      </c>
      <c r="O8">
        <v>7</v>
      </c>
      <c r="P8">
        <v>9</v>
      </c>
      <c r="Q8">
        <v>0.77800000000000002</v>
      </c>
      <c r="R8">
        <v>4</v>
      </c>
      <c r="S8">
        <v>9</v>
      </c>
      <c r="T8">
        <v>0.44400000000000001</v>
      </c>
      <c r="U8">
        <v>0.80600000000000005</v>
      </c>
      <c r="V8">
        <v>0</v>
      </c>
      <c r="W8">
        <v>0</v>
      </c>
      <c r="Y8">
        <v>0</v>
      </c>
      <c r="Z8">
        <v>5</v>
      </c>
      <c r="AA8">
        <v>5</v>
      </c>
      <c r="AB8">
        <v>8</v>
      </c>
      <c r="AC8">
        <v>1</v>
      </c>
      <c r="AD8">
        <v>0</v>
      </c>
      <c r="AE8">
        <v>3</v>
      </c>
      <c r="AF8">
        <v>1</v>
      </c>
      <c r="AG8">
        <v>29</v>
      </c>
      <c r="AH8">
        <v>25.5</v>
      </c>
      <c r="AI8">
        <v>12</v>
      </c>
    </row>
    <row r="9" spans="1:35" ht="21" x14ac:dyDescent="0.3">
      <c r="A9" t="s">
        <v>561</v>
      </c>
      <c r="B9" s="11">
        <v>8</v>
      </c>
      <c r="C9">
        <v>636</v>
      </c>
      <c r="D9">
        <v>8</v>
      </c>
      <c r="E9" s="4">
        <v>44505</v>
      </c>
      <c r="F9" t="s">
        <v>64</v>
      </c>
      <c r="G9" t="s">
        <v>37</v>
      </c>
      <c r="H9" t="s">
        <v>80</v>
      </c>
      <c r="I9" t="s">
        <v>374</v>
      </c>
      <c r="J9" t="s">
        <v>41</v>
      </c>
      <c r="K9" s="9">
        <v>1.5375000000000001</v>
      </c>
      <c r="L9">
        <v>8</v>
      </c>
      <c r="M9">
        <v>16</v>
      </c>
      <c r="N9">
        <v>0.5</v>
      </c>
      <c r="O9">
        <v>2</v>
      </c>
      <c r="P9">
        <v>8</v>
      </c>
      <c r="Q9">
        <v>0.25</v>
      </c>
      <c r="R9">
        <v>6</v>
      </c>
      <c r="S9">
        <v>8</v>
      </c>
      <c r="T9">
        <v>0.75</v>
      </c>
      <c r="U9">
        <v>0.56299999999999994</v>
      </c>
      <c r="V9">
        <v>2</v>
      </c>
      <c r="W9">
        <v>2</v>
      </c>
      <c r="X9">
        <v>1</v>
      </c>
      <c r="Y9">
        <v>1</v>
      </c>
      <c r="Z9">
        <v>3</v>
      </c>
      <c r="AA9">
        <v>4</v>
      </c>
      <c r="AB9">
        <v>4</v>
      </c>
      <c r="AC9">
        <v>0</v>
      </c>
      <c r="AD9">
        <v>0</v>
      </c>
      <c r="AE9">
        <v>2</v>
      </c>
      <c r="AF9">
        <v>2</v>
      </c>
      <c r="AG9">
        <v>20</v>
      </c>
      <c r="AH9">
        <v>13.6</v>
      </c>
      <c r="AI9">
        <v>14</v>
      </c>
    </row>
    <row r="10" spans="1:35" ht="21" x14ac:dyDescent="0.3">
      <c r="A10" t="s">
        <v>561</v>
      </c>
      <c r="B10" s="11">
        <v>9</v>
      </c>
      <c r="C10">
        <v>637</v>
      </c>
      <c r="D10">
        <v>9</v>
      </c>
      <c r="E10" s="4">
        <v>44507</v>
      </c>
      <c r="F10" t="s">
        <v>64</v>
      </c>
      <c r="H10" t="s">
        <v>72</v>
      </c>
      <c r="I10" t="s">
        <v>375</v>
      </c>
      <c r="J10" t="s">
        <v>41</v>
      </c>
      <c r="K10" s="9">
        <v>1.4798611111111111</v>
      </c>
      <c r="L10">
        <v>7</v>
      </c>
      <c r="M10">
        <v>18</v>
      </c>
      <c r="N10">
        <v>0.38900000000000001</v>
      </c>
      <c r="O10">
        <v>3</v>
      </c>
      <c r="P10">
        <v>11</v>
      </c>
      <c r="Q10">
        <v>0.27300000000000002</v>
      </c>
      <c r="R10">
        <v>4</v>
      </c>
      <c r="S10">
        <v>7</v>
      </c>
      <c r="T10">
        <v>0.57099999999999995</v>
      </c>
      <c r="U10">
        <v>0.47199999999999998</v>
      </c>
      <c r="V10">
        <v>2</v>
      </c>
      <c r="W10">
        <v>2</v>
      </c>
      <c r="X10">
        <v>1</v>
      </c>
      <c r="Y10">
        <v>0</v>
      </c>
      <c r="Z10">
        <v>2</v>
      </c>
      <c r="AA10">
        <v>2</v>
      </c>
      <c r="AB10">
        <v>6</v>
      </c>
      <c r="AC10">
        <v>1</v>
      </c>
      <c r="AD10">
        <v>0</v>
      </c>
      <c r="AE10">
        <v>3</v>
      </c>
      <c r="AF10">
        <v>0</v>
      </c>
      <c r="AG10">
        <v>19</v>
      </c>
      <c r="AH10">
        <v>12</v>
      </c>
      <c r="AI10">
        <v>14</v>
      </c>
    </row>
    <row r="11" spans="1:35" ht="21" x14ac:dyDescent="0.3">
      <c r="A11" t="s">
        <v>561</v>
      </c>
      <c r="B11" s="11">
        <v>10</v>
      </c>
      <c r="C11">
        <v>638</v>
      </c>
      <c r="D11">
        <v>10</v>
      </c>
      <c r="E11" s="4">
        <v>44509</v>
      </c>
      <c r="F11" t="s">
        <v>64</v>
      </c>
      <c r="H11" t="s">
        <v>96</v>
      </c>
      <c r="I11" t="s">
        <v>376</v>
      </c>
      <c r="J11" t="s">
        <v>41</v>
      </c>
      <c r="K11" s="9">
        <v>1.4576388888888889</v>
      </c>
      <c r="L11">
        <v>10</v>
      </c>
      <c r="M11">
        <v>20</v>
      </c>
      <c r="N11">
        <v>0.5</v>
      </c>
      <c r="O11">
        <v>3</v>
      </c>
      <c r="P11">
        <v>5</v>
      </c>
      <c r="Q11">
        <v>0.6</v>
      </c>
      <c r="R11">
        <v>7</v>
      </c>
      <c r="S11">
        <v>15</v>
      </c>
      <c r="T11">
        <v>0.46700000000000003</v>
      </c>
      <c r="U11">
        <v>0.57499999999999996</v>
      </c>
      <c r="V11">
        <v>0</v>
      </c>
      <c r="W11">
        <v>0</v>
      </c>
      <c r="Y11">
        <v>0</v>
      </c>
      <c r="Z11">
        <v>2</v>
      </c>
      <c r="AA11">
        <v>2</v>
      </c>
      <c r="AB11">
        <v>6</v>
      </c>
      <c r="AC11">
        <v>1</v>
      </c>
      <c r="AD11">
        <v>0</v>
      </c>
      <c r="AE11">
        <v>2</v>
      </c>
      <c r="AF11">
        <v>1</v>
      </c>
      <c r="AG11">
        <v>23</v>
      </c>
      <c r="AH11">
        <v>16.399999999999999</v>
      </c>
      <c r="AI11">
        <v>13</v>
      </c>
    </row>
    <row r="12" spans="1:35" ht="21" x14ac:dyDescent="0.3">
      <c r="A12" t="s">
        <v>561</v>
      </c>
      <c r="B12" s="11">
        <v>11</v>
      </c>
      <c r="C12">
        <v>639</v>
      </c>
      <c r="D12">
        <v>11</v>
      </c>
      <c r="E12" s="4">
        <v>44511</v>
      </c>
      <c r="F12" t="s">
        <v>64</v>
      </c>
      <c r="H12" t="s">
        <v>120</v>
      </c>
      <c r="I12" t="s">
        <v>377</v>
      </c>
      <c r="J12" t="s">
        <v>41</v>
      </c>
      <c r="K12" s="9">
        <v>1.2729166666666667</v>
      </c>
      <c r="L12">
        <v>7</v>
      </c>
      <c r="M12">
        <v>17</v>
      </c>
      <c r="N12">
        <v>0.41199999999999998</v>
      </c>
      <c r="O12">
        <v>2</v>
      </c>
      <c r="P12">
        <v>8</v>
      </c>
      <c r="Q12">
        <v>0.25</v>
      </c>
      <c r="R12">
        <v>5</v>
      </c>
      <c r="S12">
        <v>9</v>
      </c>
      <c r="T12">
        <v>0.55600000000000005</v>
      </c>
      <c r="U12">
        <v>0.47099999999999997</v>
      </c>
      <c r="V12">
        <v>6</v>
      </c>
      <c r="W12">
        <v>6</v>
      </c>
      <c r="X12">
        <v>1</v>
      </c>
      <c r="Y12">
        <v>1</v>
      </c>
      <c r="Z12">
        <v>2</v>
      </c>
      <c r="AA12">
        <v>3</v>
      </c>
      <c r="AB12">
        <v>2</v>
      </c>
      <c r="AC12">
        <v>0</v>
      </c>
      <c r="AD12">
        <v>0</v>
      </c>
      <c r="AE12">
        <v>2</v>
      </c>
      <c r="AF12">
        <v>1</v>
      </c>
      <c r="AG12">
        <v>22</v>
      </c>
      <c r="AH12">
        <v>13.2</v>
      </c>
      <c r="AI12">
        <v>4</v>
      </c>
    </row>
    <row r="13" spans="1:35" ht="21" x14ac:dyDescent="0.3">
      <c r="A13" t="s">
        <v>561</v>
      </c>
      <c r="B13" s="11">
        <v>12</v>
      </c>
      <c r="C13">
        <v>640</v>
      </c>
      <c r="D13">
        <v>12</v>
      </c>
      <c r="E13" s="4">
        <v>44513</v>
      </c>
      <c r="F13" t="s">
        <v>64</v>
      </c>
      <c r="H13" t="s">
        <v>80</v>
      </c>
      <c r="I13" t="s">
        <v>333</v>
      </c>
      <c r="J13" t="s">
        <v>41</v>
      </c>
      <c r="K13" s="9">
        <v>1.1333333333333333</v>
      </c>
      <c r="L13">
        <v>9</v>
      </c>
      <c r="M13">
        <v>16</v>
      </c>
      <c r="N13">
        <v>0.56299999999999994</v>
      </c>
      <c r="O13">
        <v>3</v>
      </c>
      <c r="P13">
        <v>8</v>
      </c>
      <c r="Q13">
        <v>0.375</v>
      </c>
      <c r="R13">
        <v>6</v>
      </c>
      <c r="S13">
        <v>8</v>
      </c>
      <c r="T13">
        <v>0.75</v>
      </c>
      <c r="U13">
        <v>0.65600000000000003</v>
      </c>
      <c r="V13">
        <v>0</v>
      </c>
      <c r="W13">
        <v>0</v>
      </c>
      <c r="Y13">
        <v>0</v>
      </c>
      <c r="Z13">
        <v>2</v>
      </c>
      <c r="AA13">
        <v>2</v>
      </c>
      <c r="AB13">
        <v>4</v>
      </c>
      <c r="AC13">
        <v>0</v>
      </c>
      <c r="AD13">
        <v>0</v>
      </c>
      <c r="AE13">
        <v>1</v>
      </c>
      <c r="AF13">
        <v>2</v>
      </c>
      <c r="AG13">
        <v>21</v>
      </c>
      <c r="AH13">
        <v>15</v>
      </c>
      <c r="AI13">
        <v>10</v>
      </c>
    </row>
    <row r="14" spans="1:35" ht="21" x14ac:dyDescent="0.3">
      <c r="A14" t="s">
        <v>561</v>
      </c>
      <c r="B14" s="11">
        <v>13</v>
      </c>
      <c r="C14">
        <v>641</v>
      </c>
      <c r="D14">
        <v>13</v>
      </c>
      <c r="E14" s="4">
        <v>44514</v>
      </c>
      <c r="F14" t="s">
        <v>64</v>
      </c>
      <c r="H14" t="s">
        <v>82</v>
      </c>
      <c r="I14" t="s">
        <v>378</v>
      </c>
      <c r="J14" t="s">
        <v>41</v>
      </c>
      <c r="K14" s="9">
        <v>1.4743055555555555</v>
      </c>
      <c r="L14">
        <v>4</v>
      </c>
      <c r="M14">
        <v>17</v>
      </c>
      <c r="N14">
        <v>0.23499999999999999</v>
      </c>
      <c r="O14">
        <v>3</v>
      </c>
      <c r="P14">
        <v>11</v>
      </c>
      <c r="Q14">
        <v>0.27300000000000002</v>
      </c>
      <c r="R14">
        <v>1</v>
      </c>
      <c r="S14">
        <v>6</v>
      </c>
      <c r="T14">
        <v>0.16700000000000001</v>
      </c>
      <c r="U14">
        <v>0.32400000000000001</v>
      </c>
      <c r="V14">
        <v>2</v>
      </c>
      <c r="W14">
        <v>2</v>
      </c>
      <c r="X14">
        <v>1</v>
      </c>
      <c r="Y14">
        <v>2</v>
      </c>
      <c r="Z14">
        <v>1</v>
      </c>
      <c r="AA14">
        <v>3</v>
      </c>
      <c r="AB14">
        <v>2</v>
      </c>
      <c r="AC14">
        <v>2</v>
      </c>
      <c r="AD14">
        <v>0</v>
      </c>
      <c r="AE14">
        <v>1</v>
      </c>
      <c r="AF14">
        <v>1</v>
      </c>
      <c r="AG14">
        <v>13</v>
      </c>
      <c r="AH14">
        <v>6.4</v>
      </c>
      <c r="AI14">
        <v>-12</v>
      </c>
    </row>
    <row r="15" spans="1:35" ht="21" x14ac:dyDescent="0.3">
      <c r="A15" t="s">
        <v>561</v>
      </c>
      <c r="B15" s="11">
        <v>14</v>
      </c>
      <c r="C15">
        <v>642</v>
      </c>
      <c r="D15">
        <v>14</v>
      </c>
      <c r="E15" s="4">
        <v>44516</v>
      </c>
      <c r="F15" t="s">
        <v>64</v>
      </c>
      <c r="H15" t="s">
        <v>102</v>
      </c>
      <c r="I15" t="s">
        <v>379</v>
      </c>
      <c r="J15" t="s">
        <v>41</v>
      </c>
      <c r="K15" s="9">
        <v>1.5659722222222223</v>
      </c>
      <c r="L15">
        <v>8</v>
      </c>
      <c r="M15">
        <v>22</v>
      </c>
      <c r="N15">
        <v>0.36399999999999999</v>
      </c>
      <c r="O15">
        <v>5</v>
      </c>
      <c r="P15">
        <v>17</v>
      </c>
      <c r="Q15">
        <v>0.29399999999999998</v>
      </c>
      <c r="R15">
        <v>3</v>
      </c>
      <c r="S15">
        <v>5</v>
      </c>
      <c r="T15">
        <v>0.6</v>
      </c>
      <c r="U15">
        <v>0.47699999999999998</v>
      </c>
      <c r="V15">
        <v>0</v>
      </c>
      <c r="W15">
        <v>0</v>
      </c>
      <c r="Y15">
        <v>0</v>
      </c>
      <c r="Z15">
        <v>6</v>
      </c>
      <c r="AA15">
        <v>6</v>
      </c>
      <c r="AB15">
        <v>4</v>
      </c>
      <c r="AC15">
        <v>0</v>
      </c>
      <c r="AD15">
        <v>2</v>
      </c>
      <c r="AE15">
        <v>3</v>
      </c>
      <c r="AF15">
        <v>3</v>
      </c>
      <c r="AG15">
        <v>21</v>
      </c>
      <c r="AH15">
        <v>10.6</v>
      </c>
      <c r="AI15">
        <v>12</v>
      </c>
    </row>
    <row r="16" spans="1:35" ht="21" x14ac:dyDescent="0.3">
      <c r="A16" t="s">
        <v>561</v>
      </c>
      <c r="B16" s="11">
        <v>15</v>
      </c>
      <c r="C16">
        <v>643</v>
      </c>
      <c r="D16">
        <v>15</v>
      </c>
      <c r="E16" s="4">
        <v>44518</v>
      </c>
      <c r="F16" t="s">
        <v>64</v>
      </c>
      <c r="G16" t="s">
        <v>37</v>
      </c>
      <c r="H16" t="s">
        <v>42</v>
      </c>
      <c r="I16" t="s">
        <v>186</v>
      </c>
      <c r="J16" t="s">
        <v>41</v>
      </c>
      <c r="K16" s="9">
        <v>1.2652777777777777</v>
      </c>
      <c r="L16">
        <v>7</v>
      </c>
      <c r="M16">
        <v>16</v>
      </c>
      <c r="N16">
        <v>0.438</v>
      </c>
      <c r="O16">
        <v>4</v>
      </c>
      <c r="P16">
        <v>8</v>
      </c>
      <c r="Q16">
        <v>0.5</v>
      </c>
      <c r="R16">
        <v>3</v>
      </c>
      <c r="S16">
        <v>8</v>
      </c>
      <c r="T16">
        <v>0.375</v>
      </c>
      <c r="U16">
        <v>0.56299999999999994</v>
      </c>
      <c r="V16">
        <v>0</v>
      </c>
      <c r="W16">
        <v>0</v>
      </c>
      <c r="Y16">
        <v>0</v>
      </c>
      <c r="Z16">
        <v>2</v>
      </c>
      <c r="AA16">
        <v>2</v>
      </c>
      <c r="AB16">
        <v>5</v>
      </c>
      <c r="AC16">
        <v>1</v>
      </c>
      <c r="AD16">
        <v>0</v>
      </c>
      <c r="AE16">
        <v>3</v>
      </c>
      <c r="AF16">
        <v>1</v>
      </c>
      <c r="AG16">
        <v>18</v>
      </c>
      <c r="AH16">
        <v>11.3</v>
      </c>
      <c r="AI16">
        <v>-13</v>
      </c>
    </row>
    <row r="17" spans="1:35" ht="21" x14ac:dyDescent="0.3">
      <c r="A17" t="s">
        <v>561</v>
      </c>
      <c r="B17" s="11">
        <v>16</v>
      </c>
      <c r="C17">
        <v>644</v>
      </c>
      <c r="D17">
        <v>16</v>
      </c>
      <c r="E17" s="4">
        <v>44519</v>
      </c>
      <c r="F17" t="s">
        <v>64</v>
      </c>
      <c r="G17" t="s">
        <v>37</v>
      </c>
      <c r="H17" t="s">
        <v>74</v>
      </c>
      <c r="I17" t="s">
        <v>380</v>
      </c>
      <c r="J17" t="s">
        <v>41</v>
      </c>
      <c r="K17" s="9">
        <v>1.0555555555555556</v>
      </c>
      <c r="L17">
        <v>2</v>
      </c>
      <c r="M17">
        <v>11</v>
      </c>
      <c r="N17">
        <v>0.182</v>
      </c>
      <c r="O17">
        <v>0</v>
      </c>
      <c r="P17">
        <v>3</v>
      </c>
      <c r="Q17">
        <v>0</v>
      </c>
      <c r="R17">
        <v>2</v>
      </c>
      <c r="S17">
        <v>8</v>
      </c>
      <c r="T17">
        <v>0.25</v>
      </c>
      <c r="U17">
        <v>0.182</v>
      </c>
      <c r="V17">
        <v>0</v>
      </c>
      <c r="W17">
        <v>0</v>
      </c>
      <c r="Y17">
        <v>0</v>
      </c>
      <c r="Z17">
        <v>2</v>
      </c>
      <c r="AA17">
        <v>2</v>
      </c>
      <c r="AB17">
        <v>2</v>
      </c>
      <c r="AC17">
        <v>0</v>
      </c>
      <c r="AD17">
        <v>0</v>
      </c>
      <c r="AE17">
        <v>4</v>
      </c>
      <c r="AF17">
        <v>1</v>
      </c>
      <c r="AG17">
        <v>4</v>
      </c>
      <c r="AH17">
        <v>-5.3</v>
      </c>
      <c r="AI17">
        <v>2</v>
      </c>
    </row>
    <row r="18" spans="1:35" ht="21" x14ac:dyDescent="0.3">
      <c r="A18" t="s">
        <v>561</v>
      </c>
      <c r="B18" s="11">
        <v>17</v>
      </c>
      <c r="C18">
        <v>645</v>
      </c>
      <c r="D18">
        <v>17</v>
      </c>
      <c r="E18" s="4">
        <v>44521</v>
      </c>
      <c r="F18" t="s">
        <v>64</v>
      </c>
      <c r="H18" t="s">
        <v>49</v>
      </c>
      <c r="I18" t="s">
        <v>381</v>
      </c>
      <c r="J18" t="s">
        <v>41</v>
      </c>
      <c r="K18" s="9">
        <v>1.4638888888888888</v>
      </c>
      <c r="L18">
        <v>8</v>
      </c>
      <c r="M18">
        <v>14</v>
      </c>
      <c r="N18">
        <v>0.57099999999999995</v>
      </c>
      <c r="O18">
        <v>4</v>
      </c>
      <c r="P18">
        <v>8</v>
      </c>
      <c r="Q18">
        <v>0.5</v>
      </c>
      <c r="R18">
        <v>4</v>
      </c>
      <c r="S18">
        <v>6</v>
      </c>
      <c r="T18">
        <v>0.66700000000000004</v>
      </c>
      <c r="U18">
        <v>0.71399999999999997</v>
      </c>
      <c r="V18">
        <v>3</v>
      </c>
      <c r="W18">
        <v>4</v>
      </c>
      <c r="X18">
        <v>0.75</v>
      </c>
      <c r="Y18">
        <v>0</v>
      </c>
      <c r="Z18">
        <v>2</v>
      </c>
      <c r="AA18">
        <v>2</v>
      </c>
      <c r="AB18">
        <v>4</v>
      </c>
      <c r="AC18">
        <v>0</v>
      </c>
      <c r="AD18">
        <v>0</v>
      </c>
      <c r="AE18">
        <v>2</v>
      </c>
      <c r="AF18">
        <v>2</v>
      </c>
      <c r="AG18">
        <v>23</v>
      </c>
      <c r="AH18">
        <v>16.600000000000001</v>
      </c>
      <c r="AI18">
        <v>9</v>
      </c>
    </row>
    <row r="19" spans="1:35" ht="21" x14ac:dyDescent="0.3">
      <c r="A19" t="s">
        <v>561</v>
      </c>
      <c r="B19" s="11">
        <v>18</v>
      </c>
      <c r="C19">
        <v>646</v>
      </c>
      <c r="D19">
        <v>18</v>
      </c>
      <c r="E19" s="4">
        <v>44523</v>
      </c>
      <c r="F19" t="s">
        <v>64</v>
      </c>
      <c r="H19" t="s">
        <v>49</v>
      </c>
      <c r="I19" t="s">
        <v>382</v>
      </c>
      <c r="J19" t="s">
        <v>41</v>
      </c>
      <c r="K19" s="9">
        <v>1.757638888888889</v>
      </c>
      <c r="L19">
        <v>12</v>
      </c>
      <c r="M19">
        <v>23</v>
      </c>
      <c r="N19">
        <v>0.52200000000000002</v>
      </c>
      <c r="O19">
        <v>3</v>
      </c>
      <c r="P19">
        <v>8</v>
      </c>
      <c r="Q19">
        <v>0.375</v>
      </c>
      <c r="R19">
        <v>9</v>
      </c>
      <c r="S19">
        <v>15</v>
      </c>
      <c r="T19">
        <v>0.6</v>
      </c>
      <c r="U19">
        <v>0.58699999999999997</v>
      </c>
      <c r="V19">
        <v>4</v>
      </c>
      <c r="W19">
        <v>6</v>
      </c>
      <c r="X19">
        <v>0.66700000000000004</v>
      </c>
      <c r="Y19">
        <v>2</v>
      </c>
      <c r="Z19">
        <v>8</v>
      </c>
      <c r="AA19">
        <v>10</v>
      </c>
      <c r="AB19">
        <v>2</v>
      </c>
      <c r="AC19">
        <v>3</v>
      </c>
      <c r="AD19">
        <v>0</v>
      </c>
      <c r="AE19">
        <v>4</v>
      </c>
      <c r="AF19">
        <v>1</v>
      </c>
      <c r="AG19">
        <v>31</v>
      </c>
      <c r="AH19">
        <v>22.7</v>
      </c>
      <c r="AI19">
        <v>-9</v>
      </c>
    </row>
    <row r="20" spans="1:35" ht="21" x14ac:dyDescent="0.3">
      <c r="A20" t="s">
        <v>561</v>
      </c>
      <c r="B20" s="11">
        <v>19</v>
      </c>
      <c r="C20">
        <v>647</v>
      </c>
      <c r="D20">
        <v>19</v>
      </c>
      <c r="E20" s="4">
        <v>44526</v>
      </c>
      <c r="F20" t="s">
        <v>64</v>
      </c>
      <c r="H20" t="s">
        <v>89</v>
      </c>
      <c r="I20" t="s">
        <v>383</v>
      </c>
      <c r="J20" t="s">
        <v>41</v>
      </c>
      <c r="K20" s="9">
        <v>1.3979166666666667</v>
      </c>
      <c r="L20">
        <v>8</v>
      </c>
      <c r="M20">
        <v>19</v>
      </c>
      <c r="N20">
        <v>0.42099999999999999</v>
      </c>
      <c r="O20">
        <v>3</v>
      </c>
      <c r="P20">
        <v>10</v>
      </c>
      <c r="Q20">
        <v>0.3</v>
      </c>
      <c r="R20">
        <v>5</v>
      </c>
      <c r="S20">
        <v>9</v>
      </c>
      <c r="T20">
        <v>0.55600000000000005</v>
      </c>
      <c r="U20">
        <v>0.5</v>
      </c>
      <c r="V20">
        <v>2</v>
      </c>
      <c r="W20">
        <v>2</v>
      </c>
      <c r="X20">
        <v>1</v>
      </c>
      <c r="Y20">
        <v>0</v>
      </c>
      <c r="Z20">
        <v>4</v>
      </c>
      <c r="AA20">
        <v>4</v>
      </c>
      <c r="AB20">
        <v>4</v>
      </c>
      <c r="AC20">
        <v>0</v>
      </c>
      <c r="AD20">
        <v>0</v>
      </c>
      <c r="AE20">
        <v>0</v>
      </c>
      <c r="AF20">
        <v>2</v>
      </c>
      <c r="AG20">
        <v>21</v>
      </c>
      <c r="AH20">
        <v>14.1</v>
      </c>
      <c r="AI20">
        <v>14</v>
      </c>
    </row>
    <row r="21" spans="1:35" ht="21" x14ac:dyDescent="0.3">
      <c r="A21" t="s">
        <v>561</v>
      </c>
      <c r="B21" s="11">
        <v>20</v>
      </c>
      <c r="C21">
        <v>648</v>
      </c>
      <c r="D21">
        <v>20</v>
      </c>
      <c r="E21" s="4">
        <v>44528</v>
      </c>
      <c r="F21" t="s">
        <v>64</v>
      </c>
      <c r="H21" t="s">
        <v>33</v>
      </c>
      <c r="I21" t="s">
        <v>199</v>
      </c>
      <c r="J21" t="s">
        <v>41</v>
      </c>
      <c r="K21" s="7">
        <v>0.88472222222222219</v>
      </c>
      <c r="L21">
        <v>0</v>
      </c>
      <c r="M21">
        <v>5</v>
      </c>
      <c r="N21">
        <v>0</v>
      </c>
      <c r="O21">
        <v>0</v>
      </c>
      <c r="P21">
        <v>3</v>
      </c>
      <c r="Q21">
        <v>0</v>
      </c>
      <c r="R21">
        <v>0</v>
      </c>
      <c r="S21">
        <v>2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1</v>
      </c>
      <c r="AB21">
        <v>2</v>
      </c>
      <c r="AC21">
        <v>2</v>
      </c>
      <c r="AD21">
        <v>0</v>
      </c>
      <c r="AE21">
        <v>3</v>
      </c>
      <c r="AF21">
        <v>4</v>
      </c>
      <c r="AG21">
        <v>0</v>
      </c>
      <c r="AH21">
        <v>-4.8</v>
      </c>
      <c r="AI21">
        <v>-16</v>
      </c>
    </row>
    <row r="22" spans="1:35" ht="21" x14ac:dyDescent="0.3">
      <c r="A22" t="s">
        <v>561</v>
      </c>
      <c r="B22" s="11">
        <v>21</v>
      </c>
      <c r="C22">
        <v>649</v>
      </c>
      <c r="D22">
        <v>21</v>
      </c>
      <c r="E22" s="4">
        <v>44529</v>
      </c>
      <c r="F22" t="s">
        <v>64</v>
      </c>
      <c r="H22" t="s">
        <v>74</v>
      </c>
      <c r="I22" t="s">
        <v>384</v>
      </c>
      <c r="J22" t="s">
        <v>41</v>
      </c>
      <c r="K22" s="9">
        <v>1.4493055555555556</v>
      </c>
      <c r="L22">
        <v>7</v>
      </c>
      <c r="M22">
        <v>14</v>
      </c>
      <c r="N22">
        <v>0.5</v>
      </c>
      <c r="O22">
        <v>4</v>
      </c>
      <c r="P22">
        <v>9</v>
      </c>
      <c r="Q22">
        <v>0.44400000000000001</v>
      </c>
      <c r="R22">
        <v>3</v>
      </c>
      <c r="S22">
        <v>5</v>
      </c>
      <c r="T22">
        <v>0.6</v>
      </c>
      <c r="U22">
        <v>0.64300000000000002</v>
      </c>
      <c r="V22">
        <v>1</v>
      </c>
      <c r="W22">
        <v>2</v>
      </c>
      <c r="X22">
        <v>0.5</v>
      </c>
      <c r="Y22">
        <v>0</v>
      </c>
      <c r="Z22">
        <v>5</v>
      </c>
      <c r="AA22">
        <v>5</v>
      </c>
      <c r="AB22">
        <v>2</v>
      </c>
      <c r="AC22">
        <v>0</v>
      </c>
      <c r="AD22">
        <v>0</v>
      </c>
      <c r="AE22">
        <v>1</v>
      </c>
      <c r="AF22">
        <v>3</v>
      </c>
      <c r="AG22">
        <v>19</v>
      </c>
      <c r="AH22">
        <v>12.3</v>
      </c>
      <c r="AI22">
        <v>-10</v>
      </c>
    </row>
    <row r="23" spans="1:35" ht="21" x14ac:dyDescent="0.3">
      <c r="A23" t="s">
        <v>561</v>
      </c>
      <c r="B23" s="11">
        <v>22</v>
      </c>
      <c r="C23">
        <v>650</v>
      </c>
      <c r="D23">
        <v>22</v>
      </c>
      <c r="E23" s="4">
        <v>44531</v>
      </c>
      <c r="F23" t="s">
        <v>64</v>
      </c>
      <c r="H23" t="s">
        <v>66</v>
      </c>
      <c r="I23" t="s">
        <v>314</v>
      </c>
      <c r="J23" t="s">
        <v>41</v>
      </c>
      <c r="K23" s="9">
        <v>1.1270833333333334</v>
      </c>
      <c r="L23">
        <v>5</v>
      </c>
      <c r="M23">
        <v>15</v>
      </c>
      <c r="N23">
        <v>0.33300000000000002</v>
      </c>
      <c r="O23">
        <v>0</v>
      </c>
      <c r="P23">
        <v>4</v>
      </c>
      <c r="Q23">
        <v>0</v>
      </c>
      <c r="R23">
        <v>5</v>
      </c>
      <c r="S23">
        <v>11</v>
      </c>
      <c r="T23">
        <v>0.45500000000000002</v>
      </c>
      <c r="U23">
        <v>0.33300000000000002</v>
      </c>
      <c r="V23">
        <v>2</v>
      </c>
      <c r="W23">
        <v>2</v>
      </c>
      <c r="X23">
        <v>1</v>
      </c>
      <c r="Y23">
        <v>2</v>
      </c>
      <c r="Z23">
        <v>2</v>
      </c>
      <c r="AA23">
        <v>4</v>
      </c>
      <c r="AB23">
        <v>6</v>
      </c>
      <c r="AC23">
        <v>0</v>
      </c>
      <c r="AD23">
        <v>0</v>
      </c>
      <c r="AE23">
        <v>1</v>
      </c>
      <c r="AF23">
        <v>2</v>
      </c>
      <c r="AG23">
        <v>12</v>
      </c>
      <c r="AH23">
        <v>7.9</v>
      </c>
      <c r="AI23">
        <v>-12</v>
      </c>
    </row>
    <row r="24" spans="1:35" ht="21" x14ac:dyDescent="0.3">
      <c r="A24" t="s">
        <v>561</v>
      </c>
      <c r="B24" s="11">
        <v>23</v>
      </c>
      <c r="C24">
        <v>651</v>
      </c>
      <c r="D24">
        <v>23</v>
      </c>
      <c r="E24" s="4">
        <v>44533</v>
      </c>
      <c r="F24" t="s">
        <v>64</v>
      </c>
      <c r="G24" t="s">
        <v>37</v>
      </c>
      <c r="H24" t="s">
        <v>62</v>
      </c>
      <c r="I24" t="s">
        <v>385</v>
      </c>
      <c r="J24" t="s">
        <v>41</v>
      </c>
      <c r="K24" s="9">
        <v>1.4861111111111112</v>
      </c>
      <c r="L24">
        <v>6</v>
      </c>
      <c r="M24">
        <v>16</v>
      </c>
      <c r="N24">
        <v>0.375</v>
      </c>
      <c r="O24">
        <v>2</v>
      </c>
      <c r="P24">
        <v>7</v>
      </c>
      <c r="Q24">
        <v>0.28599999999999998</v>
      </c>
      <c r="R24">
        <v>4</v>
      </c>
      <c r="S24">
        <v>9</v>
      </c>
      <c r="T24">
        <v>0.44400000000000001</v>
      </c>
      <c r="U24">
        <v>0.438</v>
      </c>
      <c r="V24">
        <v>2</v>
      </c>
      <c r="W24">
        <v>2</v>
      </c>
      <c r="X24">
        <v>1</v>
      </c>
      <c r="Y24">
        <v>1</v>
      </c>
      <c r="Z24">
        <v>1</v>
      </c>
      <c r="AA24">
        <v>2</v>
      </c>
      <c r="AB24">
        <v>8</v>
      </c>
      <c r="AC24">
        <v>1</v>
      </c>
      <c r="AD24">
        <v>1</v>
      </c>
      <c r="AE24">
        <v>2</v>
      </c>
      <c r="AF24">
        <v>2</v>
      </c>
      <c r="AG24">
        <v>16</v>
      </c>
      <c r="AH24">
        <v>12.7</v>
      </c>
      <c r="AI24">
        <v>13</v>
      </c>
    </row>
    <row r="25" spans="1:35" ht="21" x14ac:dyDescent="0.3">
      <c r="A25" t="s">
        <v>561</v>
      </c>
      <c r="B25" s="11">
        <v>24</v>
      </c>
      <c r="C25">
        <v>652</v>
      </c>
      <c r="D25">
        <v>24</v>
      </c>
      <c r="E25" s="4">
        <v>44534</v>
      </c>
      <c r="F25" t="s">
        <v>64</v>
      </c>
      <c r="G25" t="s">
        <v>37</v>
      </c>
      <c r="H25" t="s">
        <v>66</v>
      </c>
      <c r="I25" t="s">
        <v>225</v>
      </c>
      <c r="J25" t="s">
        <v>41</v>
      </c>
      <c r="K25" s="9">
        <v>1.3125</v>
      </c>
      <c r="L25">
        <v>7</v>
      </c>
      <c r="M25">
        <v>19</v>
      </c>
      <c r="N25">
        <v>0.36799999999999999</v>
      </c>
      <c r="O25">
        <v>3</v>
      </c>
      <c r="P25">
        <v>8</v>
      </c>
      <c r="Q25">
        <v>0.375</v>
      </c>
      <c r="R25">
        <v>4</v>
      </c>
      <c r="S25">
        <v>11</v>
      </c>
      <c r="T25">
        <v>0.36399999999999999</v>
      </c>
      <c r="U25">
        <v>0.44700000000000001</v>
      </c>
      <c r="V25">
        <v>1</v>
      </c>
      <c r="W25">
        <v>3</v>
      </c>
      <c r="X25">
        <v>0.33300000000000002</v>
      </c>
      <c r="Y25">
        <v>0</v>
      </c>
      <c r="Z25">
        <v>2</v>
      </c>
      <c r="AA25">
        <v>2</v>
      </c>
      <c r="AB25">
        <v>1</v>
      </c>
      <c r="AC25">
        <v>0</v>
      </c>
      <c r="AD25">
        <v>0</v>
      </c>
      <c r="AE25">
        <v>4</v>
      </c>
      <c r="AF25">
        <v>5</v>
      </c>
      <c r="AG25">
        <v>18</v>
      </c>
      <c r="AH25">
        <v>2</v>
      </c>
      <c r="AI25">
        <v>1</v>
      </c>
    </row>
    <row r="26" spans="1:35" ht="21" x14ac:dyDescent="0.3">
      <c r="A26" t="s">
        <v>561</v>
      </c>
      <c r="B26" s="11">
        <v>25</v>
      </c>
      <c r="C26">
        <v>653</v>
      </c>
      <c r="D26">
        <v>25</v>
      </c>
      <c r="E26" s="4">
        <v>44536</v>
      </c>
      <c r="F26" t="s">
        <v>64</v>
      </c>
      <c r="G26" t="s">
        <v>37</v>
      </c>
      <c r="H26" t="s">
        <v>96</v>
      </c>
      <c r="I26" t="s">
        <v>386</v>
      </c>
      <c r="J26" t="s">
        <v>41</v>
      </c>
      <c r="K26" s="9">
        <v>1.3493055555555555</v>
      </c>
      <c r="L26">
        <v>7</v>
      </c>
      <c r="M26">
        <v>19</v>
      </c>
      <c r="N26">
        <v>0.36799999999999999</v>
      </c>
      <c r="O26">
        <v>2</v>
      </c>
      <c r="P26">
        <v>10</v>
      </c>
      <c r="Q26">
        <v>0.2</v>
      </c>
      <c r="R26">
        <v>5</v>
      </c>
      <c r="S26">
        <v>9</v>
      </c>
      <c r="T26">
        <v>0.55600000000000005</v>
      </c>
      <c r="U26">
        <v>0.42099999999999999</v>
      </c>
      <c r="V26">
        <v>0</v>
      </c>
      <c r="W26">
        <v>0</v>
      </c>
      <c r="Y26">
        <v>1</v>
      </c>
      <c r="Z26">
        <v>5</v>
      </c>
      <c r="AA26">
        <v>6</v>
      </c>
      <c r="AB26">
        <v>6</v>
      </c>
      <c r="AC26">
        <v>0</v>
      </c>
      <c r="AD26">
        <v>0</v>
      </c>
      <c r="AE26">
        <v>0</v>
      </c>
      <c r="AF26">
        <v>2</v>
      </c>
      <c r="AG26">
        <v>16</v>
      </c>
      <c r="AH26">
        <v>11.1</v>
      </c>
      <c r="AI26">
        <v>20</v>
      </c>
    </row>
    <row r="27" spans="1:35" ht="21" x14ac:dyDescent="0.3">
      <c r="A27" t="s">
        <v>561</v>
      </c>
      <c r="B27" s="11">
        <v>26</v>
      </c>
      <c r="C27">
        <v>654</v>
      </c>
      <c r="D27">
        <v>26</v>
      </c>
      <c r="E27" s="4">
        <v>44538</v>
      </c>
      <c r="F27" t="s">
        <v>64</v>
      </c>
      <c r="H27" t="s">
        <v>55</v>
      </c>
      <c r="I27" t="s">
        <v>347</v>
      </c>
      <c r="J27" t="s">
        <v>41</v>
      </c>
      <c r="K27" s="9">
        <v>1.5604166666666666</v>
      </c>
      <c r="L27">
        <v>6</v>
      </c>
      <c r="M27">
        <v>22</v>
      </c>
      <c r="N27">
        <v>0.27300000000000002</v>
      </c>
      <c r="O27">
        <v>2</v>
      </c>
      <c r="P27">
        <v>8</v>
      </c>
      <c r="Q27">
        <v>0.25</v>
      </c>
      <c r="R27">
        <v>4</v>
      </c>
      <c r="S27">
        <v>14</v>
      </c>
      <c r="T27">
        <v>0.28599999999999998</v>
      </c>
      <c r="U27">
        <v>0.318</v>
      </c>
      <c r="V27">
        <v>3</v>
      </c>
      <c r="W27">
        <v>4</v>
      </c>
      <c r="X27">
        <v>0.75</v>
      </c>
      <c r="Y27">
        <v>1</v>
      </c>
      <c r="Z27">
        <v>2</v>
      </c>
      <c r="AA27">
        <v>3</v>
      </c>
      <c r="AB27">
        <v>7</v>
      </c>
      <c r="AC27">
        <v>0</v>
      </c>
      <c r="AD27">
        <v>0</v>
      </c>
      <c r="AE27">
        <v>6</v>
      </c>
      <c r="AF27">
        <v>2</v>
      </c>
      <c r="AG27">
        <v>17</v>
      </c>
      <c r="AH27">
        <v>3</v>
      </c>
      <c r="AI27">
        <v>-1</v>
      </c>
    </row>
    <row r="28" spans="1:35" ht="21" x14ac:dyDescent="0.3">
      <c r="A28" t="s">
        <v>561</v>
      </c>
      <c r="B28" s="11">
        <v>27</v>
      </c>
      <c r="C28">
        <v>655</v>
      </c>
      <c r="D28">
        <v>27</v>
      </c>
      <c r="E28" s="4">
        <v>44541</v>
      </c>
      <c r="F28" t="s">
        <v>64</v>
      </c>
      <c r="H28" t="s">
        <v>104</v>
      </c>
      <c r="I28" t="s">
        <v>387</v>
      </c>
      <c r="J28" t="s">
        <v>41</v>
      </c>
      <c r="K28" s="9">
        <v>1.3263888888888888</v>
      </c>
      <c r="L28">
        <v>11</v>
      </c>
      <c r="M28">
        <v>21</v>
      </c>
      <c r="N28">
        <v>0.52400000000000002</v>
      </c>
      <c r="O28">
        <v>3</v>
      </c>
      <c r="P28">
        <v>8</v>
      </c>
      <c r="Q28">
        <v>0.375</v>
      </c>
      <c r="R28">
        <v>8</v>
      </c>
      <c r="S28">
        <v>13</v>
      </c>
      <c r="T28">
        <v>0.61499999999999999</v>
      </c>
      <c r="U28">
        <v>0.59499999999999997</v>
      </c>
      <c r="V28">
        <v>0</v>
      </c>
      <c r="W28">
        <v>0</v>
      </c>
      <c r="Y28">
        <v>0</v>
      </c>
      <c r="Z28">
        <v>2</v>
      </c>
      <c r="AA28">
        <v>2</v>
      </c>
      <c r="AB28">
        <v>3</v>
      </c>
      <c r="AC28">
        <v>1</v>
      </c>
      <c r="AD28">
        <v>1</v>
      </c>
      <c r="AE28">
        <v>3</v>
      </c>
      <c r="AF28">
        <v>1</v>
      </c>
      <c r="AG28">
        <v>25</v>
      </c>
      <c r="AH28">
        <v>15.7</v>
      </c>
      <c r="AI28">
        <v>0</v>
      </c>
    </row>
    <row r="29" spans="1:35" ht="21" x14ac:dyDescent="0.3">
      <c r="A29" t="s">
        <v>561</v>
      </c>
      <c r="B29" s="11">
        <v>28</v>
      </c>
      <c r="C29">
        <v>656</v>
      </c>
      <c r="D29">
        <v>28</v>
      </c>
      <c r="E29" s="4">
        <v>44543</v>
      </c>
      <c r="F29" t="s">
        <v>64</v>
      </c>
      <c r="H29" t="s">
        <v>99</v>
      </c>
      <c r="I29" t="s">
        <v>388</v>
      </c>
      <c r="J29" t="s">
        <v>41</v>
      </c>
      <c r="K29" s="9">
        <v>1.2659722222222223</v>
      </c>
      <c r="L29">
        <v>6</v>
      </c>
      <c r="M29">
        <v>13</v>
      </c>
      <c r="N29">
        <v>0.46200000000000002</v>
      </c>
      <c r="O29">
        <v>2</v>
      </c>
      <c r="P29">
        <v>4</v>
      </c>
      <c r="Q29">
        <v>0.5</v>
      </c>
      <c r="R29">
        <v>4</v>
      </c>
      <c r="S29">
        <v>9</v>
      </c>
      <c r="T29">
        <v>0.44400000000000001</v>
      </c>
      <c r="U29">
        <v>0.53800000000000003</v>
      </c>
      <c r="V29">
        <v>5</v>
      </c>
      <c r="W29">
        <v>5</v>
      </c>
      <c r="X29">
        <v>1</v>
      </c>
      <c r="Y29">
        <v>0</v>
      </c>
      <c r="Z29">
        <v>3</v>
      </c>
      <c r="AA29">
        <v>3</v>
      </c>
      <c r="AB29">
        <v>2</v>
      </c>
      <c r="AC29">
        <v>0</v>
      </c>
      <c r="AD29">
        <v>0</v>
      </c>
      <c r="AE29">
        <v>2</v>
      </c>
      <c r="AF29">
        <v>1</v>
      </c>
      <c r="AG29">
        <v>19</v>
      </c>
      <c r="AH29">
        <v>12.2</v>
      </c>
      <c r="AI29">
        <v>24</v>
      </c>
    </row>
    <row r="30" spans="1:35" ht="21" x14ac:dyDescent="0.3">
      <c r="A30" t="s">
        <v>561</v>
      </c>
      <c r="B30" s="11">
        <v>29</v>
      </c>
      <c r="C30">
        <v>657</v>
      </c>
      <c r="D30">
        <v>29</v>
      </c>
      <c r="E30" s="4">
        <v>44545</v>
      </c>
      <c r="F30" t="s">
        <v>64</v>
      </c>
      <c r="G30" t="s">
        <v>37</v>
      </c>
      <c r="H30" t="s">
        <v>118</v>
      </c>
      <c r="I30" t="s">
        <v>389</v>
      </c>
      <c r="J30" t="s">
        <v>41</v>
      </c>
      <c r="K30" s="9">
        <v>1.0541666666666667</v>
      </c>
      <c r="L30">
        <v>6</v>
      </c>
      <c r="M30">
        <v>16</v>
      </c>
      <c r="N30">
        <v>0.375</v>
      </c>
      <c r="O30">
        <v>1</v>
      </c>
      <c r="P30">
        <v>4</v>
      </c>
      <c r="Q30">
        <v>0.25</v>
      </c>
      <c r="R30">
        <v>5</v>
      </c>
      <c r="S30">
        <v>12</v>
      </c>
      <c r="T30">
        <v>0.41699999999999998</v>
      </c>
      <c r="U30">
        <v>0.40600000000000003</v>
      </c>
      <c r="V30">
        <v>2</v>
      </c>
      <c r="W30">
        <v>3</v>
      </c>
      <c r="X30">
        <v>0.66700000000000004</v>
      </c>
      <c r="Y30">
        <v>0</v>
      </c>
      <c r="Z30">
        <v>5</v>
      </c>
      <c r="AA30">
        <v>5</v>
      </c>
      <c r="AB30">
        <v>9</v>
      </c>
      <c r="AC30">
        <v>0</v>
      </c>
      <c r="AD30">
        <v>1</v>
      </c>
      <c r="AE30">
        <v>2</v>
      </c>
      <c r="AF30">
        <v>3</v>
      </c>
      <c r="AG30">
        <v>15</v>
      </c>
      <c r="AH30">
        <v>11.1</v>
      </c>
      <c r="AI30">
        <v>-9</v>
      </c>
    </row>
    <row r="31" spans="1:35" ht="21" x14ac:dyDescent="0.3">
      <c r="A31" t="s">
        <v>561</v>
      </c>
      <c r="B31" s="11">
        <v>30</v>
      </c>
      <c r="C31">
        <v>658</v>
      </c>
      <c r="D31">
        <v>30</v>
      </c>
      <c r="E31" s="4">
        <v>44548</v>
      </c>
      <c r="F31" t="s">
        <v>64</v>
      </c>
      <c r="G31" t="s">
        <v>37</v>
      </c>
      <c r="H31" t="s">
        <v>68</v>
      </c>
      <c r="I31" t="s">
        <v>390</v>
      </c>
      <c r="J31" t="s">
        <v>41</v>
      </c>
      <c r="K31" s="9">
        <v>1.4097222222222223</v>
      </c>
      <c r="L31">
        <v>6</v>
      </c>
      <c r="M31">
        <v>20</v>
      </c>
      <c r="N31">
        <v>0.3</v>
      </c>
      <c r="O31">
        <v>2</v>
      </c>
      <c r="P31">
        <v>8</v>
      </c>
      <c r="Q31">
        <v>0.25</v>
      </c>
      <c r="R31">
        <v>4</v>
      </c>
      <c r="S31">
        <v>12</v>
      </c>
      <c r="T31">
        <v>0.33300000000000002</v>
      </c>
      <c r="U31">
        <v>0.35</v>
      </c>
      <c r="V31">
        <v>2</v>
      </c>
      <c r="W31">
        <v>2</v>
      </c>
      <c r="X31">
        <v>1</v>
      </c>
      <c r="Y31">
        <v>0</v>
      </c>
      <c r="Z31">
        <v>2</v>
      </c>
      <c r="AA31">
        <v>2</v>
      </c>
      <c r="AB31">
        <v>10</v>
      </c>
      <c r="AC31">
        <v>4</v>
      </c>
      <c r="AD31">
        <v>0</v>
      </c>
      <c r="AE31">
        <v>3</v>
      </c>
      <c r="AF31">
        <v>0</v>
      </c>
      <c r="AG31">
        <v>16</v>
      </c>
      <c r="AH31">
        <v>13</v>
      </c>
      <c r="AI31">
        <v>6</v>
      </c>
    </row>
    <row r="32" spans="1:35" ht="21" x14ac:dyDescent="0.3">
      <c r="A32" t="s">
        <v>561</v>
      </c>
      <c r="B32" s="11">
        <v>31</v>
      </c>
      <c r="C32">
        <v>659</v>
      </c>
      <c r="D32">
        <v>31</v>
      </c>
      <c r="E32" s="4">
        <v>44550</v>
      </c>
      <c r="F32" t="s">
        <v>64</v>
      </c>
      <c r="H32" t="s">
        <v>102</v>
      </c>
      <c r="I32" t="s">
        <v>391</v>
      </c>
      <c r="J32" t="s">
        <v>41</v>
      </c>
      <c r="K32" s="7">
        <v>0.83819444444444446</v>
      </c>
      <c r="L32">
        <v>4</v>
      </c>
      <c r="M32">
        <v>12</v>
      </c>
      <c r="N32">
        <v>0.33300000000000002</v>
      </c>
      <c r="O32">
        <v>2</v>
      </c>
      <c r="P32">
        <v>4</v>
      </c>
      <c r="Q32">
        <v>0.5</v>
      </c>
      <c r="R32">
        <v>2</v>
      </c>
      <c r="S32">
        <v>8</v>
      </c>
      <c r="T32">
        <v>0.25</v>
      </c>
      <c r="U32">
        <v>0.41699999999999998</v>
      </c>
      <c r="V32">
        <v>0</v>
      </c>
      <c r="W32">
        <v>0</v>
      </c>
      <c r="Y32">
        <v>1</v>
      </c>
      <c r="Z32">
        <v>1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2</v>
      </c>
      <c r="AG32">
        <v>10</v>
      </c>
      <c r="AH32">
        <v>3.4</v>
      </c>
      <c r="AI32">
        <v>-12</v>
      </c>
    </row>
    <row r="33" spans="1:35" ht="21" x14ac:dyDescent="0.3">
      <c r="A33" t="s">
        <v>561</v>
      </c>
      <c r="B33" s="11">
        <v>31</v>
      </c>
      <c r="D33">
        <v>32</v>
      </c>
      <c r="E33" s="4">
        <v>44552</v>
      </c>
      <c r="F33" t="s">
        <v>64</v>
      </c>
      <c r="G33" t="s">
        <v>37</v>
      </c>
      <c r="H33" t="s">
        <v>66</v>
      </c>
      <c r="I33" t="s">
        <v>392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91</v>
      </c>
      <c r="Q33" t="s">
        <v>91</v>
      </c>
      <c r="R33" t="s">
        <v>91</v>
      </c>
      <c r="S33" t="s">
        <v>91</v>
      </c>
      <c r="T33" t="s">
        <v>91</v>
      </c>
      <c r="U33" t="s">
        <v>91</v>
      </c>
      <c r="V33" t="s">
        <v>91</v>
      </c>
      <c r="W33" t="s">
        <v>91</v>
      </c>
      <c r="X33" t="s">
        <v>91</v>
      </c>
      <c r="Y33" t="s">
        <v>91</v>
      </c>
      <c r="Z33" t="s">
        <v>91</v>
      </c>
      <c r="AA33" t="s">
        <v>91</v>
      </c>
      <c r="AB33" t="s">
        <v>91</v>
      </c>
      <c r="AC33" t="s">
        <v>91</v>
      </c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 t="s">
        <v>91</v>
      </c>
    </row>
    <row r="34" spans="1:35" ht="21" x14ac:dyDescent="0.3">
      <c r="A34" t="s">
        <v>561</v>
      </c>
      <c r="B34" s="11">
        <v>31</v>
      </c>
      <c r="D34">
        <v>33</v>
      </c>
      <c r="E34" s="4">
        <v>44556</v>
      </c>
      <c r="F34" t="s">
        <v>64</v>
      </c>
      <c r="H34" t="s">
        <v>34</v>
      </c>
      <c r="I34" t="s">
        <v>393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  <c r="O34" t="s">
        <v>91</v>
      </c>
      <c r="P34" t="s">
        <v>91</v>
      </c>
      <c r="Q34" t="s">
        <v>91</v>
      </c>
      <c r="R34" t="s">
        <v>91</v>
      </c>
      <c r="S34" t="s">
        <v>91</v>
      </c>
      <c r="T34" t="s">
        <v>91</v>
      </c>
      <c r="U34" t="s">
        <v>91</v>
      </c>
      <c r="V34" t="s">
        <v>91</v>
      </c>
      <c r="W34" t="s">
        <v>91</v>
      </c>
      <c r="X34" t="s">
        <v>91</v>
      </c>
      <c r="Y34" t="s">
        <v>91</v>
      </c>
      <c r="Z34" t="s">
        <v>91</v>
      </c>
      <c r="AA34" t="s">
        <v>91</v>
      </c>
      <c r="AB34" t="s">
        <v>91</v>
      </c>
      <c r="AC34" t="s">
        <v>91</v>
      </c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 t="s">
        <v>91</v>
      </c>
    </row>
    <row r="35" spans="1:35" ht="21" x14ac:dyDescent="0.3">
      <c r="A35" t="s">
        <v>561</v>
      </c>
      <c r="B35" s="11">
        <v>31</v>
      </c>
      <c r="D35">
        <v>34</v>
      </c>
      <c r="E35" s="4">
        <v>44557</v>
      </c>
      <c r="F35" t="s">
        <v>64</v>
      </c>
      <c r="H35" t="s">
        <v>85</v>
      </c>
      <c r="I35" t="s">
        <v>394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  <c r="O35" t="s">
        <v>91</v>
      </c>
      <c r="P35" t="s">
        <v>91</v>
      </c>
      <c r="Q35" t="s">
        <v>91</v>
      </c>
      <c r="R35" t="s">
        <v>91</v>
      </c>
      <c r="S35" t="s">
        <v>91</v>
      </c>
      <c r="T35" t="s">
        <v>91</v>
      </c>
      <c r="U35" t="s">
        <v>91</v>
      </c>
      <c r="V35" t="s">
        <v>91</v>
      </c>
      <c r="W35" t="s">
        <v>91</v>
      </c>
      <c r="X35" t="s">
        <v>91</v>
      </c>
      <c r="Y35" t="s">
        <v>91</v>
      </c>
      <c r="Z35" t="s">
        <v>91</v>
      </c>
      <c r="AA35" t="s">
        <v>91</v>
      </c>
      <c r="AB35" t="s">
        <v>91</v>
      </c>
      <c r="AC35" t="s">
        <v>91</v>
      </c>
      <c r="AD35" t="s">
        <v>91</v>
      </c>
      <c r="AE35" t="s">
        <v>91</v>
      </c>
      <c r="AF35" t="s">
        <v>91</v>
      </c>
      <c r="AG35" t="s">
        <v>91</v>
      </c>
      <c r="AH35" t="s">
        <v>91</v>
      </c>
      <c r="AI35" t="s">
        <v>91</v>
      </c>
    </row>
    <row r="36" spans="1:35" ht="21" x14ac:dyDescent="0.3">
      <c r="A36" t="s">
        <v>561</v>
      </c>
      <c r="B36" s="11">
        <v>31</v>
      </c>
      <c r="D36">
        <v>35</v>
      </c>
      <c r="E36" s="4">
        <v>44559</v>
      </c>
      <c r="F36" t="s">
        <v>64</v>
      </c>
      <c r="G36" t="s">
        <v>37</v>
      </c>
      <c r="H36" t="s">
        <v>55</v>
      </c>
      <c r="I36" t="s">
        <v>395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  <c r="O36" t="s">
        <v>91</v>
      </c>
      <c r="P36" t="s">
        <v>91</v>
      </c>
      <c r="Q36" t="s">
        <v>91</v>
      </c>
      <c r="R36" t="s">
        <v>91</v>
      </c>
      <c r="S36" t="s">
        <v>91</v>
      </c>
      <c r="T36" t="s">
        <v>91</v>
      </c>
      <c r="U36" t="s">
        <v>91</v>
      </c>
      <c r="V36" t="s">
        <v>91</v>
      </c>
      <c r="W36" t="s">
        <v>91</v>
      </c>
      <c r="X36" t="s">
        <v>91</v>
      </c>
      <c r="Y36" t="s">
        <v>91</v>
      </c>
      <c r="Z36" t="s">
        <v>91</v>
      </c>
      <c r="AA36" t="s">
        <v>91</v>
      </c>
      <c r="AB36" t="s">
        <v>91</v>
      </c>
      <c r="AC36" t="s">
        <v>91</v>
      </c>
      <c r="AD36" t="s">
        <v>91</v>
      </c>
      <c r="AE36" t="s">
        <v>91</v>
      </c>
      <c r="AF36" t="s">
        <v>91</v>
      </c>
      <c r="AG36" t="s">
        <v>91</v>
      </c>
      <c r="AH36" t="s">
        <v>91</v>
      </c>
      <c r="AI36" t="s">
        <v>91</v>
      </c>
    </row>
    <row r="37" spans="1:35" ht="21" x14ac:dyDescent="0.3">
      <c r="A37" t="s">
        <v>561</v>
      </c>
      <c r="B37" s="11">
        <v>32</v>
      </c>
      <c r="C37">
        <v>660</v>
      </c>
      <c r="D37">
        <v>36</v>
      </c>
      <c r="E37" s="4">
        <v>44561</v>
      </c>
      <c r="F37" t="s">
        <v>64</v>
      </c>
      <c r="G37" t="s">
        <v>37</v>
      </c>
      <c r="H37" t="s">
        <v>92</v>
      </c>
      <c r="I37" t="s">
        <v>125</v>
      </c>
      <c r="J37" t="s">
        <v>41</v>
      </c>
      <c r="K37" s="9">
        <v>1.29375</v>
      </c>
      <c r="L37">
        <v>6</v>
      </c>
      <c r="M37">
        <v>14</v>
      </c>
      <c r="N37">
        <v>0.42899999999999999</v>
      </c>
      <c r="O37">
        <v>5</v>
      </c>
      <c r="P37">
        <v>8</v>
      </c>
      <c r="Q37">
        <v>0.625</v>
      </c>
      <c r="R37">
        <v>1</v>
      </c>
      <c r="S37">
        <v>6</v>
      </c>
      <c r="T37">
        <v>0.16700000000000001</v>
      </c>
      <c r="U37">
        <v>0.60699999999999998</v>
      </c>
      <c r="V37">
        <v>0</v>
      </c>
      <c r="W37">
        <v>0</v>
      </c>
      <c r="Y37">
        <v>0</v>
      </c>
      <c r="Z37">
        <v>3</v>
      </c>
      <c r="AA37">
        <v>3</v>
      </c>
      <c r="AB37">
        <v>4</v>
      </c>
      <c r="AC37">
        <v>2</v>
      </c>
      <c r="AD37">
        <v>0</v>
      </c>
      <c r="AE37">
        <v>4</v>
      </c>
      <c r="AF37">
        <v>2</v>
      </c>
      <c r="AG37">
        <v>17</v>
      </c>
      <c r="AH37">
        <v>10.5</v>
      </c>
      <c r="AI37">
        <v>-12</v>
      </c>
    </row>
    <row r="38" spans="1:35" ht="21" x14ac:dyDescent="0.3">
      <c r="A38" t="s">
        <v>561</v>
      </c>
      <c r="B38" s="11">
        <v>33</v>
      </c>
      <c r="C38">
        <v>661</v>
      </c>
      <c r="D38">
        <v>37</v>
      </c>
      <c r="E38" s="4">
        <v>44562</v>
      </c>
      <c r="F38" t="s">
        <v>64</v>
      </c>
      <c r="G38" t="s">
        <v>37</v>
      </c>
      <c r="H38" t="s">
        <v>85</v>
      </c>
      <c r="I38" t="s">
        <v>396</v>
      </c>
      <c r="J38" t="s">
        <v>41</v>
      </c>
      <c r="K38" s="9">
        <v>1.3888888888888888</v>
      </c>
      <c r="L38">
        <v>7</v>
      </c>
      <c r="M38">
        <v>15</v>
      </c>
      <c r="N38">
        <v>0.46700000000000003</v>
      </c>
      <c r="O38">
        <v>3</v>
      </c>
      <c r="P38">
        <v>9</v>
      </c>
      <c r="Q38">
        <v>0.33300000000000002</v>
      </c>
      <c r="R38">
        <v>4</v>
      </c>
      <c r="S38">
        <v>6</v>
      </c>
      <c r="T38">
        <v>0.66700000000000004</v>
      </c>
      <c r="U38">
        <v>0.56699999999999995</v>
      </c>
      <c r="V38">
        <v>2</v>
      </c>
      <c r="W38">
        <v>2</v>
      </c>
      <c r="X38">
        <v>1</v>
      </c>
      <c r="Y38">
        <v>0</v>
      </c>
      <c r="Z38">
        <v>3</v>
      </c>
      <c r="AA38">
        <v>3</v>
      </c>
      <c r="AB38">
        <v>3</v>
      </c>
      <c r="AC38">
        <v>1</v>
      </c>
      <c r="AD38">
        <v>0</v>
      </c>
      <c r="AE38">
        <v>0</v>
      </c>
      <c r="AF38">
        <v>1</v>
      </c>
      <c r="AG38">
        <v>19</v>
      </c>
      <c r="AH38">
        <v>14.9</v>
      </c>
      <c r="AI38">
        <v>13</v>
      </c>
    </row>
    <row r="39" spans="1:35" ht="21" x14ac:dyDescent="0.3">
      <c r="A39" t="s">
        <v>561</v>
      </c>
      <c r="B39" s="11">
        <v>34</v>
      </c>
      <c r="C39">
        <v>662</v>
      </c>
      <c r="D39">
        <v>38</v>
      </c>
      <c r="E39" s="4">
        <v>44564</v>
      </c>
      <c r="F39" t="s">
        <v>64</v>
      </c>
      <c r="H39" t="s">
        <v>80</v>
      </c>
      <c r="I39" t="s">
        <v>397</v>
      </c>
      <c r="J39" t="s">
        <v>41</v>
      </c>
      <c r="K39" s="7">
        <v>0.88194444444444442</v>
      </c>
      <c r="L39">
        <v>2</v>
      </c>
      <c r="M39">
        <v>9</v>
      </c>
      <c r="N39">
        <v>0.222</v>
      </c>
      <c r="O39">
        <v>1</v>
      </c>
      <c r="P39">
        <v>5</v>
      </c>
      <c r="Q39">
        <v>0.2</v>
      </c>
      <c r="R39">
        <v>1</v>
      </c>
      <c r="S39">
        <v>4</v>
      </c>
      <c r="T39">
        <v>0.25</v>
      </c>
      <c r="U39">
        <v>0.27800000000000002</v>
      </c>
      <c r="V39">
        <v>0</v>
      </c>
      <c r="W39">
        <v>0</v>
      </c>
      <c r="Y39">
        <v>0</v>
      </c>
      <c r="Z39">
        <v>2</v>
      </c>
      <c r="AA39">
        <v>2</v>
      </c>
      <c r="AB39">
        <v>1</v>
      </c>
      <c r="AC39">
        <v>1</v>
      </c>
      <c r="AD39">
        <v>0</v>
      </c>
      <c r="AE39">
        <v>3</v>
      </c>
      <c r="AF39">
        <v>1</v>
      </c>
      <c r="AG39">
        <v>5</v>
      </c>
      <c r="AH39">
        <v>-1.6</v>
      </c>
      <c r="AI39">
        <v>-18</v>
      </c>
    </row>
    <row r="40" spans="1:35" ht="21" x14ac:dyDescent="0.3">
      <c r="A40" t="s">
        <v>561</v>
      </c>
      <c r="B40" s="11">
        <v>35</v>
      </c>
      <c r="C40">
        <v>663</v>
      </c>
      <c r="D40">
        <v>39</v>
      </c>
      <c r="E40" s="4">
        <v>44567</v>
      </c>
      <c r="F40" t="s">
        <v>64</v>
      </c>
      <c r="G40" t="s">
        <v>37</v>
      </c>
      <c r="H40" t="s">
        <v>99</v>
      </c>
      <c r="I40" t="s">
        <v>398</v>
      </c>
      <c r="J40" t="s">
        <v>41</v>
      </c>
      <c r="K40" s="9">
        <v>1.3083333333333333</v>
      </c>
      <c r="L40">
        <v>5</v>
      </c>
      <c r="M40">
        <v>16</v>
      </c>
      <c r="N40">
        <v>0.313</v>
      </c>
      <c r="O40">
        <v>2</v>
      </c>
      <c r="P40">
        <v>8</v>
      </c>
      <c r="Q40">
        <v>0.25</v>
      </c>
      <c r="R40">
        <v>3</v>
      </c>
      <c r="S40">
        <v>8</v>
      </c>
      <c r="T40">
        <v>0.375</v>
      </c>
      <c r="U40">
        <v>0.375</v>
      </c>
      <c r="V40">
        <v>4</v>
      </c>
      <c r="W40">
        <v>4</v>
      </c>
      <c r="X40">
        <v>1</v>
      </c>
      <c r="Y40">
        <v>0</v>
      </c>
      <c r="Z40">
        <v>8</v>
      </c>
      <c r="AA40">
        <v>8</v>
      </c>
      <c r="AB40">
        <v>3</v>
      </c>
      <c r="AC40">
        <v>0</v>
      </c>
      <c r="AD40">
        <v>0</v>
      </c>
      <c r="AE40">
        <v>5</v>
      </c>
      <c r="AF40">
        <v>4</v>
      </c>
      <c r="AG40">
        <v>16</v>
      </c>
      <c r="AH40">
        <v>4.7</v>
      </c>
      <c r="AI40">
        <v>-11</v>
      </c>
    </row>
    <row r="41" spans="1:35" ht="21" x14ac:dyDescent="0.3">
      <c r="A41" t="s">
        <v>561</v>
      </c>
      <c r="B41" s="11">
        <v>36</v>
      </c>
      <c r="C41">
        <v>664</v>
      </c>
      <c r="D41">
        <v>40</v>
      </c>
      <c r="E41" s="4">
        <v>44569</v>
      </c>
      <c r="F41" t="s">
        <v>64</v>
      </c>
      <c r="H41" t="s">
        <v>42</v>
      </c>
      <c r="I41" t="s">
        <v>299</v>
      </c>
      <c r="J41" t="s">
        <v>41</v>
      </c>
      <c r="K41" s="9">
        <v>1.0666666666666667</v>
      </c>
      <c r="L41">
        <v>5</v>
      </c>
      <c r="M41">
        <v>15</v>
      </c>
      <c r="N41">
        <v>0.33300000000000002</v>
      </c>
      <c r="O41">
        <v>2</v>
      </c>
      <c r="P41">
        <v>6</v>
      </c>
      <c r="Q41">
        <v>0.33300000000000002</v>
      </c>
      <c r="R41">
        <v>3</v>
      </c>
      <c r="S41">
        <v>9</v>
      </c>
      <c r="T41">
        <v>0.33300000000000002</v>
      </c>
      <c r="U41">
        <v>0.4</v>
      </c>
      <c r="V41">
        <v>6</v>
      </c>
      <c r="W41">
        <v>6</v>
      </c>
      <c r="X41">
        <v>1</v>
      </c>
      <c r="Y41">
        <v>0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2</v>
      </c>
      <c r="AF41">
        <v>4</v>
      </c>
      <c r="AG41">
        <v>18</v>
      </c>
      <c r="AH41">
        <v>7.2</v>
      </c>
      <c r="AI41">
        <v>-24</v>
      </c>
    </row>
    <row r="42" spans="1:35" ht="21" x14ac:dyDescent="0.3">
      <c r="A42" t="s">
        <v>561</v>
      </c>
      <c r="B42" s="11">
        <v>37</v>
      </c>
      <c r="C42">
        <v>665</v>
      </c>
      <c r="D42">
        <v>41</v>
      </c>
      <c r="E42" s="4">
        <v>44570</v>
      </c>
      <c r="F42" t="s">
        <v>64</v>
      </c>
      <c r="H42" t="s">
        <v>78</v>
      </c>
      <c r="I42" t="s">
        <v>399</v>
      </c>
      <c r="J42" t="s">
        <v>41</v>
      </c>
      <c r="K42" s="7">
        <v>0.88611111111111107</v>
      </c>
      <c r="L42">
        <v>5</v>
      </c>
      <c r="M42">
        <v>14</v>
      </c>
      <c r="N42">
        <v>0.35699999999999998</v>
      </c>
      <c r="O42">
        <v>2</v>
      </c>
      <c r="P42">
        <v>4</v>
      </c>
      <c r="Q42">
        <v>0.5</v>
      </c>
      <c r="R42">
        <v>3</v>
      </c>
      <c r="S42">
        <v>10</v>
      </c>
      <c r="T42">
        <v>0.3</v>
      </c>
      <c r="U42">
        <v>0.42899999999999999</v>
      </c>
      <c r="V42">
        <v>0</v>
      </c>
      <c r="W42">
        <v>0</v>
      </c>
      <c r="Y42">
        <v>1</v>
      </c>
      <c r="Z42">
        <v>2</v>
      </c>
      <c r="AA42">
        <v>3</v>
      </c>
      <c r="AB42">
        <v>3</v>
      </c>
      <c r="AC42">
        <v>1</v>
      </c>
      <c r="AD42">
        <v>0</v>
      </c>
      <c r="AE42">
        <v>3</v>
      </c>
      <c r="AF42">
        <v>2</v>
      </c>
      <c r="AG42">
        <v>12</v>
      </c>
      <c r="AH42">
        <v>4.8</v>
      </c>
      <c r="AI42">
        <v>-6</v>
      </c>
    </row>
    <row r="43" spans="1:35" ht="21" x14ac:dyDescent="0.3">
      <c r="A43" t="s">
        <v>561</v>
      </c>
      <c r="B43" s="11">
        <v>38</v>
      </c>
      <c r="C43">
        <v>666</v>
      </c>
      <c r="D43">
        <v>42</v>
      </c>
      <c r="E43" s="4">
        <v>44572</v>
      </c>
      <c r="F43" t="s">
        <v>64</v>
      </c>
      <c r="H43" t="s">
        <v>34</v>
      </c>
      <c r="I43" t="s">
        <v>400</v>
      </c>
      <c r="J43" t="s">
        <v>41</v>
      </c>
      <c r="K43" s="9">
        <v>1.3090277777777777</v>
      </c>
      <c r="L43">
        <v>5</v>
      </c>
      <c r="M43">
        <v>15</v>
      </c>
      <c r="N43">
        <v>0.33300000000000002</v>
      </c>
      <c r="O43">
        <v>1</v>
      </c>
      <c r="P43">
        <v>6</v>
      </c>
      <c r="Q43">
        <v>0.16700000000000001</v>
      </c>
      <c r="R43">
        <v>4</v>
      </c>
      <c r="S43">
        <v>9</v>
      </c>
      <c r="T43">
        <v>0.44400000000000001</v>
      </c>
      <c r="U43">
        <v>0.36699999999999999</v>
      </c>
      <c r="V43">
        <v>2</v>
      </c>
      <c r="W43">
        <v>2</v>
      </c>
      <c r="X43">
        <v>1</v>
      </c>
      <c r="Y43">
        <v>1</v>
      </c>
      <c r="Z43">
        <v>2</v>
      </c>
      <c r="AA43">
        <v>3</v>
      </c>
      <c r="AB43">
        <v>4</v>
      </c>
      <c r="AC43">
        <v>2</v>
      </c>
      <c r="AD43">
        <v>0</v>
      </c>
      <c r="AE43">
        <v>2</v>
      </c>
      <c r="AF43">
        <v>5</v>
      </c>
      <c r="AG43">
        <v>13</v>
      </c>
      <c r="AH43">
        <v>6.6</v>
      </c>
      <c r="AI43">
        <v>-22</v>
      </c>
    </row>
    <row r="44" spans="1:35" ht="21" x14ac:dyDescent="0.3">
      <c r="A44" t="s">
        <v>561</v>
      </c>
      <c r="B44" s="11">
        <v>39</v>
      </c>
      <c r="C44">
        <v>667</v>
      </c>
      <c r="D44">
        <v>43</v>
      </c>
      <c r="E44" s="4">
        <v>44574</v>
      </c>
      <c r="F44" t="s">
        <v>64</v>
      </c>
      <c r="G44" t="s">
        <v>37</v>
      </c>
      <c r="H44" t="s">
        <v>74</v>
      </c>
      <c r="I44" t="s">
        <v>401</v>
      </c>
      <c r="J44" t="s">
        <v>41</v>
      </c>
      <c r="K44" s="9">
        <v>1.0618055555555554</v>
      </c>
      <c r="L44">
        <v>2</v>
      </c>
      <c r="M44">
        <v>11</v>
      </c>
      <c r="N44">
        <v>0.182</v>
      </c>
      <c r="O44">
        <v>1</v>
      </c>
      <c r="P44">
        <v>6</v>
      </c>
      <c r="Q44">
        <v>0.16700000000000001</v>
      </c>
      <c r="R44">
        <v>1</v>
      </c>
      <c r="S44">
        <v>5</v>
      </c>
      <c r="T44">
        <v>0.2</v>
      </c>
      <c r="U44">
        <v>0.22700000000000001</v>
      </c>
      <c r="V44">
        <v>0</v>
      </c>
      <c r="W44">
        <v>0</v>
      </c>
      <c r="Y44">
        <v>0</v>
      </c>
      <c r="Z44">
        <v>6</v>
      </c>
      <c r="AA44">
        <v>6</v>
      </c>
      <c r="AB44">
        <v>3</v>
      </c>
      <c r="AC44">
        <v>0</v>
      </c>
      <c r="AD44">
        <v>0</v>
      </c>
      <c r="AE44">
        <v>1</v>
      </c>
      <c r="AF44">
        <v>0</v>
      </c>
      <c r="AG44">
        <v>5</v>
      </c>
      <c r="AH44">
        <v>1</v>
      </c>
      <c r="AI44">
        <v>-25</v>
      </c>
    </row>
    <row r="45" spans="1:35" ht="21" x14ac:dyDescent="0.3">
      <c r="A45" t="s">
        <v>561</v>
      </c>
      <c r="B45" s="11">
        <v>40</v>
      </c>
      <c r="C45">
        <v>668</v>
      </c>
      <c r="D45">
        <v>44</v>
      </c>
      <c r="E45" s="4">
        <v>44576</v>
      </c>
      <c r="F45" t="s">
        <v>64</v>
      </c>
      <c r="G45" t="s">
        <v>37</v>
      </c>
      <c r="H45" t="s">
        <v>102</v>
      </c>
      <c r="I45" t="s">
        <v>402</v>
      </c>
      <c r="J45" t="s">
        <v>41</v>
      </c>
      <c r="K45" s="9">
        <v>1.05</v>
      </c>
      <c r="L45">
        <v>3</v>
      </c>
      <c r="M45">
        <v>14</v>
      </c>
      <c r="N45">
        <v>0.214</v>
      </c>
      <c r="O45">
        <v>1</v>
      </c>
      <c r="P45">
        <v>6</v>
      </c>
      <c r="Q45">
        <v>0.16700000000000001</v>
      </c>
      <c r="R45">
        <v>2</v>
      </c>
      <c r="S45">
        <v>8</v>
      </c>
      <c r="T45">
        <v>0.25</v>
      </c>
      <c r="U45">
        <v>0.25</v>
      </c>
      <c r="V45">
        <v>0</v>
      </c>
      <c r="W45">
        <v>1</v>
      </c>
      <c r="X45">
        <v>0</v>
      </c>
      <c r="Y45">
        <v>0</v>
      </c>
      <c r="Z45">
        <v>2</v>
      </c>
      <c r="AA45">
        <v>2</v>
      </c>
      <c r="AB45">
        <v>4</v>
      </c>
      <c r="AC45">
        <v>1</v>
      </c>
      <c r="AD45">
        <v>0</v>
      </c>
      <c r="AE45">
        <v>1</v>
      </c>
      <c r="AF45">
        <v>0</v>
      </c>
      <c r="AG45">
        <v>7</v>
      </c>
      <c r="AH45">
        <v>1.4</v>
      </c>
      <c r="AI45">
        <v>-7</v>
      </c>
    </row>
    <row r="46" spans="1:35" ht="21" x14ac:dyDescent="0.3">
      <c r="A46" t="s">
        <v>561</v>
      </c>
      <c r="B46" s="11">
        <v>41</v>
      </c>
      <c r="C46">
        <v>669</v>
      </c>
      <c r="D46">
        <v>45</v>
      </c>
      <c r="E46" s="4">
        <v>44578</v>
      </c>
      <c r="F46" t="s">
        <v>64</v>
      </c>
      <c r="H46" t="s">
        <v>108</v>
      </c>
      <c r="I46" t="s">
        <v>403</v>
      </c>
      <c r="J46" t="s">
        <v>41</v>
      </c>
      <c r="K46" s="9">
        <v>1.351388888888889</v>
      </c>
      <c r="L46">
        <v>6</v>
      </c>
      <c r="M46">
        <v>14</v>
      </c>
      <c r="N46">
        <v>0.42899999999999999</v>
      </c>
      <c r="O46">
        <v>1</v>
      </c>
      <c r="P46">
        <v>7</v>
      </c>
      <c r="Q46">
        <v>0.14299999999999999</v>
      </c>
      <c r="R46">
        <v>5</v>
      </c>
      <c r="S46">
        <v>7</v>
      </c>
      <c r="T46">
        <v>0.71399999999999997</v>
      </c>
      <c r="U46">
        <v>0.46400000000000002</v>
      </c>
      <c r="V46">
        <v>13</v>
      </c>
      <c r="W46">
        <v>14</v>
      </c>
      <c r="X46">
        <v>0.92900000000000005</v>
      </c>
      <c r="Y46">
        <v>0</v>
      </c>
      <c r="Z46">
        <v>5</v>
      </c>
      <c r="AA46">
        <v>5</v>
      </c>
      <c r="AB46">
        <v>3</v>
      </c>
      <c r="AC46">
        <v>3</v>
      </c>
      <c r="AD46">
        <v>0</v>
      </c>
      <c r="AE46">
        <v>3</v>
      </c>
      <c r="AF46">
        <v>3</v>
      </c>
      <c r="AG46">
        <v>26</v>
      </c>
      <c r="AH46">
        <v>20.6</v>
      </c>
      <c r="AI46">
        <v>18</v>
      </c>
    </row>
    <row r="47" spans="1:35" ht="21" x14ac:dyDescent="0.3">
      <c r="A47" t="s">
        <v>561</v>
      </c>
      <c r="B47" s="11">
        <v>42</v>
      </c>
      <c r="C47">
        <v>670</v>
      </c>
      <c r="D47">
        <v>46</v>
      </c>
      <c r="E47" s="4">
        <v>44580</v>
      </c>
      <c r="F47" t="s">
        <v>64</v>
      </c>
      <c r="G47" t="s">
        <v>37</v>
      </c>
      <c r="H47" t="s">
        <v>34</v>
      </c>
      <c r="I47" t="s">
        <v>404</v>
      </c>
      <c r="J47" t="s">
        <v>41</v>
      </c>
      <c r="K47" s="9">
        <v>1.5930555555555554</v>
      </c>
      <c r="L47">
        <v>12</v>
      </c>
      <c r="M47">
        <v>22</v>
      </c>
      <c r="N47">
        <v>0.54500000000000004</v>
      </c>
      <c r="O47">
        <v>3</v>
      </c>
      <c r="P47">
        <v>11</v>
      </c>
      <c r="Q47">
        <v>0.27300000000000002</v>
      </c>
      <c r="R47">
        <v>9</v>
      </c>
      <c r="S47">
        <v>11</v>
      </c>
      <c r="T47">
        <v>0.81799999999999995</v>
      </c>
      <c r="U47">
        <v>0.61399999999999999</v>
      </c>
      <c r="V47">
        <v>1</v>
      </c>
      <c r="W47">
        <v>2</v>
      </c>
      <c r="X47">
        <v>0.5</v>
      </c>
      <c r="Y47">
        <v>0</v>
      </c>
      <c r="Z47">
        <v>3</v>
      </c>
      <c r="AA47">
        <v>3</v>
      </c>
      <c r="AB47">
        <v>12</v>
      </c>
      <c r="AC47">
        <v>0</v>
      </c>
      <c r="AD47">
        <v>0</v>
      </c>
      <c r="AE47">
        <v>2</v>
      </c>
      <c r="AF47">
        <v>2</v>
      </c>
      <c r="AG47">
        <v>28</v>
      </c>
      <c r="AH47">
        <v>23.5</v>
      </c>
      <c r="AI47">
        <v>-2</v>
      </c>
    </row>
    <row r="48" spans="1:35" ht="21" x14ac:dyDescent="0.3">
      <c r="A48" t="s">
        <v>561</v>
      </c>
      <c r="B48" s="11">
        <v>43</v>
      </c>
      <c r="C48">
        <v>671</v>
      </c>
      <c r="D48">
        <v>47</v>
      </c>
      <c r="E48" s="4">
        <v>44582</v>
      </c>
      <c r="F48" t="s">
        <v>64</v>
      </c>
      <c r="G48" t="s">
        <v>37</v>
      </c>
      <c r="H48" t="s">
        <v>94</v>
      </c>
      <c r="I48" t="s">
        <v>405</v>
      </c>
      <c r="J48" t="s">
        <v>41</v>
      </c>
      <c r="K48" s="9">
        <v>1.2152777777777777</v>
      </c>
      <c r="L48">
        <v>8</v>
      </c>
      <c r="M48">
        <v>14</v>
      </c>
      <c r="N48">
        <v>0.57099999999999995</v>
      </c>
      <c r="O48">
        <v>1</v>
      </c>
      <c r="P48">
        <v>2</v>
      </c>
      <c r="Q48">
        <v>0.5</v>
      </c>
      <c r="R48">
        <v>7</v>
      </c>
      <c r="S48">
        <v>12</v>
      </c>
      <c r="T48">
        <v>0.58299999999999996</v>
      </c>
      <c r="U48">
        <v>0.60699999999999998</v>
      </c>
      <c r="V48">
        <v>2</v>
      </c>
      <c r="W48">
        <v>2</v>
      </c>
      <c r="X48">
        <v>1</v>
      </c>
      <c r="Y48">
        <v>1</v>
      </c>
      <c r="Z48">
        <v>2</v>
      </c>
      <c r="AA48">
        <v>3</v>
      </c>
      <c r="AB48">
        <v>9</v>
      </c>
      <c r="AC48">
        <v>0</v>
      </c>
      <c r="AD48">
        <v>0</v>
      </c>
      <c r="AE48">
        <v>4</v>
      </c>
      <c r="AF48">
        <v>1</v>
      </c>
      <c r="AG48">
        <v>19</v>
      </c>
      <c r="AH48">
        <v>15.6</v>
      </c>
      <c r="AI48">
        <v>10</v>
      </c>
    </row>
    <row r="49" spans="1:35" ht="21" x14ac:dyDescent="0.3">
      <c r="A49" t="s">
        <v>561</v>
      </c>
      <c r="B49" s="11">
        <v>44</v>
      </c>
      <c r="C49">
        <v>672</v>
      </c>
      <c r="D49">
        <v>48</v>
      </c>
      <c r="E49" s="4">
        <v>44584</v>
      </c>
      <c r="F49" t="s">
        <v>64</v>
      </c>
      <c r="G49" t="s">
        <v>37</v>
      </c>
      <c r="H49" t="s">
        <v>110</v>
      </c>
      <c r="I49" t="s">
        <v>406</v>
      </c>
      <c r="J49" t="s">
        <v>41</v>
      </c>
      <c r="K49" s="9">
        <v>1.3666666666666667</v>
      </c>
      <c r="L49">
        <v>10</v>
      </c>
      <c r="M49">
        <v>18</v>
      </c>
      <c r="N49">
        <v>0.55600000000000005</v>
      </c>
      <c r="O49">
        <v>4</v>
      </c>
      <c r="P49">
        <v>8</v>
      </c>
      <c r="Q49">
        <v>0.5</v>
      </c>
      <c r="R49">
        <v>6</v>
      </c>
      <c r="S49">
        <v>10</v>
      </c>
      <c r="T49">
        <v>0.6</v>
      </c>
      <c r="U49">
        <v>0.66700000000000004</v>
      </c>
      <c r="V49">
        <v>2</v>
      </c>
      <c r="W49">
        <v>2</v>
      </c>
      <c r="X49">
        <v>1</v>
      </c>
      <c r="Y49">
        <v>0</v>
      </c>
      <c r="Z49">
        <v>2</v>
      </c>
      <c r="AA49">
        <v>2</v>
      </c>
      <c r="AB49">
        <v>5</v>
      </c>
      <c r="AC49">
        <v>1</v>
      </c>
      <c r="AD49">
        <v>0</v>
      </c>
      <c r="AE49">
        <v>2</v>
      </c>
      <c r="AF49">
        <v>3</v>
      </c>
      <c r="AG49">
        <v>26</v>
      </c>
      <c r="AH49">
        <v>19.3</v>
      </c>
      <c r="AI49">
        <v>-2</v>
      </c>
    </row>
    <row r="50" spans="1:35" ht="21" x14ac:dyDescent="0.3">
      <c r="A50" t="s">
        <v>561</v>
      </c>
      <c r="B50" s="11">
        <v>45</v>
      </c>
      <c r="C50">
        <v>673</v>
      </c>
      <c r="D50">
        <v>49</v>
      </c>
      <c r="E50" s="4">
        <v>44586</v>
      </c>
      <c r="F50" t="s">
        <v>64</v>
      </c>
      <c r="G50" t="s">
        <v>37</v>
      </c>
      <c r="H50" t="s">
        <v>155</v>
      </c>
      <c r="I50" t="s">
        <v>407</v>
      </c>
      <c r="J50" t="s">
        <v>41</v>
      </c>
      <c r="K50" s="7">
        <v>0.65902777777777777</v>
      </c>
      <c r="L50">
        <v>1</v>
      </c>
      <c r="M50">
        <v>9</v>
      </c>
      <c r="N50">
        <v>0.111</v>
      </c>
      <c r="O50">
        <v>0</v>
      </c>
      <c r="P50">
        <v>2</v>
      </c>
      <c r="Q50">
        <v>0</v>
      </c>
      <c r="R50">
        <v>1</v>
      </c>
      <c r="S50">
        <v>7</v>
      </c>
      <c r="T50">
        <v>0.14299999999999999</v>
      </c>
      <c r="U50">
        <v>0.111</v>
      </c>
      <c r="V50">
        <v>2</v>
      </c>
      <c r="W50">
        <v>2</v>
      </c>
      <c r="X50">
        <v>1</v>
      </c>
      <c r="Y50">
        <v>1</v>
      </c>
      <c r="Z50">
        <v>1</v>
      </c>
      <c r="AA50">
        <v>2</v>
      </c>
      <c r="AB50">
        <v>1</v>
      </c>
      <c r="AC50">
        <v>1</v>
      </c>
      <c r="AD50">
        <v>0</v>
      </c>
      <c r="AE50">
        <v>1</v>
      </c>
      <c r="AF50">
        <v>2</v>
      </c>
      <c r="AG50">
        <v>4</v>
      </c>
      <c r="AH50">
        <v>-1</v>
      </c>
      <c r="AI50">
        <v>-29</v>
      </c>
    </row>
    <row r="51" spans="1:35" ht="21" x14ac:dyDescent="0.3">
      <c r="A51" t="s">
        <v>561</v>
      </c>
      <c r="B51" s="11">
        <v>46</v>
      </c>
      <c r="C51">
        <v>674</v>
      </c>
      <c r="D51">
        <v>50</v>
      </c>
      <c r="E51" s="4">
        <v>44587</v>
      </c>
      <c r="F51" t="s">
        <v>64</v>
      </c>
      <c r="G51" t="s">
        <v>37</v>
      </c>
      <c r="H51" t="s">
        <v>104</v>
      </c>
      <c r="I51" t="s">
        <v>408</v>
      </c>
      <c r="J51" t="s">
        <v>41</v>
      </c>
      <c r="K51" s="7">
        <v>0.78194444444444444</v>
      </c>
      <c r="L51">
        <v>3</v>
      </c>
      <c r="M51">
        <v>11</v>
      </c>
      <c r="N51">
        <v>0.27300000000000002</v>
      </c>
      <c r="O51">
        <v>1</v>
      </c>
      <c r="P51">
        <v>3</v>
      </c>
      <c r="Q51">
        <v>0.33300000000000002</v>
      </c>
      <c r="R51">
        <v>2</v>
      </c>
      <c r="S51">
        <v>8</v>
      </c>
      <c r="T51">
        <v>0.25</v>
      </c>
      <c r="U51">
        <v>0.318</v>
      </c>
      <c r="V51">
        <v>2</v>
      </c>
      <c r="W51">
        <v>2</v>
      </c>
      <c r="X51">
        <v>1</v>
      </c>
      <c r="Y51">
        <v>0</v>
      </c>
      <c r="Z51">
        <v>4</v>
      </c>
      <c r="AA51">
        <v>4</v>
      </c>
      <c r="AB51">
        <v>0</v>
      </c>
      <c r="AC51">
        <v>0</v>
      </c>
      <c r="AD51">
        <v>0</v>
      </c>
      <c r="AE51">
        <v>4</v>
      </c>
      <c r="AF51">
        <v>2</v>
      </c>
      <c r="AG51">
        <v>9</v>
      </c>
      <c r="AH51">
        <v>-1.1000000000000001</v>
      </c>
      <c r="AI51">
        <v>1</v>
      </c>
    </row>
    <row r="52" spans="1:35" ht="21" x14ac:dyDescent="0.3">
      <c r="A52" t="s">
        <v>561</v>
      </c>
      <c r="B52" s="11">
        <v>47</v>
      </c>
      <c r="C52">
        <v>675</v>
      </c>
      <c r="D52">
        <v>51</v>
      </c>
      <c r="E52" s="4">
        <v>44589</v>
      </c>
      <c r="F52" t="s">
        <v>64</v>
      </c>
      <c r="G52" t="s">
        <v>37</v>
      </c>
      <c r="H52" t="s">
        <v>120</v>
      </c>
      <c r="I52" t="s">
        <v>191</v>
      </c>
      <c r="J52" t="s">
        <v>41</v>
      </c>
      <c r="K52" s="7">
        <v>0.86250000000000004</v>
      </c>
      <c r="L52">
        <v>5</v>
      </c>
      <c r="M52">
        <v>11</v>
      </c>
      <c r="N52">
        <v>0.45500000000000002</v>
      </c>
      <c r="O52">
        <v>0</v>
      </c>
      <c r="P52">
        <v>3</v>
      </c>
      <c r="Q52">
        <v>0</v>
      </c>
      <c r="R52">
        <v>5</v>
      </c>
      <c r="S52">
        <v>8</v>
      </c>
      <c r="T52">
        <v>0.625</v>
      </c>
      <c r="U52">
        <v>0.45500000000000002</v>
      </c>
      <c r="V52">
        <v>3</v>
      </c>
      <c r="W52">
        <v>4</v>
      </c>
      <c r="X52">
        <v>0.75</v>
      </c>
      <c r="Y52">
        <v>0</v>
      </c>
      <c r="Z52">
        <v>1</v>
      </c>
      <c r="AA52">
        <v>1</v>
      </c>
      <c r="AB52">
        <v>3</v>
      </c>
      <c r="AC52">
        <v>0</v>
      </c>
      <c r="AD52">
        <v>0</v>
      </c>
      <c r="AE52">
        <v>1</v>
      </c>
      <c r="AF52">
        <v>2</v>
      </c>
      <c r="AG52">
        <v>13</v>
      </c>
      <c r="AH52">
        <v>7.5</v>
      </c>
      <c r="AI52">
        <v>-20</v>
      </c>
    </row>
    <row r="53" spans="1:35" ht="21" x14ac:dyDescent="0.3">
      <c r="A53" t="s">
        <v>561</v>
      </c>
      <c r="B53" s="11">
        <v>48</v>
      </c>
      <c r="C53">
        <v>676</v>
      </c>
      <c r="D53">
        <v>52</v>
      </c>
      <c r="E53" s="4">
        <v>44591</v>
      </c>
      <c r="F53" t="s">
        <v>64</v>
      </c>
      <c r="G53" t="s">
        <v>37</v>
      </c>
      <c r="H53" t="s">
        <v>72</v>
      </c>
      <c r="I53" t="s">
        <v>409</v>
      </c>
      <c r="J53" t="s">
        <v>41</v>
      </c>
      <c r="K53" s="9">
        <v>1.132638888888889</v>
      </c>
      <c r="L53">
        <v>8</v>
      </c>
      <c r="M53">
        <v>13</v>
      </c>
      <c r="N53">
        <v>0.61499999999999999</v>
      </c>
      <c r="O53">
        <v>3</v>
      </c>
      <c r="P53">
        <v>4</v>
      </c>
      <c r="Q53">
        <v>0.75</v>
      </c>
      <c r="R53">
        <v>5</v>
      </c>
      <c r="S53">
        <v>9</v>
      </c>
      <c r="T53">
        <v>0.55600000000000005</v>
      </c>
      <c r="U53">
        <v>0.73099999999999998</v>
      </c>
      <c r="V53">
        <v>0</v>
      </c>
      <c r="W53">
        <v>0</v>
      </c>
      <c r="Y53">
        <v>0</v>
      </c>
      <c r="Z53">
        <v>4</v>
      </c>
      <c r="AA53">
        <v>4</v>
      </c>
      <c r="AB53">
        <v>5</v>
      </c>
      <c r="AC53">
        <v>1</v>
      </c>
      <c r="AD53">
        <v>0</v>
      </c>
      <c r="AE53">
        <v>1</v>
      </c>
      <c r="AF53">
        <v>3</v>
      </c>
      <c r="AG53">
        <v>19</v>
      </c>
      <c r="AH53">
        <v>16.600000000000001</v>
      </c>
      <c r="AI53">
        <v>3</v>
      </c>
    </row>
    <row r="54" spans="1:35" ht="21" x14ac:dyDescent="0.3">
      <c r="A54" t="s">
        <v>561</v>
      </c>
      <c r="B54" s="11">
        <v>49</v>
      </c>
      <c r="C54">
        <v>677</v>
      </c>
      <c r="D54">
        <v>53</v>
      </c>
      <c r="E54" s="4">
        <v>44592</v>
      </c>
      <c r="F54" t="s">
        <v>64</v>
      </c>
      <c r="G54" t="s">
        <v>37</v>
      </c>
      <c r="H54" t="s">
        <v>108</v>
      </c>
      <c r="I54" t="s">
        <v>410</v>
      </c>
      <c r="J54" t="s">
        <v>41</v>
      </c>
      <c r="K54" s="9">
        <v>1.2958333333333334</v>
      </c>
      <c r="L54">
        <v>8</v>
      </c>
      <c r="M54">
        <v>18</v>
      </c>
      <c r="N54">
        <v>0.44400000000000001</v>
      </c>
      <c r="O54">
        <v>4</v>
      </c>
      <c r="P54">
        <v>11</v>
      </c>
      <c r="Q54">
        <v>0.36399999999999999</v>
      </c>
      <c r="R54">
        <v>4</v>
      </c>
      <c r="S54">
        <v>7</v>
      </c>
      <c r="T54">
        <v>0.57099999999999995</v>
      </c>
      <c r="U54">
        <v>0.55600000000000005</v>
      </c>
      <c r="V54">
        <v>1</v>
      </c>
      <c r="W54">
        <v>1</v>
      </c>
      <c r="X54">
        <v>1</v>
      </c>
      <c r="Y54">
        <v>1</v>
      </c>
      <c r="Z54">
        <v>2</v>
      </c>
      <c r="AA54">
        <v>3</v>
      </c>
      <c r="AB54">
        <v>5</v>
      </c>
      <c r="AC54">
        <v>0</v>
      </c>
      <c r="AD54">
        <v>0</v>
      </c>
      <c r="AE54">
        <v>2</v>
      </c>
      <c r="AF54">
        <v>0</v>
      </c>
      <c r="AG54">
        <v>21</v>
      </c>
      <c r="AH54">
        <v>14.4</v>
      </c>
      <c r="AI54">
        <v>4</v>
      </c>
    </row>
    <row r="55" spans="1:35" ht="21" x14ac:dyDescent="0.3">
      <c r="A55" t="s">
        <v>561</v>
      </c>
      <c r="B55" s="11">
        <v>50</v>
      </c>
      <c r="C55">
        <v>678</v>
      </c>
      <c r="D55">
        <v>54</v>
      </c>
      <c r="E55" s="4">
        <v>44595</v>
      </c>
      <c r="F55" t="s">
        <v>64</v>
      </c>
      <c r="H55" t="s">
        <v>62</v>
      </c>
      <c r="I55" t="s">
        <v>411</v>
      </c>
      <c r="J55" t="s">
        <v>41</v>
      </c>
      <c r="K55" s="9">
        <v>1.3784722222222223</v>
      </c>
      <c r="L55">
        <v>10</v>
      </c>
      <c r="M55">
        <v>20</v>
      </c>
      <c r="N55">
        <v>0.5</v>
      </c>
      <c r="O55">
        <v>3</v>
      </c>
      <c r="P55">
        <v>7</v>
      </c>
      <c r="Q55">
        <v>0.42899999999999999</v>
      </c>
      <c r="R55">
        <v>7</v>
      </c>
      <c r="S55">
        <v>13</v>
      </c>
      <c r="T55">
        <v>0.53800000000000003</v>
      </c>
      <c r="U55">
        <v>0.57499999999999996</v>
      </c>
      <c r="V55">
        <v>2</v>
      </c>
      <c r="W55">
        <v>2</v>
      </c>
      <c r="X55">
        <v>1</v>
      </c>
      <c r="Y55">
        <v>1</v>
      </c>
      <c r="Z55">
        <v>7</v>
      </c>
      <c r="AA55">
        <v>8</v>
      </c>
      <c r="AB55">
        <v>6</v>
      </c>
      <c r="AC55">
        <v>1</v>
      </c>
      <c r="AD55">
        <v>1</v>
      </c>
      <c r="AE55">
        <v>1</v>
      </c>
      <c r="AF55">
        <v>5</v>
      </c>
      <c r="AG55">
        <v>25</v>
      </c>
      <c r="AH55">
        <v>20.7</v>
      </c>
      <c r="AI55">
        <v>7</v>
      </c>
    </row>
    <row r="56" spans="1:35" ht="21" x14ac:dyDescent="0.3">
      <c r="A56" t="s">
        <v>561</v>
      </c>
      <c r="B56" s="11">
        <v>51</v>
      </c>
      <c r="C56">
        <v>679</v>
      </c>
      <c r="D56">
        <v>55</v>
      </c>
      <c r="E56" s="4">
        <v>44598</v>
      </c>
      <c r="F56" t="s">
        <v>64</v>
      </c>
      <c r="H56" t="s">
        <v>126</v>
      </c>
      <c r="I56" t="s">
        <v>412</v>
      </c>
      <c r="J56" t="s">
        <v>41</v>
      </c>
      <c r="K56" s="9">
        <v>1.0486111111111112</v>
      </c>
      <c r="L56">
        <v>3</v>
      </c>
      <c r="M56">
        <v>12</v>
      </c>
      <c r="N56">
        <v>0.25</v>
      </c>
      <c r="O56">
        <v>2</v>
      </c>
      <c r="P56">
        <v>5</v>
      </c>
      <c r="Q56">
        <v>0.4</v>
      </c>
      <c r="R56">
        <v>1</v>
      </c>
      <c r="S56">
        <v>7</v>
      </c>
      <c r="T56">
        <v>0.14299999999999999</v>
      </c>
      <c r="U56">
        <v>0.33300000000000002</v>
      </c>
      <c r="V56">
        <v>2</v>
      </c>
      <c r="W56">
        <v>2</v>
      </c>
      <c r="X56">
        <v>1</v>
      </c>
      <c r="Y56">
        <v>1</v>
      </c>
      <c r="Z56">
        <v>1</v>
      </c>
      <c r="AA56">
        <v>2</v>
      </c>
      <c r="AB56">
        <v>5</v>
      </c>
      <c r="AC56">
        <v>0</v>
      </c>
      <c r="AD56">
        <v>0</v>
      </c>
      <c r="AE56">
        <v>1</v>
      </c>
      <c r="AF56">
        <v>2</v>
      </c>
      <c r="AG56">
        <v>10</v>
      </c>
      <c r="AH56">
        <v>5.5</v>
      </c>
      <c r="AI56">
        <v>-26</v>
      </c>
    </row>
    <row r="57" spans="1:35" ht="21" x14ac:dyDescent="0.3">
      <c r="A57" t="s">
        <v>561</v>
      </c>
      <c r="B57" s="11">
        <v>52</v>
      </c>
      <c r="C57">
        <v>680</v>
      </c>
      <c r="D57">
        <v>56</v>
      </c>
      <c r="E57" s="4">
        <v>44600</v>
      </c>
      <c r="F57" t="s">
        <v>64</v>
      </c>
      <c r="G57" t="s">
        <v>37</v>
      </c>
      <c r="H57" t="s">
        <v>42</v>
      </c>
      <c r="I57" t="s">
        <v>413</v>
      </c>
      <c r="J57" t="s">
        <v>41</v>
      </c>
      <c r="K57" s="7">
        <v>0.99791666666666667</v>
      </c>
      <c r="L57">
        <v>5</v>
      </c>
      <c r="M57">
        <v>14</v>
      </c>
      <c r="N57">
        <v>0.35699999999999998</v>
      </c>
      <c r="O57">
        <v>2</v>
      </c>
      <c r="P57">
        <v>5</v>
      </c>
      <c r="Q57">
        <v>0.4</v>
      </c>
      <c r="R57">
        <v>3</v>
      </c>
      <c r="S57">
        <v>9</v>
      </c>
      <c r="T57">
        <v>0.33300000000000002</v>
      </c>
      <c r="U57">
        <v>0.42899999999999999</v>
      </c>
      <c r="V57">
        <v>0</v>
      </c>
      <c r="W57">
        <v>0</v>
      </c>
      <c r="Y57">
        <v>0</v>
      </c>
      <c r="Z57">
        <v>0</v>
      </c>
      <c r="AA57">
        <v>0</v>
      </c>
      <c r="AB57">
        <v>3</v>
      </c>
      <c r="AC57">
        <v>2</v>
      </c>
      <c r="AD57">
        <v>0</v>
      </c>
      <c r="AE57">
        <v>6</v>
      </c>
      <c r="AF57">
        <v>0</v>
      </c>
      <c r="AG57">
        <v>12</v>
      </c>
      <c r="AH57">
        <v>2.2999999999999998</v>
      </c>
      <c r="AI57">
        <v>-24</v>
      </c>
    </row>
    <row r="58" spans="1:35" ht="21" x14ac:dyDescent="0.3">
      <c r="A58" t="s">
        <v>561</v>
      </c>
      <c r="B58" s="11">
        <v>53</v>
      </c>
      <c r="C58">
        <v>681</v>
      </c>
      <c r="D58">
        <v>57</v>
      </c>
      <c r="E58" s="4">
        <v>44602</v>
      </c>
      <c r="F58" t="s">
        <v>64</v>
      </c>
      <c r="G58" t="s">
        <v>37</v>
      </c>
      <c r="H58" t="s">
        <v>49</v>
      </c>
      <c r="I58" t="s">
        <v>414</v>
      </c>
      <c r="J58" t="s">
        <v>41</v>
      </c>
      <c r="K58" s="9">
        <v>1.3784722222222223</v>
      </c>
      <c r="L58">
        <v>7</v>
      </c>
      <c r="M58">
        <v>14</v>
      </c>
      <c r="N58">
        <v>0.5</v>
      </c>
      <c r="O58">
        <v>0</v>
      </c>
      <c r="P58">
        <v>2</v>
      </c>
      <c r="Q58">
        <v>0</v>
      </c>
      <c r="R58">
        <v>7</v>
      </c>
      <c r="S58">
        <v>12</v>
      </c>
      <c r="T58">
        <v>0.58299999999999996</v>
      </c>
      <c r="U58">
        <v>0.5</v>
      </c>
      <c r="V58">
        <v>4</v>
      </c>
      <c r="W58">
        <v>5</v>
      </c>
      <c r="X58">
        <v>0.8</v>
      </c>
      <c r="Y58">
        <v>0</v>
      </c>
      <c r="Z58">
        <v>4</v>
      </c>
      <c r="AA58">
        <v>4</v>
      </c>
      <c r="AB58">
        <v>8</v>
      </c>
      <c r="AC58">
        <v>0</v>
      </c>
      <c r="AD58">
        <v>1</v>
      </c>
      <c r="AE58">
        <v>2</v>
      </c>
      <c r="AF58">
        <v>5</v>
      </c>
      <c r="AG58">
        <v>18</v>
      </c>
      <c r="AH58">
        <v>14.1</v>
      </c>
      <c r="AI58">
        <v>-7</v>
      </c>
    </row>
    <row r="59" spans="1:35" ht="21" x14ac:dyDescent="0.3">
      <c r="A59" t="s">
        <v>561</v>
      </c>
      <c r="B59" s="11">
        <v>54</v>
      </c>
      <c r="C59">
        <v>682</v>
      </c>
      <c r="D59">
        <v>58</v>
      </c>
      <c r="E59" s="4">
        <v>44604</v>
      </c>
      <c r="F59" t="s">
        <v>64</v>
      </c>
      <c r="G59" t="s">
        <v>37</v>
      </c>
      <c r="H59" t="s">
        <v>49</v>
      </c>
      <c r="I59" t="s">
        <v>415</v>
      </c>
      <c r="J59" t="s">
        <v>41</v>
      </c>
      <c r="K59" s="9">
        <v>1.6673611111111111</v>
      </c>
      <c r="L59">
        <v>10</v>
      </c>
      <c r="M59">
        <v>21</v>
      </c>
      <c r="N59">
        <v>0.47599999999999998</v>
      </c>
      <c r="O59">
        <v>2</v>
      </c>
      <c r="P59">
        <v>5</v>
      </c>
      <c r="Q59">
        <v>0.4</v>
      </c>
      <c r="R59">
        <v>8</v>
      </c>
      <c r="S59">
        <v>16</v>
      </c>
      <c r="T59">
        <v>0.5</v>
      </c>
      <c r="U59">
        <v>0.52400000000000002</v>
      </c>
      <c r="V59">
        <v>2</v>
      </c>
      <c r="W59">
        <v>5</v>
      </c>
      <c r="X59">
        <v>0.4</v>
      </c>
      <c r="Y59">
        <v>2</v>
      </c>
      <c r="Z59">
        <v>3</v>
      </c>
      <c r="AA59">
        <v>5</v>
      </c>
      <c r="AB59">
        <v>8</v>
      </c>
      <c r="AC59">
        <v>2</v>
      </c>
      <c r="AD59">
        <v>1</v>
      </c>
      <c r="AE59">
        <v>1</v>
      </c>
      <c r="AF59">
        <v>2</v>
      </c>
      <c r="AG59">
        <v>24</v>
      </c>
      <c r="AH59">
        <v>20.9</v>
      </c>
      <c r="AI59">
        <v>-4</v>
      </c>
    </row>
    <row r="60" spans="1:35" ht="21" x14ac:dyDescent="0.3">
      <c r="A60" t="s">
        <v>561</v>
      </c>
      <c r="B60" s="11">
        <v>55</v>
      </c>
      <c r="C60">
        <v>683</v>
      </c>
      <c r="D60">
        <v>59</v>
      </c>
      <c r="E60" s="4">
        <v>44606</v>
      </c>
      <c r="F60" t="s">
        <v>64</v>
      </c>
      <c r="H60" t="s">
        <v>33</v>
      </c>
      <c r="I60" t="s">
        <v>93</v>
      </c>
      <c r="J60" t="s">
        <v>41</v>
      </c>
      <c r="K60" s="9">
        <v>1.5638888888888889</v>
      </c>
      <c r="L60">
        <v>8</v>
      </c>
      <c r="M60">
        <v>17</v>
      </c>
      <c r="N60">
        <v>0.47099999999999997</v>
      </c>
      <c r="O60">
        <v>3</v>
      </c>
      <c r="P60">
        <v>7</v>
      </c>
      <c r="Q60">
        <v>0.42899999999999999</v>
      </c>
      <c r="R60">
        <v>5</v>
      </c>
      <c r="S60">
        <v>10</v>
      </c>
      <c r="T60">
        <v>0.5</v>
      </c>
      <c r="U60">
        <v>0.55900000000000005</v>
      </c>
      <c r="V60">
        <v>0</v>
      </c>
      <c r="W60">
        <v>0</v>
      </c>
      <c r="Y60">
        <v>0</v>
      </c>
      <c r="Z60">
        <v>8</v>
      </c>
      <c r="AA60">
        <v>8</v>
      </c>
      <c r="AB60">
        <v>9</v>
      </c>
      <c r="AC60">
        <v>0</v>
      </c>
      <c r="AD60">
        <v>0</v>
      </c>
      <c r="AE60">
        <v>3</v>
      </c>
      <c r="AF60">
        <v>2</v>
      </c>
      <c r="AG60">
        <v>19</v>
      </c>
      <c r="AH60">
        <v>15.2</v>
      </c>
      <c r="AI60">
        <v>27</v>
      </c>
    </row>
    <row r="61" spans="1:35" ht="21" x14ac:dyDescent="0.3">
      <c r="A61" t="s">
        <v>561</v>
      </c>
      <c r="B61" s="11">
        <v>56</v>
      </c>
      <c r="C61">
        <v>684</v>
      </c>
      <c r="D61">
        <v>60</v>
      </c>
      <c r="E61" s="4">
        <v>44607</v>
      </c>
      <c r="F61" t="s">
        <v>64</v>
      </c>
      <c r="G61" t="s">
        <v>37</v>
      </c>
      <c r="H61" t="s">
        <v>99</v>
      </c>
      <c r="I61" t="s">
        <v>416</v>
      </c>
      <c r="J61" t="s">
        <v>41</v>
      </c>
      <c r="K61" s="9">
        <v>1.5270833333333333</v>
      </c>
      <c r="L61">
        <v>7</v>
      </c>
      <c r="M61">
        <v>26</v>
      </c>
      <c r="N61">
        <v>0.26900000000000002</v>
      </c>
      <c r="O61">
        <v>0</v>
      </c>
      <c r="P61">
        <v>8</v>
      </c>
      <c r="Q61">
        <v>0</v>
      </c>
      <c r="R61">
        <v>7</v>
      </c>
      <c r="S61">
        <v>18</v>
      </c>
      <c r="T61">
        <v>0.38900000000000001</v>
      </c>
      <c r="U61">
        <v>0.26900000000000002</v>
      </c>
      <c r="V61">
        <v>0</v>
      </c>
      <c r="W61">
        <v>0</v>
      </c>
      <c r="Y61">
        <v>0</v>
      </c>
      <c r="Z61">
        <v>2</v>
      </c>
      <c r="AA61">
        <v>2</v>
      </c>
      <c r="AB61">
        <v>8</v>
      </c>
      <c r="AC61">
        <v>0</v>
      </c>
      <c r="AD61">
        <v>2</v>
      </c>
      <c r="AE61">
        <v>3</v>
      </c>
      <c r="AF61">
        <v>4</v>
      </c>
      <c r="AG61">
        <v>14</v>
      </c>
      <c r="AH61">
        <v>1.6</v>
      </c>
      <c r="AI61">
        <v>2</v>
      </c>
    </row>
    <row r="62" spans="1:35" ht="21" x14ac:dyDescent="0.3">
      <c r="A62" t="s">
        <v>561</v>
      </c>
      <c r="B62" s="11">
        <v>57</v>
      </c>
      <c r="C62">
        <v>685</v>
      </c>
      <c r="D62">
        <v>61</v>
      </c>
      <c r="E62" s="4">
        <v>44609</v>
      </c>
      <c r="F62" t="s">
        <v>64</v>
      </c>
      <c r="H62" t="s">
        <v>76</v>
      </c>
      <c r="I62" t="s">
        <v>417</v>
      </c>
      <c r="J62" t="s">
        <v>41</v>
      </c>
      <c r="K62" s="9">
        <v>1.0833333333333333</v>
      </c>
      <c r="L62">
        <v>5</v>
      </c>
      <c r="M62">
        <v>13</v>
      </c>
      <c r="N62">
        <v>0.38500000000000001</v>
      </c>
      <c r="O62">
        <v>2</v>
      </c>
      <c r="P62">
        <v>6</v>
      </c>
      <c r="Q62">
        <v>0.33300000000000002</v>
      </c>
      <c r="R62">
        <v>3</v>
      </c>
      <c r="S62">
        <v>7</v>
      </c>
      <c r="T62">
        <v>0.42899999999999999</v>
      </c>
      <c r="U62">
        <v>0.46200000000000002</v>
      </c>
      <c r="V62">
        <v>0</v>
      </c>
      <c r="W62">
        <v>0</v>
      </c>
      <c r="Y62">
        <v>0</v>
      </c>
      <c r="Z62">
        <v>3</v>
      </c>
      <c r="AA62">
        <v>3</v>
      </c>
      <c r="AB62">
        <v>14</v>
      </c>
      <c r="AC62">
        <v>1</v>
      </c>
      <c r="AD62">
        <v>0</v>
      </c>
      <c r="AE62">
        <v>2</v>
      </c>
      <c r="AF62">
        <v>0</v>
      </c>
      <c r="AG62">
        <v>12</v>
      </c>
      <c r="AH62">
        <v>14.6</v>
      </c>
      <c r="AI62">
        <v>22</v>
      </c>
    </row>
    <row r="63" spans="1:35" ht="21" x14ac:dyDescent="0.3">
      <c r="A63" t="s">
        <v>561</v>
      </c>
      <c r="B63" s="11">
        <v>58</v>
      </c>
      <c r="C63">
        <v>686</v>
      </c>
      <c r="D63">
        <v>62</v>
      </c>
      <c r="E63" s="4">
        <v>44617</v>
      </c>
      <c r="F63" t="s">
        <v>64</v>
      </c>
      <c r="G63" t="s">
        <v>37</v>
      </c>
      <c r="H63" t="s">
        <v>62</v>
      </c>
      <c r="I63" t="s">
        <v>90</v>
      </c>
      <c r="J63" t="s">
        <v>41</v>
      </c>
      <c r="K63" s="9">
        <v>1.3604166666666666</v>
      </c>
      <c r="L63">
        <v>5</v>
      </c>
      <c r="M63">
        <v>12</v>
      </c>
      <c r="N63">
        <v>0.41699999999999998</v>
      </c>
      <c r="O63">
        <v>1</v>
      </c>
      <c r="P63">
        <v>2</v>
      </c>
      <c r="Q63">
        <v>0.5</v>
      </c>
      <c r="R63">
        <v>4</v>
      </c>
      <c r="S63">
        <v>10</v>
      </c>
      <c r="T63">
        <v>0.4</v>
      </c>
      <c r="U63">
        <v>0.45800000000000002</v>
      </c>
      <c r="V63">
        <v>6</v>
      </c>
      <c r="W63">
        <v>6</v>
      </c>
      <c r="X63">
        <v>1</v>
      </c>
      <c r="Y63">
        <v>2</v>
      </c>
      <c r="Z63">
        <v>2</v>
      </c>
      <c r="AA63">
        <v>4</v>
      </c>
      <c r="AB63">
        <v>6</v>
      </c>
      <c r="AC63">
        <v>0</v>
      </c>
      <c r="AD63">
        <v>0</v>
      </c>
      <c r="AE63">
        <v>5</v>
      </c>
      <c r="AF63">
        <v>0</v>
      </c>
      <c r="AG63">
        <v>17</v>
      </c>
      <c r="AH63">
        <v>11.8</v>
      </c>
      <c r="AI63">
        <v>-7</v>
      </c>
    </row>
    <row r="64" spans="1:35" ht="21" x14ac:dyDescent="0.3">
      <c r="A64" t="s">
        <v>561</v>
      </c>
      <c r="B64" s="11">
        <v>59</v>
      </c>
      <c r="C64">
        <v>687</v>
      </c>
      <c r="D64">
        <v>63</v>
      </c>
      <c r="E64" s="4">
        <v>44619</v>
      </c>
      <c r="F64" t="s">
        <v>64</v>
      </c>
      <c r="G64" t="s">
        <v>37</v>
      </c>
      <c r="H64" t="s">
        <v>76</v>
      </c>
      <c r="I64" t="s">
        <v>418</v>
      </c>
      <c r="J64" t="s">
        <v>41</v>
      </c>
      <c r="K64" s="9">
        <v>1.5868055555555556</v>
      </c>
      <c r="L64">
        <v>9</v>
      </c>
      <c r="M64">
        <v>21</v>
      </c>
      <c r="N64">
        <v>0.42899999999999999</v>
      </c>
      <c r="O64">
        <v>2</v>
      </c>
      <c r="P64">
        <v>6</v>
      </c>
      <c r="Q64">
        <v>0.33300000000000002</v>
      </c>
      <c r="R64">
        <v>7</v>
      </c>
      <c r="S64">
        <v>15</v>
      </c>
      <c r="T64">
        <v>0.46700000000000003</v>
      </c>
      <c r="U64">
        <v>0.47599999999999998</v>
      </c>
      <c r="V64">
        <v>6</v>
      </c>
      <c r="W64">
        <v>9</v>
      </c>
      <c r="X64">
        <v>0.66700000000000004</v>
      </c>
      <c r="Y64">
        <v>0</v>
      </c>
      <c r="Z64">
        <v>9</v>
      </c>
      <c r="AA64">
        <v>9</v>
      </c>
      <c r="AB64">
        <v>6</v>
      </c>
      <c r="AC64">
        <v>0</v>
      </c>
      <c r="AD64">
        <v>0</v>
      </c>
      <c r="AE64">
        <v>5</v>
      </c>
      <c r="AF64">
        <v>4</v>
      </c>
      <c r="AG64">
        <v>26</v>
      </c>
      <c r="AH64">
        <v>14</v>
      </c>
      <c r="AI64">
        <v>9</v>
      </c>
    </row>
    <row r="65" spans="1:35" ht="21" x14ac:dyDescent="0.3">
      <c r="A65" t="s">
        <v>561</v>
      </c>
      <c r="B65" s="11">
        <v>60</v>
      </c>
      <c r="C65">
        <v>688</v>
      </c>
      <c r="D65">
        <v>64</v>
      </c>
      <c r="E65" s="4">
        <v>44621</v>
      </c>
      <c r="F65" t="s">
        <v>64</v>
      </c>
      <c r="G65" t="s">
        <v>37</v>
      </c>
      <c r="H65" t="s">
        <v>76</v>
      </c>
      <c r="I65" t="s">
        <v>419</v>
      </c>
      <c r="J65" t="s">
        <v>41</v>
      </c>
      <c r="K65" s="9">
        <v>1.0993055555555555</v>
      </c>
      <c r="L65">
        <v>6</v>
      </c>
      <c r="M65">
        <v>16</v>
      </c>
      <c r="N65">
        <v>0.375</v>
      </c>
      <c r="O65">
        <v>3</v>
      </c>
      <c r="P65">
        <v>5</v>
      </c>
      <c r="Q65">
        <v>0.6</v>
      </c>
      <c r="R65">
        <v>3</v>
      </c>
      <c r="S65">
        <v>11</v>
      </c>
      <c r="T65">
        <v>0.27300000000000002</v>
      </c>
      <c r="U65">
        <v>0.46899999999999997</v>
      </c>
      <c r="V65">
        <v>2</v>
      </c>
      <c r="W65">
        <v>2</v>
      </c>
      <c r="X65">
        <v>1</v>
      </c>
      <c r="Y65">
        <v>2</v>
      </c>
      <c r="Z65">
        <v>3</v>
      </c>
      <c r="AA65">
        <v>5</v>
      </c>
      <c r="AB65">
        <v>6</v>
      </c>
      <c r="AC65">
        <v>1</v>
      </c>
      <c r="AD65">
        <v>0</v>
      </c>
      <c r="AE65">
        <v>2</v>
      </c>
      <c r="AF65">
        <v>2</v>
      </c>
      <c r="AG65">
        <v>17</v>
      </c>
      <c r="AH65">
        <v>12.9</v>
      </c>
      <c r="AI65">
        <v>14</v>
      </c>
    </row>
    <row r="66" spans="1:35" ht="21" x14ac:dyDescent="0.3">
      <c r="A66" t="s">
        <v>561</v>
      </c>
      <c r="B66" s="11">
        <v>61</v>
      </c>
      <c r="C66">
        <v>689</v>
      </c>
      <c r="D66">
        <v>65</v>
      </c>
      <c r="E66" s="4">
        <v>44623</v>
      </c>
      <c r="F66" t="s">
        <v>64</v>
      </c>
      <c r="H66" t="s">
        <v>62</v>
      </c>
      <c r="I66" t="s">
        <v>420</v>
      </c>
      <c r="J66" t="s">
        <v>41</v>
      </c>
      <c r="K66" s="9">
        <v>1.4583333333333333</v>
      </c>
      <c r="L66">
        <v>14</v>
      </c>
      <c r="M66">
        <v>30</v>
      </c>
      <c r="N66">
        <v>0.46700000000000003</v>
      </c>
      <c r="O66">
        <v>4</v>
      </c>
      <c r="P66">
        <v>8</v>
      </c>
      <c r="Q66">
        <v>0.5</v>
      </c>
      <c r="R66">
        <v>10</v>
      </c>
      <c r="S66">
        <v>22</v>
      </c>
      <c r="T66">
        <v>0.45500000000000002</v>
      </c>
      <c r="U66">
        <v>0.53300000000000003</v>
      </c>
      <c r="V66">
        <v>4</v>
      </c>
      <c r="W66">
        <v>4</v>
      </c>
      <c r="X66">
        <v>1</v>
      </c>
      <c r="Y66">
        <v>2</v>
      </c>
      <c r="Z66">
        <v>6</v>
      </c>
      <c r="AA66">
        <v>8</v>
      </c>
      <c r="AB66">
        <v>9</v>
      </c>
      <c r="AC66">
        <v>2</v>
      </c>
      <c r="AD66">
        <v>0</v>
      </c>
      <c r="AE66">
        <v>3</v>
      </c>
      <c r="AF66">
        <v>5</v>
      </c>
      <c r="AG66">
        <v>36</v>
      </c>
      <c r="AH66">
        <v>27.1</v>
      </c>
      <c r="AI66">
        <v>44</v>
      </c>
    </row>
    <row r="67" spans="1:35" ht="21" x14ac:dyDescent="0.3">
      <c r="A67" t="s">
        <v>561</v>
      </c>
      <c r="B67" s="11">
        <v>62</v>
      </c>
      <c r="C67">
        <v>690</v>
      </c>
      <c r="D67">
        <v>66</v>
      </c>
      <c r="E67" s="4">
        <v>44626</v>
      </c>
      <c r="F67" t="s">
        <v>64</v>
      </c>
      <c r="H67" t="s">
        <v>110</v>
      </c>
      <c r="I67" t="s">
        <v>421</v>
      </c>
      <c r="J67" t="s">
        <v>41</v>
      </c>
      <c r="K67" s="9">
        <v>1.1388888888888888</v>
      </c>
      <c r="L67">
        <v>4</v>
      </c>
      <c r="M67">
        <v>18</v>
      </c>
      <c r="N67">
        <v>0.222</v>
      </c>
      <c r="O67">
        <v>0</v>
      </c>
      <c r="P67">
        <v>8</v>
      </c>
      <c r="Q67">
        <v>0</v>
      </c>
      <c r="R67">
        <v>4</v>
      </c>
      <c r="S67">
        <v>10</v>
      </c>
      <c r="T67">
        <v>0.4</v>
      </c>
      <c r="U67">
        <v>0.222</v>
      </c>
      <c r="V67">
        <v>2</v>
      </c>
      <c r="W67">
        <v>2</v>
      </c>
      <c r="X67">
        <v>1</v>
      </c>
      <c r="Y67">
        <v>1</v>
      </c>
      <c r="Z67">
        <v>6</v>
      </c>
      <c r="AA67">
        <v>7</v>
      </c>
      <c r="AB67">
        <v>4</v>
      </c>
      <c r="AC67">
        <v>0</v>
      </c>
      <c r="AD67">
        <v>0</v>
      </c>
      <c r="AE67">
        <v>1</v>
      </c>
      <c r="AF67">
        <v>2</v>
      </c>
      <c r="AG67">
        <v>10</v>
      </c>
      <c r="AH67">
        <v>2.5</v>
      </c>
      <c r="AI67">
        <v>-33</v>
      </c>
    </row>
    <row r="68" spans="1:35" ht="21" x14ac:dyDescent="0.3">
      <c r="A68" t="s">
        <v>561</v>
      </c>
      <c r="B68" s="11">
        <v>63</v>
      </c>
      <c r="C68">
        <v>691</v>
      </c>
      <c r="D68">
        <v>67</v>
      </c>
      <c r="E68" s="4">
        <v>44628</v>
      </c>
      <c r="F68" t="s">
        <v>64</v>
      </c>
      <c r="G68" t="s">
        <v>37</v>
      </c>
      <c r="H68" t="s">
        <v>33</v>
      </c>
      <c r="I68" t="s">
        <v>422</v>
      </c>
      <c r="J68" t="s">
        <v>41</v>
      </c>
      <c r="K68" s="9">
        <v>1.1673611111111111</v>
      </c>
      <c r="L68">
        <v>2</v>
      </c>
      <c r="M68">
        <v>14</v>
      </c>
      <c r="N68">
        <v>0.14299999999999999</v>
      </c>
      <c r="O68">
        <v>1</v>
      </c>
      <c r="P68">
        <v>5</v>
      </c>
      <c r="Q68">
        <v>0.2</v>
      </c>
      <c r="R68">
        <v>1</v>
      </c>
      <c r="S68">
        <v>9</v>
      </c>
      <c r="T68">
        <v>0.111</v>
      </c>
      <c r="U68">
        <v>0.17899999999999999</v>
      </c>
      <c r="V68">
        <v>0</v>
      </c>
      <c r="W68">
        <v>0</v>
      </c>
      <c r="Y68">
        <v>2</v>
      </c>
      <c r="Z68">
        <v>2</v>
      </c>
      <c r="AA68">
        <v>4</v>
      </c>
      <c r="AB68">
        <v>7</v>
      </c>
      <c r="AC68">
        <v>0</v>
      </c>
      <c r="AD68">
        <v>0</v>
      </c>
      <c r="AE68">
        <v>2</v>
      </c>
      <c r="AF68">
        <v>0</v>
      </c>
      <c r="AG68">
        <v>5</v>
      </c>
      <c r="AH68">
        <v>0.9</v>
      </c>
      <c r="AI68">
        <v>-13</v>
      </c>
    </row>
    <row r="69" spans="1:35" ht="21" x14ac:dyDescent="0.3">
      <c r="A69" t="s">
        <v>561</v>
      </c>
      <c r="B69" s="11">
        <v>64</v>
      </c>
      <c r="C69">
        <v>692</v>
      </c>
      <c r="D69">
        <v>68</v>
      </c>
      <c r="E69" s="4">
        <v>44629</v>
      </c>
      <c r="F69" t="s">
        <v>64</v>
      </c>
      <c r="H69" t="s">
        <v>155</v>
      </c>
      <c r="I69" t="s">
        <v>309</v>
      </c>
      <c r="J69" t="s">
        <v>41</v>
      </c>
      <c r="K69" s="9">
        <v>1.6548611111111111</v>
      </c>
      <c r="L69">
        <v>12</v>
      </c>
      <c r="M69">
        <v>21</v>
      </c>
      <c r="N69">
        <v>0.57099999999999995</v>
      </c>
      <c r="O69">
        <v>5</v>
      </c>
      <c r="P69">
        <v>9</v>
      </c>
      <c r="Q69">
        <v>0.55600000000000005</v>
      </c>
      <c r="R69">
        <v>7</v>
      </c>
      <c r="S69">
        <v>12</v>
      </c>
      <c r="T69">
        <v>0.58299999999999996</v>
      </c>
      <c r="U69">
        <v>0.69</v>
      </c>
      <c r="V69">
        <v>2</v>
      </c>
      <c r="W69">
        <v>2</v>
      </c>
      <c r="X69">
        <v>1</v>
      </c>
      <c r="Y69">
        <v>0</v>
      </c>
      <c r="Z69">
        <v>3</v>
      </c>
      <c r="AA69">
        <v>3</v>
      </c>
      <c r="AB69">
        <v>7</v>
      </c>
      <c r="AC69">
        <v>1</v>
      </c>
      <c r="AD69">
        <v>1</v>
      </c>
      <c r="AE69">
        <v>4</v>
      </c>
      <c r="AF69">
        <v>4</v>
      </c>
      <c r="AG69">
        <v>31</v>
      </c>
      <c r="AH69">
        <v>23</v>
      </c>
      <c r="AI69">
        <v>9</v>
      </c>
    </row>
    <row r="70" spans="1:35" ht="21" x14ac:dyDescent="0.3">
      <c r="A70" t="s">
        <v>561</v>
      </c>
      <c r="B70" s="11">
        <v>65</v>
      </c>
      <c r="C70">
        <v>693</v>
      </c>
      <c r="D70">
        <v>69</v>
      </c>
      <c r="E70" s="4">
        <v>44631</v>
      </c>
      <c r="F70" t="s">
        <v>64</v>
      </c>
      <c r="G70" t="s">
        <v>37</v>
      </c>
      <c r="H70" t="s">
        <v>78</v>
      </c>
      <c r="I70" t="s">
        <v>423</v>
      </c>
      <c r="J70" t="s">
        <v>41</v>
      </c>
      <c r="K70" s="9">
        <v>1.6590277777777778</v>
      </c>
      <c r="L70">
        <v>9</v>
      </c>
      <c r="M70">
        <v>20</v>
      </c>
      <c r="N70">
        <v>0.45</v>
      </c>
      <c r="O70">
        <v>3</v>
      </c>
      <c r="P70">
        <v>8</v>
      </c>
      <c r="Q70">
        <v>0.375</v>
      </c>
      <c r="R70">
        <v>6</v>
      </c>
      <c r="S70">
        <v>12</v>
      </c>
      <c r="T70">
        <v>0.5</v>
      </c>
      <c r="U70">
        <v>0.52500000000000002</v>
      </c>
      <c r="V70">
        <v>3</v>
      </c>
      <c r="W70">
        <v>4</v>
      </c>
      <c r="X70">
        <v>0.75</v>
      </c>
      <c r="Y70">
        <v>1</v>
      </c>
      <c r="Z70">
        <v>4</v>
      </c>
      <c r="AA70">
        <v>5</v>
      </c>
      <c r="AB70">
        <v>5</v>
      </c>
      <c r="AC70">
        <v>1</v>
      </c>
      <c r="AD70">
        <v>0</v>
      </c>
      <c r="AE70">
        <v>5</v>
      </c>
      <c r="AF70">
        <v>1</v>
      </c>
      <c r="AG70">
        <v>24</v>
      </c>
      <c r="AH70">
        <v>14.2</v>
      </c>
      <c r="AI70">
        <v>-6</v>
      </c>
    </row>
    <row r="71" spans="1:35" ht="21" x14ac:dyDescent="0.3">
      <c r="A71" t="s">
        <v>561</v>
      </c>
      <c r="B71" s="11">
        <v>66</v>
      </c>
      <c r="C71">
        <v>694</v>
      </c>
      <c r="D71">
        <v>70</v>
      </c>
      <c r="E71" s="4">
        <v>44633</v>
      </c>
      <c r="F71" t="s">
        <v>64</v>
      </c>
      <c r="G71" t="s">
        <v>37</v>
      </c>
      <c r="H71" t="s">
        <v>89</v>
      </c>
      <c r="I71" t="s">
        <v>424</v>
      </c>
      <c r="J71" t="s">
        <v>41</v>
      </c>
      <c r="K71" s="9">
        <v>1.6513888888888888</v>
      </c>
      <c r="L71">
        <v>6</v>
      </c>
      <c r="M71">
        <v>16</v>
      </c>
      <c r="N71">
        <v>0.375</v>
      </c>
      <c r="O71">
        <v>3</v>
      </c>
      <c r="P71">
        <v>7</v>
      </c>
      <c r="Q71">
        <v>0.42899999999999999</v>
      </c>
      <c r="R71">
        <v>3</v>
      </c>
      <c r="S71">
        <v>9</v>
      </c>
      <c r="T71">
        <v>0.33300000000000002</v>
      </c>
      <c r="U71">
        <v>0.46899999999999997</v>
      </c>
      <c r="V71">
        <v>0</v>
      </c>
      <c r="W71">
        <v>0</v>
      </c>
      <c r="Y71">
        <v>1</v>
      </c>
      <c r="Z71">
        <v>7</v>
      </c>
      <c r="AA71">
        <v>8</v>
      </c>
      <c r="AB71">
        <v>9</v>
      </c>
      <c r="AC71">
        <v>2</v>
      </c>
      <c r="AD71">
        <v>1</v>
      </c>
      <c r="AE71">
        <v>1</v>
      </c>
      <c r="AF71">
        <v>4</v>
      </c>
      <c r="AG71">
        <v>15</v>
      </c>
      <c r="AH71">
        <v>15.4</v>
      </c>
      <c r="AI71">
        <v>11</v>
      </c>
    </row>
    <row r="72" spans="1:35" ht="21" x14ac:dyDescent="0.3">
      <c r="A72" t="s">
        <v>561</v>
      </c>
      <c r="B72" s="11">
        <v>66</v>
      </c>
      <c r="D72">
        <v>71</v>
      </c>
      <c r="E72" s="4">
        <v>44634</v>
      </c>
      <c r="F72" t="s">
        <v>64</v>
      </c>
      <c r="G72" t="s">
        <v>37</v>
      </c>
      <c r="H72" t="s">
        <v>87</v>
      </c>
      <c r="I72" t="s">
        <v>425</v>
      </c>
      <c r="J72" t="s">
        <v>210</v>
      </c>
      <c r="K72" t="s">
        <v>210</v>
      </c>
      <c r="L72" t="s">
        <v>210</v>
      </c>
      <c r="M72" t="s">
        <v>210</v>
      </c>
      <c r="N72" t="s">
        <v>210</v>
      </c>
      <c r="O72" t="s">
        <v>210</v>
      </c>
      <c r="P72" t="s">
        <v>210</v>
      </c>
      <c r="Q72" t="s">
        <v>210</v>
      </c>
      <c r="R72" t="s">
        <v>210</v>
      </c>
      <c r="S72" t="s">
        <v>210</v>
      </c>
      <c r="T72" t="s">
        <v>210</v>
      </c>
      <c r="U72" t="s">
        <v>210</v>
      </c>
      <c r="V72" t="s">
        <v>210</v>
      </c>
      <c r="W72" t="s">
        <v>210</v>
      </c>
      <c r="X72" t="s">
        <v>210</v>
      </c>
      <c r="Y72" t="s">
        <v>210</v>
      </c>
      <c r="Z72" t="s">
        <v>210</v>
      </c>
      <c r="AA72" t="s">
        <v>210</v>
      </c>
      <c r="AB72" t="s">
        <v>210</v>
      </c>
      <c r="AC72" t="s">
        <v>210</v>
      </c>
      <c r="AD72" t="s">
        <v>210</v>
      </c>
      <c r="AE72" t="s">
        <v>210</v>
      </c>
      <c r="AF72" t="s">
        <v>210</v>
      </c>
      <c r="AG72" t="s">
        <v>210</v>
      </c>
      <c r="AH72" t="s">
        <v>210</v>
      </c>
      <c r="AI72" t="s">
        <v>210</v>
      </c>
    </row>
    <row r="73" spans="1:35" ht="21" x14ac:dyDescent="0.3">
      <c r="A73" t="s">
        <v>561</v>
      </c>
      <c r="B73" s="11">
        <v>67</v>
      </c>
      <c r="C73">
        <v>695</v>
      </c>
      <c r="D73">
        <v>72</v>
      </c>
      <c r="E73" s="4">
        <v>44636</v>
      </c>
      <c r="F73" t="s">
        <v>64</v>
      </c>
      <c r="H73" t="s">
        <v>92</v>
      </c>
      <c r="I73" t="s">
        <v>393</v>
      </c>
      <c r="J73" t="s">
        <v>41</v>
      </c>
      <c r="K73" s="9">
        <v>1.41875</v>
      </c>
      <c r="L73">
        <v>8</v>
      </c>
      <c r="M73">
        <v>19</v>
      </c>
      <c r="N73">
        <v>0.42099999999999999</v>
      </c>
      <c r="O73">
        <v>4</v>
      </c>
      <c r="P73">
        <v>8</v>
      </c>
      <c r="Q73">
        <v>0.5</v>
      </c>
      <c r="R73">
        <v>4</v>
      </c>
      <c r="S73">
        <v>11</v>
      </c>
      <c r="T73">
        <v>0.36399999999999999</v>
      </c>
      <c r="U73">
        <v>0.52600000000000002</v>
      </c>
      <c r="V73">
        <v>3</v>
      </c>
      <c r="W73">
        <v>5</v>
      </c>
      <c r="X73">
        <v>0.6</v>
      </c>
      <c r="Y73">
        <v>0</v>
      </c>
      <c r="Z73">
        <v>2</v>
      </c>
      <c r="AA73">
        <v>2</v>
      </c>
      <c r="AB73">
        <v>9</v>
      </c>
      <c r="AC73">
        <v>0</v>
      </c>
      <c r="AD73">
        <v>0</v>
      </c>
      <c r="AE73">
        <v>3</v>
      </c>
      <c r="AF73">
        <v>2</v>
      </c>
      <c r="AG73">
        <v>23</v>
      </c>
      <c r="AH73">
        <v>15.2</v>
      </c>
      <c r="AI73">
        <v>-2</v>
      </c>
    </row>
    <row r="74" spans="1:35" ht="21" x14ac:dyDescent="0.3">
      <c r="A74" t="s">
        <v>561</v>
      </c>
      <c r="B74" s="11">
        <v>68</v>
      </c>
      <c r="C74">
        <v>696</v>
      </c>
      <c r="D74">
        <v>73</v>
      </c>
      <c r="E74" s="4">
        <v>44638</v>
      </c>
      <c r="F74" t="s">
        <v>64</v>
      </c>
      <c r="G74" t="s">
        <v>37</v>
      </c>
      <c r="H74" t="s">
        <v>118</v>
      </c>
      <c r="I74" t="s">
        <v>426</v>
      </c>
      <c r="J74" t="s">
        <v>41</v>
      </c>
      <c r="K74" s="7">
        <v>0.60972222222222228</v>
      </c>
      <c r="L74">
        <v>3</v>
      </c>
      <c r="M74">
        <v>9</v>
      </c>
      <c r="N74">
        <v>0.33300000000000002</v>
      </c>
      <c r="O74">
        <v>1</v>
      </c>
      <c r="P74">
        <v>2</v>
      </c>
      <c r="Q74">
        <v>0.5</v>
      </c>
      <c r="R74">
        <v>2</v>
      </c>
      <c r="S74">
        <v>7</v>
      </c>
      <c r="T74">
        <v>0.28599999999999998</v>
      </c>
      <c r="U74">
        <v>0.38900000000000001</v>
      </c>
      <c r="V74">
        <v>0</v>
      </c>
      <c r="W74">
        <v>0</v>
      </c>
      <c r="Y74">
        <v>0</v>
      </c>
      <c r="Z74">
        <v>2</v>
      </c>
      <c r="AA74">
        <v>2</v>
      </c>
      <c r="AB74">
        <v>1</v>
      </c>
      <c r="AC74">
        <v>1</v>
      </c>
      <c r="AD74">
        <v>0</v>
      </c>
      <c r="AE74">
        <v>1</v>
      </c>
      <c r="AF74">
        <v>1</v>
      </c>
      <c r="AG74">
        <v>7</v>
      </c>
      <c r="AH74">
        <v>2.8</v>
      </c>
      <c r="AI74">
        <v>-19</v>
      </c>
    </row>
    <row r="75" spans="1:35" ht="21" x14ac:dyDescent="0.3">
      <c r="A75" t="s">
        <v>561</v>
      </c>
      <c r="B75" s="11">
        <v>69</v>
      </c>
      <c r="C75">
        <v>697</v>
      </c>
      <c r="D75">
        <v>74</v>
      </c>
      <c r="E75" s="4">
        <v>44642</v>
      </c>
      <c r="F75" t="s">
        <v>64</v>
      </c>
      <c r="G75" t="s">
        <v>37</v>
      </c>
      <c r="H75" t="s">
        <v>34</v>
      </c>
      <c r="I75" t="s">
        <v>427</v>
      </c>
      <c r="J75" t="s">
        <v>41</v>
      </c>
      <c r="K75" s="9">
        <v>1.3277777777777777</v>
      </c>
      <c r="L75">
        <v>6</v>
      </c>
      <c r="M75">
        <v>18</v>
      </c>
      <c r="N75">
        <v>0.33300000000000002</v>
      </c>
      <c r="O75">
        <v>0</v>
      </c>
      <c r="P75">
        <v>4</v>
      </c>
      <c r="Q75">
        <v>0</v>
      </c>
      <c r="R75">
        <v>6</v>
      </c>
      <c r="S75">
        <v>14</v>
      </c>
      <c r="T75">
        <v>0.42899999999999999</v>
      </c>
      <c r="U75">
        <v>0.33300000000000002</v>
      </c>
      <c r="V75">
        <v>2</v>
      </c>
      <c r="W75">
        <v>2</v>
      </c>
      <c r="X75">
        <v>1</v>
      </c>
      <c r="Y75">
        <v>0</v>
      </c>
      <c r="Z75">
        <v>3</v>
      </c>
      <c r="AA75">
        <v>3</v>
      </c>
      <c r="AB75">
        <v>6</v>
      </c>
      <c r="AC75">
        <v>1</v>
      </c>
      <c r="AD75">
        <v>0</v>
      </c>
      <c r="AE75">
        <v>0</v>
      </c>
      <c r="AF75">
        <v>3</v>
      </c>
      <c r="AG75">
        <v>14</v>
      </c>
      <c r="AH75">
        <v>8.6999999999999993</v>
      </c>
      <c r="AI75">
        <v>-12</v>
      </c>
    </row>
    <row r="76" spans="1:35" ht="21" x14ac:dyDescent="0.3">
      <c r="A76" t="s">
        <v>561</v>
      </c>
      <c r="B76" s="11">
        <v>70</v>
      </c>
      <c r="C76">
        <v>698</v>
      </c>
      <c r="D76">
        <v>75</v>
      </c>
      <c r="E76" s="4">
        <v>44645</v>
      </c>
      <c r="F76" t="s">
        <v>64</v>
      </c>
      <c r="H76" t="s">
        <v>94</v>
      </c>
      <c r="I76" t="s">
        <v>428</v>
      </c>
      <c r="J76" t="s">
        <v>41</v>
      </c>
      <c r="K76" s="9">
        <v>1.1409722222222223</v>
      </c>
      <c r="L76">
        <v>4</v>
      </c>
      <c r="M76">
        <v>13</v>
      </c>
      <c r="N76">
        <v>0.308</v>
      </c>
      <c r="O76">
        <v>0</v>
      </c>
      <c r="P76">
        <v>3</v>
      </c>
      <c r="Q76">
        <v>0</v>
      </c>
      <c r="R76">
        <v>4</v>
      </c>
      <c r="S76">
        <v>10</v>
      </c>
      <c r="T76">
        <v>0.4</v>
      </c>
      <c r="U76">
        <v>0.308</v>
      </c>
      <c r="V76">
        <v>3</v>
      </c>
      <c r="W76">
        <v>3</v>
      </c>
      <c r="X76">
        <v>1</v>
      </c>
      <c r="Y76">
        <v>0</v>
      </c>
      <c r="Z76">
        <v>3</v>
      </c>
      <c r="AA76">
        <v>3</v>
      </c>
      <c r="AB76">
        <v>0</v>
      </c>
      <c r="AC76">
        <v>1</v>
      </c>
      <c r="AD76">
        <v>0</v>
      </c>
      <c r="AE76">
        <v>4</v>
      </c>
      <c r="AF76">
        <v>2</v>
      </c>
      <c r="AG76">
        <v>11</v>
      </c>
      <c r="AH76">
        <v>0.6</v>
      </c>
      <c r="AI76">
        <v>-19</v>
      </c>
    </row>
    <row r="77" spans="1:35" ht="21" x14ac:dyDescent="0.3">
      <c r="A77" t="s">
        <v>561</v>
      </c>
      <c r="B77" s="11">
        <v>71</v>
      </c>
      <c r="C77">
        <v>699</v>
      </c>
      <c r="D77">
        <v>76</v>
      </c>
      <c r="E77" s="4">
        <v>44649</v>
      </c>
      <c r="F77" t="s">
        <v>64</v>
      </c>
      <c r="H77" t="s">
        <v>118</v>
      </c>
      <c r="I77" t="s">
        <v>429</v>
      </c>
      <c r="J77" t="s">
        <v>41</v>
      </c>
      <c r="K77" s="9">
        <v>1.5555555555555556</v>
      </c>
      <c r="L77">
        <v>8</v>
      </c>
      <c r="M77">
        <v>24</v>
      </c>
      <c r="N77">
        <v>0.33300000000000002</v>
      </c>
      <c r="O77">
        <v>2</v>
      </c>
      <c r="P77">
        <v>11</v>
      </c>
      <c r="Q77">
        <v>0.182</v>
      </c>
      <c r="R77">
        <v>6</v>
      </c>
      <c r="S77">
        <v>13</v>
      </c>
      <c r="T77">
        <v>0.46200000000000002</v>
      </c>
      <c r="U77">
        <v>0.375</v>
      </c>
      <c r="V77">
        <v>3</v>
      </c>
      <c r="W77">
        <v>3</v>
      </c>
      <c r="X77">
        <v>1</v>
      </c>
      <c r="Y77">
        <v>1</v>
      </c>
      <c r="Z77">
        <v>2</v>
      </c>
      <c r="AA77">
        <v>3</v>
      </c>
      <c r="AB77">
        <v>5</v>
      </c>
      <c r="AC77">
        <v>0</v>
      </c>
      <c r="AD77">
        <v>1</v>
      </c>
      <c r="AE77">
        <v>1</v>
      </c>
      <c r="AF77">
        <v>5</v>
      </c>
      <c r="AG77">
        <v>21</v>
      </c>
      <c r="AH77">
        <v>9.9</v>
      </c>
      <c r="AI77">
        <v>-11</v>
      </c>
    </row>
    <row r="78" spans="1:35" ht="21" x14ac:dyDescent="0.3">
      <c r="A78" t="s">
        <v>561</v>
      </c>
      <c r="B78" s="11">
        <v>72</v>
      </c>
      <c r="C78">
        <v>700</v>
      </c>
      <c r="D78">
        <v>77</v>
      </c>
      <c r="E78" s="4">
        <v>44651</v>
      </c>
      <c r="F78" t="s">
        <v>64</v>
      </c>
      <c r="G78" t="s">
        <v>37</v>
      </c>
      <c r="H78" t="s">
        <v>82</v>
      </c>
      <c r="I78" t="s">
        <v>430</v>
      </c>
      <c r="J78" t="s">
        <v>41</v>
      </c>
      <c r="K78" s="9">
        <v>1.6583333333333334</v>
      </c>
      <c r="L78">
        <v>12</v>
      </c>
      <c r="M78">
        <v>23</v>
      </c>
      <c r="N78">
        <v>0.52200000000000002</v>
      </c>
      <c r="O78">
        <v>6</v>
      </c>
      <c r="P78">
        <v>9</v>
      </c>
      <c r="Q78">
        <v>0.66700000000000004</v>
      </c>
      <c r="R78">
        <v>6</v>
      </c>
      <c r="S78">
        <v>14</v>
      </c>
      <c r="T78">
        <v>0.42899999999999999</v>
      </c>
      <c r="U78">
        <v>0.65200000000000002</v>
      </c>
      <c r="V78">
        <v>4</v>
      </c>
      <c r="W78">
        <v>4</v>
      </c>
      <c r="X78">
        <v>1</v>
      </c>
      <c r="Y78">
        <v>0</v>
      </c>
      <c r="Z78">
        <v>2</v>
      </c>
      <c r="AA78">
        <v>2</v>
      </c>
      <c r="AB78">
        <v>7</v>
      </c>
      <c r="AC78">
        <v>0</v>
      </c>
      <c r="AD78">
        <v>0</v>
      </c>
      <c r="AE78">
        <v>4</v>
      </c>
      <c r="AF78">
        <v>5</v>
      </c>
      <c r="AG78">
        <v>34</v>
      </c>
      <c r="AH78">
        <v>22.2</v>
      </c>
      <c r="AI78">
        <v>-2</v>
      </c>
    </row>
    <row r="79" spans="1:35" ht="21" x14ac:dyDescent="0.3">
      <c r="A79" t="s">
        <v>561</v>
      </c>
      <c r="B79" s="11">
        <v>72</v>
      </c>
      <c r="D79">
        <v>78</v>
      </c>
      <c r="E79" s="4">
        <v>44652</v>
      </c>
      <c r="F79" t="s">
        <v>64</v>
      </c>
      <c r="G79" t="s">
        <v>37</v>
      </c>
      <c r="H79" t="s">
        <v>126</v>
      </c>
      <c r="I79" t="s">
        <v>431</v>
      </c>
      <c r="J79" t="s">
        <v>169</v>
      </c>
      <c r="K79" t="s">
        <v>169</v>
      </c>
      <c r="L79" t="s">
        <v>169</v>
      </c>
      <c r="M79" t="s">
        <v>169</v>
      </c>
      <c r="N79" t="s">
        <v>169</v>
      </c>
      <c r="O79" t="s">
        <v>169</v>
      </c>
      <c r="P79" t="s">
        <v>169</v>
      </c>
      <c r="Q79" t="s">
        <v>169</v>
      </c>
      <c r="R79" t="s">
        <v>169</v>
      </c>
      <c r="S79" t="s">
        <v>169</v>
      </c>
      <c r="T79" t="s">
        <v>169</v>
      </c>
      <c r="U79" t="s">
        <v>169</v>
      </c>
      <c r="V79" t="s">
        <v>169</v>
      </c>
      <c r="W79" t="s">
        <v>169</v>
      </c>
      <c r="X79" t="s">
        <v>169</v>
      </c>
      <c r="Y79" t="s">
        <v>169</v>
      </c>
      <c r="Z79" t="s">
        <v>169</v>
      </c>
      <c r="AA79" t="s">
        <v>169</v>
      </c>
      <c r="AB79" t="s">
        <v>169</v>
      </c>
      <c r="AC79" t="s">
        <v>169</v>
      </c>
      <c r="AD79" t="s">
        <v>169</v>
      </c>
      <c r="AE79" t="s">
        <v>169</v>
      </c>
      <c r="AF79" t="s">
        <v>169</v>
      </c>
      <c r="AG79" t="s">
        <v>169</v>
      </c>
      <c r="AH79" t="s">
        <v>169</v>
      </c>
      <c r="AI79" t="s">
        <v>169</v>
      </c>
    </row>
    <row r="80" spans="1:35" ht="21" x14ac:dyDescent="0.3">
      <c r="A80" t="s">
        <v>561</v>
      </c>
      <c r="B80" s="11">
        <v>73</v>
      </c>
      <c r="C80">
        <v>701</v>
      </c>
      <c r="D80">
        <v>79</v>
      </c>
      <c r="E80" s="4">
        <v>44654</v>
      </c>
      <c r="F80" t="s">
        <v>64</v>
      </c>
      <c r="H80" t="s">
        <v>74</v>
      </c>
      <c r="I80" t="s">
        <v>432</v>
      </c>
      <c r="J80" t="s">
        <v>41</v>
      </c>
      <c r="K80" s="9">
        <v>1.3840277777777779</v>
      </c>
      <c r="L80">
        <v>4</v>
      </c>
      <c r="M80">
        <v>19</v>
      </c>
      <c r="N80">
        <v>0.21099999999999999</v>
      </c>
      <c r="O80">
        <v>1</v>
      </c>
      <c r="P80">
        <v>9</v>
      </c>
      <c r="Q80">
        <v>0.111</v>
      </c>
      <c r="R80">
        <v>3</v>
      </c>
      <c r="S80">
        <v>10</v>
      </c>
      <c r="T80">
        <v>0.3</v>
      </c>
      <c r="U80">
        <v>0.23699999999999999</v>
      </c>
      <c r="V80">
        <v>2</v>
      </c>
      <c r="W80">
        <v>2</v>
      </c>
      <c r="X80">
        <v>1</v>
      </c>
      <c r="Y80">
        <v>0</v>
      </c>
      <c r="Z80">
        <v>2</v>
      </c>
      <c r="AA80">
        <v>2</v>
      </c>
      <c r="AB80">
        <v>10</v>
      </c>
      <c r="AC80">
        <v>2</v>
      </c>
      <c r="AD80">
        <v>1</v>
      </c>
      <c r="AE80">
        <v>2</v>
      </c>
      <c r="AF80">
        <v>4</v>
      </c>
      <c r="AG80">
        <v>11</v>
      </c>
      <c r="AH80">
        <v>6</v>
      </c>
      <c r="AI80">
        <v>6</v>
      </c>
    </row>
    <row r="81" spans="1:35" ht="21" x14ac:dyDescent="0.3">
      <c r="A81" t="s">
        <v>561</v>
      </c>
      <c r="B81" s="11">
        <v>74</v>
      </c>
      <c r="C81">
        <v>702</v>
      </c>
      <c r="D81">
        <v>80</v>
      </c>
      <c r="E81" s="4">
        <v>44657</v>
      </c>
      <c r="F81" t="s">
        <v>64</v>
      </c>
      <c r="H81" t="s">
        <v>99</v>
      </c>
      <c r="I81" t="s">
        <v>433</v>
      </c>
      <c r="J81" t="s">
        <v>41</v>
      </c>
      <c r="K81" s="9">
        <v>1.2444444444444445</v>
      </c>
      <c r="L81">
        <v>5</v>
      </c>
      <c r="M81">
        <v>11</v>
      </c>
      <c r="N81">
        <v>0.45500000000000002</v>
      </c>
      <c r="O81">
        <v>0</v>
      </c>
      <c r="P81">
        <v>4</v>
      </c>
      <c r="Q81">
        <v>0</v>
      </c>
      <c r="R81">
        <v>5</v>
      </c>
      <c r="S81">
        <v>7</v>
      </c>
      <c r="T81">
        <v>0.71399999999999997</v>
      </c>
      <c r="U81">
        <v>0.45500000000000002</v>
      </c>
      <c r="V81">
        <v>0</v>
      </c>
      <c r="W81">
        <v>0</v>
      </c>
      <c r="Y81">
        <v>0</v>
      </c>
      <c r="Z81">
        <v>2</v>
      </c>
      <c r="AA81">
        <v>2</v>
      </c>
      <c r="AB81">
        <v>2</v>
      </c>
      <c r="AC81">
        <v>1</v>
      </c>
      <c r="AD81">
        <v>1</v>
      </c>
      <c r="AE81">
        <v>2</v>
      </c>
      <c r="AF81">
        <v>2</v>
      </c>
      <c r="AG81">
        <v>10</v>
      </c>
      <c r="AH81">
        <v>5.2</v>
      </c>
      <c r="AI81">
        <v>7</v>
      </c>
    </row>
    <row r="82" spans="1:35" ht="21" x14ac:dyDescent="0.3">
      <c r="A82" t="s">
        <v>561</v>
      </c>
      <c r="B82" s="11">
        <v>75</v>
      </c>
      <c r="C82">
        <v>703</v>
      </c>
      <c r="D82">
        <v>81</v>
      </c>
      <c r="E82" s="4">
        <v>44660</v>
      </c>
      <c r="F82" t="s">
        <v>64</v>
      </c>
      <c r="H82" t="s">
        <v>66</v>
      </c>
      <c r="I82" t="s">
        <v>434</v>
      </c>
      <c r="J82" t="s">
        <v>41</v>
      </c>
      <c r="K82" s="7">
        <v>0.93680555555555556</v>
      </c>
      <c r="L82">
        <v>3</v>
      </c>
      <c r="M82">
        <v>9</v>
      </c>
      <c r="N82">
        <v>0.33300000000000002</v>
      </c>
      <c r="O82">
        <v>1</v>
      </c>
      <c r="P82">
        <v>4</v>
      </c>
      <c r="Q82">
        <v>0.25</v>
      </c>
      <c r="R82">
        <v>2</v>
      </c>
      <c r="S82">
        <v>5</v>
      </c>
      <c r="T82">
        <v>0.4</v>
      </c>
      <c r="U82">
        <v>0.38900000000000001</v>
      </c>
      <c r="V82">
        <v>0</v>
      </c>
      <c r="W82">
        <v>0</v>
      </c>
      <c r="Y82">
        <v>0</v>
      </c>
      <c r="Z82">
        <v>3</v>
      </c>
      <c r="AA82">
        <v>3</v>
      </c>
      <c r="AB82">
        <v>1</v>
      </c>
      <c r="AC82">
        <v>0</v>
      </c>
      <c r="AD82">
        <v>0</v>
      </c>
      <c r="AE82">
        <v>4</v>
      </c>
      <c r="AF82">
        <v>0</v>
      </c>
      <c r="AG82">
        <v>7</v>
      </c>
      <c r="AH82">
        <v>-0.5</v>
      </c>
      <c r="AI82">
        <v>9</v>
      </c>
    </row>
    <row r="83" spans="1:35" ht="21" x14ac:dyDescent="0.3">
      <c r="A83" t="s">
        <v>561</v>
      </c>
      <c r="B83" s="11">
        <v>75</v>
      </c>
      <c r="D83">
        <v>82</v>
      </c>
      <c r="E83" s="4">
        <v>44661</v>
      </c>
      <c r="F83" t="s">
        <v>64</v>
      </c>
      <c r="H83" t="s">
        <v>68</v>
      </c>
      <c r="I83" t="s">
        <v>435</v>
      </c>
      <c r="J83" t="s">
        <v>91</v>
      </c>
      <c r="K83" t="s">
        <v>91</v>
      </c>
      <c r="L83" t="s">
        <v>91</v>
      </c>
      <c r="M83" t="s">
        <v>91</v>
      </c>
      <c r="N83" t="s">
        <v>91</v>
      </c>
      <c r="O83" t="s">
        <v>91</v>
      </c>
      <c r="P83" t="s">
        <v>91</v>
      </c>
      <c r="Q83" t="s">
        <v>91</v>
      </c>
      <c r="R83" t="s">
        <v>91</v>
      </c>
      <c r="S83" t="s">
        <v>91</v>
      </c>
      <c r="T83" t="s">
        <v>91</v>
      </c>
      <c r="U83" t="s">
        <v>91</v>
      </c>
      <c r="V83" t="s">
        <v>91</v>
      </c>
      <c r="W83" t="s">
        <v>91</v>
      </c>
      <c r="X83" t="s">
        <v>91</v>
      </c>
      <c r="Y83" t="s">
        <v>91</v>
      </c>
      <c r="Z83" t="s">
        <v>91</v>
      </c>
      <c r="AA83" t="s">
        <v>91</v>
      </c>
      <c r="AB83" t="s">
        <v>91</v>
      </c>
      <c r="AC83" t="s">
        <v>91</v>
      </c>
      <c r="AD83" t="s">
        <v>91</v>
      </c>
      <c r="AE83" t="s">
        <v>91</v>
      </c>
      <c r="AF83" t="s">
        <v>91</v>
      </c>
      <c r="AG83" t="s">
        <v>91</v>
      </c>
      <c r="AH83" t="s">
        <v>91</v>
      </c>
      <c r="AI83" t="s">
        <v>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F571-9F41-9845-84D3-75E51391BC41}">
  <dimension ref="A1:AI83"/>
  <sheetViews>
    <sheetView zoomScale="176" workbookViewId="0">
      <selection activeCell="H2" sqref="H2:H83"/>
    </sheetView>
  </sheetViews>
  <sheetFormatPr baseColWidth="10" defaultRowHeight="16" x14ac:dyDescent="0.2"/>
  <sheetData>
    <row r="1" spans="1:35" ht="21" x14ac:dyDescent="0.3">
      <c r="A1" t="s">
        <v>544</v>
      </c>
      <c r="B1" s="1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ht="21" x14ac:dyDescent="0.3">
      <c r="A2" s="12" t="s">
        <v>562</v>
      </c>
      <c r="B2" s="11">
        <v>1</v>
      </c>
      <c r="C2">
        <v>109</v>
      </c>
      <c r="D2">
        <v>1</v>
      </c>
      <c r="E2" s="4">
        <v>44490</v>
      </c>
      <c r="F2" t="s">
        <v>64</v>
      </c>
      <c r="G2" t="s">
        <v>37</v>
      </c>
      <c r="H2" t="s">
        <v>33</v>
      </c>
      <c r="I2" t="s">
        <v>368</v>
      </c>
      <c r="K2" s="9">
        <v>1.6416666666666666</v>
      </c>
      <c r="L2">
        <v>4</v>
      </c>
      <c r="M2">
        <v>8</v>
      </c>
      <c r="N2">
        <v>0.5</v>
      </c>
      <c r="O2">
        <v>2</v>
      </c>
      <c r="P2">
        <v>4</v>
      </c>
      <c r="Q2">
        <v>0.5</v>
      </c>
      <c r="R2">
        <v>2</v>
      </c>
      <c r="S2">
        <v>4</v>
      </c>
      <c r="T2">
        <v>0.5</v>
      </c>
      <c r="U2">
        <v>0.625</v>
      </c>
      <c r="V2">
        <v>1</v>
      </c>
      <c r="W2">
        <v>1</v>
      </c>
      <c r="X2">
        <v>1</v>
      </c>
      <c r="Y2">
        <v>2</v>
      </c>
      <c r="Z2">
        <v>6</v>
      </c>
      <c r="AA2">
        <v>8</v>
      </c>
      <c r="AB2">
        <v>3</v>
      </c>
      <c r="AC2">
        <v>1</v>
      </c>
      <c r="AD2">
        <v>0</v>
      </c>
      <c r="AE2">
        <v>0</v>
      </c>
      <c r="AF2">
        <v>3</v>
      </c>
      <c r="AG2">
        <v>11</v>
      </c>
      <c r="AH2">
        <v>12.1</v>
      </c>
      <c r="AI2">
        <v>6</v>
      </c>
    </row>
    <row r="3" spans="1:35" ht="21" x14ac:dyDescent="0.3">
      <c r="A3" s="12" t="s">
        <v>562</v>
      </c>
      <c r="B3" s="11">
        <v>2</v>
      </c>
      <c r="C3">
        <v>110</v>
      </c>
      <c r="D3">
        <v>2</v>
      </c>
      <c r="E3" s="4">
        <v>44492</v>
      </c>
      <c r="F3" t="s">
        <v>64</v>
      </c>
      <c r="H3" t="s">
        <v>42</v>
      </c>
      <c r="I3" t="s">
        <v>369</v>
      </c>
      <c r="K3" s="9">
        <v>1.101388888888889</v>
      </c>
      <c r="L3">
        <v>1</v>
      </c>
      <c r="M3">
        <v>8</v>
      </c>
      <c r="N3">
        <v>0.125</v>
      </c>
      <c r="O3">
        <v>0</v>
      </c>
      <c r="P3">
        <v>2</v>
      </c>
      <c r="Q3">
        <v>0</v>
      </c>
      <c r="R3">
        <v>1</v>
      </c>
      <c r="S3">
        <v>6</v>
      </c>
      <c r="T3">
        <v>0.16700000000000001</v>
      </c>
      <c r="U3">
        <v>0.125</v>
      </c>
      <c r="V3">
        <v>1</v>
      </c>
      <c r="W3">
        <v>2</v>
      </c>
      <c r="X3">
        <v>0.5</v>
      </c>
      <c r="Y3">
        <v>4</v>
      </c>
      <c r="Z3">
        <v>4</v>
      </c>
      <c r="AA3">
        <v>8</v>
      </c>
      <c r="AB3">
        <v>3</v>
      </c>
      <c r="AC3">
        <v>0</v>
      </c>
      <c r="AD3">
        <v>0</v>
      </c>
      <c r="AE3">
        <v>1</v>
      </c>
      <c r="AF3">
        <v>3</v>
      </c>
      <c r="AG3">
        <v>3</v>
      </c>
      <c r="AH3">
        <v>1.3</v>
      </c>
      <c r="AI3">
        <v>15</v>
      </c>
    </row>
    <row r="4" spans="1:35" ht="21" x14ac:dyDescent="0.3">
      <c r="A4" s="12" t="s">
        <v>562</v>
      </c>
      <c r="B4" s="11">
        <v>3</v>
      </c>
      <c r="C4">
        <v>111</v>
      </c>
      <c r="D4">
        <v>3</v>
      </c>
      <c r="E4" s="4">
        <v>44494</v>
      </c>
      <c r="F4" t="s">
        <v>64</v>
      </c>
      <c r="H4" t="s">
        <v>96</v>
      </c>
      <c r="I4" t="s">
        <v>370</v>
      </c>
      <c r="K4" s="9">
        <v>1.0270833333333333</v>
      </c>
      <c r="L4">
        <v>5</v>
      </c>
      <c r="M4">
        <v>6</v>
      </c>
      <c r="N4">
        <v>0.83299999999999996</v>
      </c>
      <c r="O4">
        <v>1</v>
      </c>
      <c r="P4">
        <v>2</v>
      </c>
      <c r="Q4">
        <v>0.5</v>
      </c>
      <c r="R4">
        <v>4</v>
      </c>
      <c r="S4">
        <v>4</v>
      </c>
      <c r="T4">
        <v>1</v>
      </c>
      <c r="U4">
        <v>0.91700000000000004</v>
      </c>
      <c r="V4">
        <v>2</v>
      </c>
      <c r="W4">
        <v>2</v>
      </c>
      <c r="X4">
        <v>1</v>
      </c>
      <c r="Y4">
        <v>2</v>
      </c>
      <c r="Z4">
        <v>3</v>
      </c>
      <c r="AA4">
        <v>5</v>
      </c>
      <c r="AB4">
        <v>5</v>
      </c>
      <c r="AC4">
        <v>4</v>
      </c>
      <c r="AD4">
        <v>1</v>
      </c>
      <c r="AE4">
        <v>1</v>
      </c>
      <c r="AF4">
        <v>0</v>
      </c>
      <c r="AG4">
        <v>13</v>
      </c>
      <c r="AH4">
        <v>20.3</v>
      </c>
      <c r="AI4">
        <v>21</v>
      </c>
    </row>
    <row r="5" spans="1:35" ht="21" x14ac:dyDescent="0.3">
      <c r="A5" s="12" t="s">
        <v>562</v>
      </c>
      <c r="B5" s="11">
        <v>4</v>
      </c>
      <c r="C5">
        <v>112</v>
      </c>
      <c r="D5">
        <v>4</v>
      </c>
      <c r="E5" s="4">
        <v>44496</v>
      </c>
      <c r="F5" t="s">
        <v>64</v>
      </c>
      <c r="H5" t="s">
        <v>87</v>
      </c>
      <c r="I5" t="s">
        <v>371</v>
      </c>
      <c r="K5" s="9">
        <v>1.0479166666666666</v>
      </c>
      <c r="L5">
        <v>3</v>
      </c>
      <c r="M5">
        <v>9</v>
      </c>
      <c r="N5">
        <v>0.33300000000000002</v>
      </c>
      <c r="O5">
        <v>1</v>
      </c>
      <c r="P5">
        <v>4</v>
      </c>
      <c r="Q5">
        <v>0.25</v>
      </c>
      <c r="R5">
        <v>2</v>
      </c>
      <c r="S5">
        <v>5</v>
      </c>
      <c r="T5">
        <v>0.4</v>
      </c>
      <c r="U5">
        <v>0.38900000000000001</v>
      </c>
      <c r="V5">
        <v>0</v>
      </c>
      <c r="W5">
        <v>0</v>
      </c>
      <c r="Y5">
        <v>1</v>
      </c>
      <c r="Z5">
        <v>2</v>
      </c>
      <c r="AA5">
        <v>3</v>
      </c>
      <c r="AB5">
        <v>3</v>
      </c>
      <c r="AC5">
        <v>1</v>
      </c>
      <c r="AD5">
        <v>0</v>
      </c>
      <c r="AE5">
        <v>1</v>
      </c>
      <c r="AF5">
        <v>4</v>
      </c>
      <c r="AG5">
        <v>7</v>
      </c>
      <c r="AH5">
        <v>3.7</v>
      </c>
      <c r="AI5">
        <v>-11</v>
      </c>
    </row>
    <row r="6" spans="1:35" ht="21" x14ac:dyDescent="0.3">
      <c r="A6" s="12" t="s">
        <v>562</v>
      </c>
      <c r="B6" s="11">
        <v>5</v>
      </c>
      <c r="C6">
        <v>113</v>
      </c>
      <c r="D6">
        <v>5</v>
      </c>
      <c r="E6" s="4">
        <v>44498</v>
      </c>
      <c r="F6" t="s">
        <v>64</v>
      </c>
      <c r="G6" t="s">
        <v>37</v>
      </c>
      <c r="H6" t="s">
        <v>96</v>
      </c>
      <c r="I6" t="s">
        <v>372</v>
      </c>
      <c r="K6" s="9">
        <v>1.2180555555555554</v>
      </c>
      <c r="L6">
        <v>3</v>
      </c>
      <c r="M6">
        <v>8</v>
      </c>
      <c r="N6">
        <v>0.375</v>
      </c>
      <c r="O6">
        <v>1</v>
      </c>
      <c r="P6">
        <v>3</v>
      </c>
      <c r="Q6">
        <v>0.33300000000000002</v>
      </c>
      <c r="R6">
        <v>2</v>
      </c>
      <c r="S6">
        <v>5</v>
      </c>
      <c r="T6">
        <v>0.4</v>
      </c>
      <c r="U6">
        <v>0.438</v>
      </c>
      <c r="V6">
        <v>2</v>
      </c>
      <c r="W6">
        <v>3</v>
      </c>
      <c r="X6">
        <v>0.66700000000000004</v>
      </c>
      <c r="Y6">
        <v>1</v>
      </c>
      <c r="Z6">
        <v>4</v>
      </c>
      <c r="AA6">
        <v>5</v>
      </c>
      <c r="AB6">
        <v>4</v>
      </c>
      <c r="AC6">
        <v>1</v>
      </c>
      <c r="AD6">
        <v>0</v>
      </c>
      <c r="AE6">
        <v>1</v>
      </c>
      <c r="AF6">
        <v>1</v>
      </c>
      <c r="AG6">
        <v>9</v>
      </c>
      <c r="AH6">
        <v>8.5</v>
      </c>
      <c r="AI6">
        <v>-16</v>
      </c>
    </row>
    <row r="7" spans="1:35" ht="21" x14ac:dyDescent="0.3">
      <c r="A7" s="12" t="s">
        <v>562</v>
      </c>
      <c r="B7" s="11">
        <v>6</v>
      </c>
      <c r="C7">
        <v>114</v>
      </c>
      <c r="D7">
        <v>6</v>
      </c>
      <c r="E7" s="4">
        <v>44501</v>
      </c>
      <c r="F7" t="s">
        <v>64</v>
      </c>
      <c r="H7" t="s">
        <v>68</v>
      </c>
      <c r="I7" t="s">
        <v>241</v>
      </c>
      <c r="K7" s="9">
        <v>1.3534722222222222</v>
      </c>
      <c r="L7">
        <v>4</v>
      </c>
      <c r="M7">
        <v>14</v>
      </c>
      <c r="N7">
        <v>0.28599999999999998</v>
      </c>
      <c r="O7">
        <v>0</v>
      </c>
      <c r="P7">
        <v>5</v>
      </c>
      <c r="Q7">
        <v>0</v>
      </c>
      <c r="R7">
        <v>4</v>
      </c>
      <c r="S7">
        <v>9</v>
      </c>
      <c r="T7">
        <v>0.44400000000000001</v>
      </c>
      <c r="U7">
        <v>0.28599999999999998</v>
      </c>
      <c r="V7">
        <v>2</v>
      </c>
      <c r="W7">
        <v>4</v>
      </c>
      <c r="X7">
        <v>0.5</v>
      </c>
      <c r="Y7">
        <v>3</v>
      </c>
      <c r="Z7">
        <v>2</v>
      </c>
      <c r="AA7">
        <v>5</v>
      </c>
      <c r="AB7">
        <v>1</v>
      </c>
      <c r="AC7">
        <v>2</v>
      </c>
      <c r="AD7">
        <v>0</v>
      </c>
      <c r="AE7">
        <v>1</v>
      </c>
      <c r="AF7">
        <v>3</v>
      </c>
      <c r="AG7">
        <v>10</v>
      </c>
      <c r="AH7">
        <v>4.2</v>
      </c>
      <c r="AI7">
        <v>16</v>
      </c>
    </row>
    <row r="8" spans="1:35" ht="21" x14ac:dyDescent="0.3">
      <c r="A8" s="12" t="s">
        <v>562</v>
      </c>
      <c r="B8" s="11">
        <v>7</v>
      </c>
      <c r="C8">
        <v>115</v>
      </c>
      <c r="D8">
        <v>7</v>
      </c>
      <c r="E8" s="4">
        <v>44503</v>
      </c>
      <c r="F8" t="s">
        <v>64</v>
      </c>
      <c r="G8" t="s">
        <v>37</v>
      </c>
      <c r="H8" t="s">
        <v>80</v>
      </c>
      <c r="I8" t="s">
        <v>373</v>
      </c>
      <c r="K8" s="9">
        <v>1.3</v>
      </c>
      <c r="L8">
        <v>6</v>
      </c>
      <c r="M8">
        <v>7</v>
      </c>
      <c r="N8">
        <v>0.85699999999999998</v>
      </c>
      <c r="O8">
        <v>3</v>
      </c>
      <c r="P8">
        <v>3</v>
      </c>
      <c r="Q8">
        <v>1</v>
      </c>
      <c r="R8">
        <v>3</v>
      </c>
      <c r="S8">
        <v>4</v>
      </c>
      <c r="T8">
        <v>0.75</v>
      </c>
      <c r="U8">
        <v>1.071</v>
      </c>
      <c r="V8">
        <v>2</v>
      </c>
      <c r="W8">
        <v>2</v>
      </c>
      <c r="X8">
        <v>1</v>
      </c>
      <c r="Y8">
        <v>0</v>
      </c>
      <c r="Z8">
        <v>2</v>
      </c>
      <c r="AA8">
        <v>2</v>
      </c>
      <c r="AB8">
        <v>3</v>
      </c>
      <c r="AC8">
        <v>0</v>
      </c>
      <c r="AD8">
        <v>1</v>
      </c>
      <c r="AE8">
        <v>3</v>
      </c>
      <c r="AF8">
        <v>3</v>
      </c>
      <c r="AG8">
        <v>17</v>
      </c>
      <c r="AH8">
        <v>13.7</v>
      </c>
      <c r="AI8">
        <v>8</v>
      </c>
    </row>
    <row r="9" spans="1:35" ht="21" x14ac:dyDescent="0.3">
      <c r="A9" s="12" t="s">
        <v>562</v>
      </c>
      <c r="B9" s="11">
        <v>8</v>
      </c>
      <c r="C9">
        <v>116</v>
      </c>
      <c r="D9">
        <v>8</v>
      </c>
      <c r="E9" s="4">
        <v>44505</v>
      </c>
      <c r="F9" t="s">
        <v>64</v>
      </c>
      <c r="G9" t="s">
        <v>37</v>
      </c>
      <c r="H9" t="s">
        <v>80</v>
      </c>
      <c r="I9" t="s">
        <v>374</v>
      </c>
      <c r="K9" s="9">
        <v>1.2555555555555555</v>
      </c>
      <c r="L9">
        <v>6</v>
      </c>
      <c r="M9">
        <v>12</v>
      </c>
      <c r="N9">
        <v>0.5</v>
      </c>
      <c r="O9">
        <v>0</v>
      </c>
      <c r="P9">
        <v>2</v>
      </c>
      <c r="Q9">
        <v>0</v>
      </c>
      <c r="R9">
        <v>6</v>
      </c>
      <c r="S9">
        <v>10</v>
      </c>
      <c r="T9">
        <v>0.6</v>
      </c>
      <c r="U9">
        <v>0.5</v>
      </c>
      <c r="V9">
        <v>1</v>
      </c>
      <c r="W9">
        <v>2</v>
      </c>
      <c r="X9">
        <v>0.5</v>
      </c>
      <c r="Y9">
        <v>3</v>
      </c>
      <c r="Z9">
        <v>3</v>
      </c>
      <c r="AA9">
        <v>6</v>
      </c>
      <c r="AB9">
        <v>1</v>
      </c>
      <c r="AC9">
        <v>1</v>
      </c>
      <c r="AD9">
        <v>0</v>
      </c>
      <c r="AE9">
        <v>1</v>
      </c>
      <c r="AF9">
        <v>1</v>
      </c>
      <c r="AG9">
        <v>13</v>
      </c>
      <c r="AH9">
        <v>9.9</v>
      </c>
      <c r="AI9">
        <v>9</v>
      </c>
    </row>
    <row r="10" spans="1:35" ht="21" x14ac:dyDescent="0.3">
      <c r="A10" s="12" t="s">
        <v>562</v>
      </c>
      <c r="B10" s="11">
        <v>9</v>
      </c>
      <c r="C10">
        <v>117</v>
      </c>
      <c r="D10">
        <v>9</v>
      </c>
      <c r="E10" s="4">
        <v>44507</v>
      </c>
      <c r="F10" t="s">
        <v>64</v>
      </c>
      <c r="H10" t="s">
        <v>72</v>
      </c>
      <c r="I10" t="s">
        <v>375</v>
      </c>
      <c r="K10" s="9">
        <v>1.4270833333333333</v>
      </c>
      <c r="L10">
        <v>5</v>
      </c>
      <c r="M10">
        <v>8</v>
      </c>
      <c r="N10">
        <v>0.625</v>
      </c>
      <c r="O10">
        <v>2</v>
      </c>
      <c r="P10">
        <v>4</v>
      </c>
      <c r="Q10">
        <v>0.5</v>
      </c>
      <c r="R10">
        <v>3</v>
      </c>
      <c r="S10">
        <v>4</v>
      </c>
      <c r="T10">
        <v>0.75</v>
      </c>
      <c r="U10">
        <v>0.75</v>
      </c>
      <c r="V10">
        <v>5</v>
      </c>
      <c r="W10">
        <v>5</v>
      </c>
      <c r="X10">
        <v>1</v>
      </c>
      <c r="Y10">
        <v>1</v>
      </c>
      <c r="Z10">
        <v>9</v>
      </c>
      <c r="AA10">
        <v>10</v>
      </c>
      <c r="AB10">
        <v>3</v>
      </c>
      <c r="AC10">
        <v>0</v>
      </c>
      <c r="AD10">
        <v>0</v>
      </c>
      <c r="AE10">
        <v>1</v>
      </c>
      <c r="AF10">
        <v>1</v>
      </c>
      <c r="AG10">
        <v>17</v>
      </c>
      <c r="AH10">
        <v>17.5</v>
      </c>
      <c r="AI10">
        <v>24</v>
      </c>
    </row>
    <row r="11" spans="1:35" ht="21" x14ac:dyDescent="0.3">
      <c r="A11" s="12" t="s">
        <v>562</v>
      </c>
      <c r="B11" s="11">
        <v>10</v>
      </c>
      <c r="C11">
        <v>118</v>
      </c>
      <c r="D11">
        <v>10</v>
      </c>
      <c r="E11" s="4">
        <v>44509</v>
      </c>
      <c r="F11" t="s">
        <v>64</v>
      </c>
      <c r="H11" t="s">
        <v>96</v>
      </c>
      <c r="I11" t="s">
        <v>376</v>
      </c>
      <c r="K11" s="9">
        <v>1.3625</v>
      </c>
      <c r="L11">
        <v>2</v>
      </c>
      <c r="M11">
        <v>5</v>
      </c>
      <c r="N11">
        <v>0.4</v>
      </c>
      <c r="O11">
        <v>1</v>
      </c>
      <c r="P11">
        <v>3</v>
      </c>
      <c r="Q11">
        <v>0.33300000000000002</v>
      </c>
      <c r="R11">
        <v>1</v>
      </c>
      <c r="S11">
        <v>2</v>
      </c>
      <c r="T11">
        <v>0.5</v>
      </c>
      <c r="U11">
        <v>0.5</v>
      </c>
      <c r="V11">
        <v>2</v>
      </c>
      <c r="W11">
        <v>2</v>
      </c>
      <c r="X11">
        <v>1</v>
      </c>
      <c r="Y11">
        <v>0</v>
      </c>
      <c r="Z11">
        <v>5</v>
      </c>
      <c r="AA11">
        <v>5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7</v>
      </c>
      <c r="AH11">
        <v>6.1</v>
      </c>
      <c r="AI11">
        <v>6</v>
      </c>
    </row>
    <row r="12" spans="1:35" ht="21" x14ac:dyDescent="0.3">
      <c r="A12" s="12" t="s">
        <v>562</v>
      </c>
      <c r="B12" s="11">
        <v>11</v>
      </c>
      <c r="C12">
        <v>119</v>
      </c>
      <c r="D12">
        <v>11</v>
      </c>
      <c r="E12" s="4">
        <v>44511</v>
      </c>
      <c r="F12" t="s">
        <v>64</v>
      </c>
      <c r="H12" t="s">
        <v>120</v>
      </c>
      <c r="I12" t="s">
        <v>377</v>
      </c>
      <c r="K12" s="7">
        <v>0.73611111111111116</v>
      </c>
      <c r="L12">
        <v>0</v>
      </c>
      <c r="M12">
        <v>3</v>
      </c>
      <c r="N12">
        <v>0</v>
      </c>
      <c r="O12">
        <v>0</v>
      </c>
      <c r="P12">
        <v>2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Y12">
        <v>0</v>
      </c>
      <c r="Z12">
        <v>1</v>
      </c>
      <c r="AA12">
        <v>1</v>
      </c>
      <c r="AB12">
        <v>2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-1.8</v>
      </c>
      <c r="AI12">
        <v>-3</v>
      </c>
    </row>
    <row r="13" spans="1:35" ht="21" x14ac:dyDescent="0.3">
      <c r="A13" s="12" t="s">
        <v>562</v>
      </c>
      <c r="B13" s="11">
        <v>12</v>
      </c>
      <c r="C13">
        <v>120</v>
      </c>
      <c r="D13">
        <v>12</v>
      </c>
      <c r="E13" s="4">
        <v>44513</v>
      </c>
      <c r="F13" t="s">
        <v>64</v>
      </c>
      <c r="H13" t="s">
        <v>80</v>
      </c>
      <c r="I13" t="s">
        <v>333</v>
      </c>
      <c r="K13" s="9">
        <v>1.2618055555555556</v>
      </c>
      <c r="L13">
        <v>7</v>
      </c>
      <c r="M13">
        <v>10</v>
      </c>
      <c r="N13">
        <v>0.7</v>
      </c>
      <c r="O13">
        <v>2</v>
      </c>
      <c r="P13">
        <v>5</v>
      </c>
      <c r="Q13">
        <v>0.4</v>
      </c>
      <c r="R13">
        <v>5</v>
      </c>
      <c r="S13">
        <v>5</v>
      </c>
      <c r="T13">
        <v>1</v>
      </c>
      <c r="U13">
        <v>0.8</v>
      </c>
      <c r="V13">
        <v>0</v>
      </c>
      <c r="W13">
        <v>0</v>
      </c>
      <c r="Y13">
        <v>0</v>
      </c>
      <c r="Z13">
        <v>3</v>
      </c>
      <c r="AA13">
        <v>3</v>
      </c>
      <c r="AB13">
        <v>4</v>
      </c>
      <c r="AC13">
        <v>0</v>
      </c>
      <c r="AD13">
        <v>0</v>
      </c>
      <c r="AE13">
        <v>0</v>
      </c>
      <c r="AF13">
        <v>3</v>
      </c>
      <c r="AG13">
        <v>16</v>
      </c>
      <c r="AH13">
        <v>14.3</v>
      </c>
      <c r="AI13">
        <v>30</v>
      </c>
    </row>
    <row r="14" spans="1:35" ht="21" x14ac:dyDescent="0.3">
      <c r="A14" s="12" t="s">
        <v>562</v>
      </c>
      <c r="B14" s="11">
        <v>13</v>
      </c>
      <c r="C14">
        <v>121</v>
      </c>
      <c r="D14">
        <v>13</v>
      </c>
      <c r="E14" s="4">
        <v>44514</v>
      </c>
      <c r="F14" t="s">
        <v>64</v>
      </c>
      <c r="H14" t="s">
        <v>82</v>
      </c>
      <c r="I14" t="s">
        <v>378</v>
      </c>
      <c r="K14" s="9">
        <v>1.35625</v>
      </c>
      <c r="L14">
        <v>3</v>
      </c>
      <c r="M14">
        <v>7</v>
      </c>
      <c r="N14">
        <v>0.42899999999999999</v>
      </c>
      <c r="O14">
        <v>2</v>
      </c>
      <c r="P14">
        <v>3</v>
      </c>
      <c r="Q14">
        <v>0.66700000000000004</v>
      </c>
      <c r="R14">
        <v>1</v>
      </c>
      <c r="S14">
        <v>4</v>
      </c>
      <c r="T14">
        <v>0.25</v>
      </c>
      <c r="U14">
        <v>0.57099999999999995</v>
      </c>
      <c r="V14">
        <v>0</v>
      </c>
      <c r="W14">
        <v>0</v>
      </c>
      <c r="Y14">
        <v>2</v>
      </c>
      <c r="Z14">
        <v>3</v>
      </c>
      <c r="AA14">
        <v>5</v>
      </c>
      <c r="AB14">
        <v>3</v>
      </c>
      <c r="AC14">
        <v>1</v>
      </c>
      <c r="AD14">
        <v>0</v>
      </c>
      <c r="AE14">
        <v>2</v>
      </c>
      <c r="AF14">
        <v>4</v>
      </c>
      <c r="AG14">
        <v>8</v>
      </c>
      <c r="AH14">
        <v>6.1</v>
      </c>
      <c r="AI14">
        <v>-5</v>
      </c>
    </row>
    <row r="15" spans="1:35" ht="21" x14ac:dyDescent="0.3">
      <c r="A15" s="12" t="s">
        <v>562</v>
      </c>
      <c r="B15" s="11">
        <v>13</v>
      </c>
      <c r="D15">
        <v>14</v>
      </c>
      <c r="E15" s="4">
        <v>44516</v>
      </c>
      <c r="F15" t="s">
        <v>64</v>
      </c>
      <c r="H15" t="s">
        <v>102</v>
      </c>
      <c r="I15" t="s">
        <v>379</v>
      </c>
      <c r="J15" t="s">
        <v>91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</row>
    <row r="16" spans="1:35" ht="21" x14ac:dyDescent="0.3">
      <c r="A16" s="12" t="s">
        <v>562</v>
      </c>
      <c r="B16" s="11">
        <v>14</v>
      </c>
      <c r="C16">
        <v>122</v>
      </c>
      <c r="D16">
        <v>15</v>
      </c>
      <c r="E16" s="4">
        <v>44518</v>
      </c>
      <c r="F16" t="s">
        <v>64</v>
      </c>
      <c r="G16" t="s">
        <v>37</v>
      </c>
      <c r="H16" t="s">
        <v>42</v>
      </c>
      <c r="I16" t="s">
        <v>186</v>
      </c>
      <c r="K16" s="9">
        <v>1.0201388888888889</v>
      </c>
      <c r="L16">
        <v>2</v>
      </c>
      <c r="M16">
        <v>9</v>
      </c>
      <c r="N16">
        <v>0.222</v>
      </c>
      <c r="O16">
        <v>1</v>
      </c>
      <c r="P16">
        <v>5</v>
      </c>
      <c r="Q16">
        <v>0.2</v>
      </c>
      <c r="R16">
        <v>1</v>
      </c>
      <c r="S16">
        <v>4</v>
      </c>
      <c r="T16">
        <v>0.25</v>
      </c>
      <c r="U16">
        <v>0.27800000000000002</v>
      </c>
      <c r="V16">
        <v>0</v>
      </c>
      <c r="W16">
        <v>0</v>
      </c>
      <c r="Y16">
        <v>1</v>
      </c>
      <c r="Z16">
        <v>1</v>
      </c>
      <c r="AA16">
        <v>2</v>
      </c>
      <c r="AB16">
        <v>1</v>
      </c>
      <c r="AC16">
        <v>0</v>
      </c>
      <c r="AD16">
        <v>0</v>
      </c>
      <c r="AE16">
        <v>0</v>
      </c>
      <c r="AF16">
        <v>2</v>
      </c>
      <c r="AG16">
        <v>5</v>
      </c>
      <c r="AH16">
        <v>0.4</v>
      </c>
      <c r="AI16">
        <v>-8</v>
      </c>
    </row>
    <row r="17" spans="1:35" ht="21" x14ac:dyDescent="0.3">
      <c r="A17" s="12" t="s">
        <v>562</v>
      </c>
      <c r="B17" s="11">
        <v>15</v>
      </c>
      <c r="C17">
        <v>123</v>
      </c>
      <c r="D17">
        <v>16</v>
      </c>
      <c r="E17" s="4">
        <v>44519</v>
      </c>
      <c r="F17" t="s">
        <v>64</v>
      </c>
      <c r="G17" t="s">
        <v>37</v>
      </c>
      <c r="H17" t="s">
        <v>74</v>
      </c>
      <c r="I17" t="s">
        <v>380</v>
      </c>
      <c r="K17" s="9">
        <v>1.1048611111111111</v>
      </c>
      <c r="L17">
        <v>5</v>
      </c>
      <c r="M17">
        <v>8</v>
      </c>
      <c r="N17">
        <v>0.625</v>
      </c>
      <c r="O17">
        <v>1</v>
      </c>
      <c r="P17">
        <v>2</v>
      </c>
      <c r="Q17">
        <v>0.5</v>
      </c>
      <c r="R17">
        <v>4</v>
      </c>
      <c r="S17">
        <v>6</v>
      </c>
      <c r="T17">
        <v>0.66700000000000004</v>
      </c>
      <c r="U17">
        <v>0.68799999999999994</v>
      </c>
      <c r="V17">
        <v>0</v>
      </c>
      <c r="W17">
        <v>0</v>
      </c>
      <c r="Y17">
        <v>1</v>
      </c>
      <c r="Z17">
        <v>4</v>
      </c>
      <c r="AA17">
        <v>5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11</v>
      </c>
      <c r="AH17">
        <v>8.6</v>
      </c>
      <c r="AI17">
        <v>1</v>
      </c>
    </row>
    <row r="18" spans="1:35" ht="21" x14ac:dyDescent="0.3">
      <c r="A18" s="12" t="s">
        <v>562</v>
      </c>
      <c r="B18" s="11">
        <v>16</v>
      </c>
      <c r="C18">
        <v>124</v>
      </c>
      <c r="D18">
        <v>17</v>
      </c>
      <c r="E18" s="4">
        <v>44521</v>
      </c>
      <c r="F18" t="s">
        <v>64</v>
      </c>
      <c r="H18" t="s">
        <v>49</v>
      </c>
      <c r="I18" t="s">
        <v>381</v>
      </c>
      <c r="K18" s="9">
        <v>1.125</v>
      </c>
      <c r="L18">
        <v>2</v>
      </c>
      <c r="M18">
        <v>4</v>
      </c>
      <c r="N18">
        <v>0.5</v>
      </c>
      <c r="O18">
        <v>1</v>
      </c>
      <c r="P18">
        <v>1</v>
      </c>
      <c r="Q18">
        <v>1</v>
      </c>
      <c r="R18">
        <v>1</v>
      </c>
      <c r="S18">
        <v>3</v>
      </c>
      <c r="T18">
        <v>0.33300000000000002</v>
      </c>
      <c r="U18">
        <v>0.625</v>
      </c>
      <c r="V18">
        <v>2</v>
      </c>
      <c r="W18">
        <v>2</v>
      </c>
      <c r="X18">
        <v>1</v>
      </c>
      <c r="Y18">
        <v>1</v>
      </c>
      <c r="Z18">
        <v>3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7</v>
      </c>
      <c r="AH18">
        <v>5.8</v>
      </c>
      <c r="AI18">
        <v>-11</v>
      </c>
    </row>
    <row r="19" spans="1:35" ht="21" x14ac:dyDescent="0.3">
      <c r="A19" s="12" t="s">
        <v>562</v>
      </c>
      <c r="B19" s="11">
        <v>17</v>
      </c>
      <c r="C19">
        <v>125</v>
      </c>
      <c r="D19">
        <v>18</v>
      </c>
      <c r="E19" s="4">
        <v>44523</v>
      </c>
      <c r="F19" t="s">
        <v>64</v>
      </c>
      <c r="H19" t="s">
        <v>49</v>
      </c>
      <c r="I19" t="s">
        <v>382</v>
      </c>
      <c r="K19" s="7">
        <v>0.79583333333333328</v>
      </c>
      <c r="L19">
        <v>2</v>
      </c>
      <c r="M19">
        <v>5</v>
      </c>
      <c r="N19">
        <v>0.4</v>
      </c>
      <c r="O19">
        <v>1</v>
      </c>
      <c r="P19">
        <v>2</v>
      </c>
      <c r="Q19">
        <v>0.5</v>
      </c>
      <c r="R19">
        <v>1</v>
      </c>
      <c r="S19">
        <v>3</v>
      </c>
      <c r="T19">
        <v>0.33300000000000002</v>
      </c>
      <c r="U19">
        <v>0.5</v>
      </c>
      <c r="V19">
        <v>2</v>
      </c>
      <c r="W19">
        <v>2</v>
      </c>
      <c r="X19">
        <v>1</v>
      </c>
      <c r="Y19">
        <v>0</v>
      </c>
      <c r="Z19">
        <v>2</v>
      </c>
      <c r="AA19">
        <v>2</v>
      </c>
      <c r="AB19">
        <v>2</v>
      </c>
      <c r="AC19">
        <v>1</v>
      </c>
      <c r="AD19">
        <v>0</v>
      </c>
      <c r="AE19">
        <v>3</v>
      </c>
      <c r="AF19">
        <v>6</v>
      </c>
      <c r="AG19">
        <v>7</v>
      </c>
      <c r="AH19">
        <v>1.9</v>
      </c>
      <c r="AI19">
        <v>0</v>
      </c>
    </row>
    <row r="20" spans="1:35" ht="21" x14ac:dyDescent="0.3">
      <c r="A20" s="12" t="s">
        <v>562</v>
      </c>
      <c r="B20" s="11">
        <v>18</v>
      </c>
      <c r="C20">
        <v>126</v>
      </c>
      <c r="D20">
        <v>19</v>
      </c>
      <c r="E20" s="4">
        <v>44526</v>
      </c>
      <c r="F20" t="s">
        <v>64</v>
      </c>
      <c r="H20" t="s">
        <v>89</v>
      </c>
      <c r="I20" t="s">
        <v>383</v>
      </c>
      <c r="K20" s="9">
        <v>1.2944444444444445</v>
      </c>
      <c r="L20">
        <v>6</v>
      </c>
      <c r="M20">
        <v>13</v>
      </c>
      <c r="N20">
        <v>0.46200000000000002</v>
      </c>
      <c r="O20">
        <v>1</v>
      </c>
      <c r="P20">
        <v>1</v>
      </c>
      <c r="Q20">
        <v>1</v>
      </c>
      <c r="R20">
        <v>5</v>
      </c>
      <c r="S20">
        <v>12</v>
      </c>
      <c r="T20">
        <v>0.41699999999999998</v>
      </c>
      <c r="U20">
        <v>0.5</v>
      </c>
      <c r="V20">
        <v>3</v>
      </c>
      <c r="W20">
        <v>3</v>
      </c>
      <c r="X20">
        <v>1</v>
      </c>
      <c r="Y20">
        <v>2</v>
      </c>
      <c r="Z20">
        <v>8</v>
      </c>
      <c r="AA20">
        <v>10</v>
      </c>
      <c r="AB20">
        <v>2</v>
      </c>
      <c r="AC20">
        <v>1</v>
      </c>
      <c r="AD20">
        <v>0</v>
      </c>
      <c r="AE20">
        <v>2</v>
      </c>
      <c r="AF20">
        <v>4</v>
      </c>
      <c r="AG20">
        <v>16</v>
      </c>
      <c r="AH20">
        <v>11.9</v>
      </c>
      <c r="AI20">
        <v>-2</v>
      </c>
    </row>
    <row r="21" spans="1:35" ht="21" x14ac:dyDescent="0.3">
      <c r="A21" s="12" t="s">
        <v>562</v>
      </c>
      <c r="B21" s="11">
        <v>19</v>
      </c>
      <c r="C21">
        <v>127</v>
      </c>
      <c r="D21">
        <v>20</v>
      </c>
      <c r="E21" s="4">
        <v>44528</v>
      </c>
      <c r="F21" t="s">
        <v>64</v>
      </c>
      <c r="H21" t="s">
        <v>33</v>
      </c>
      <c r="I21" t="s">
        <v>199</v>
      </c>
      <c r="K21" s="9">
        <v>1.0777777777777777</v>
      </c>
      <c r="L21">
        <v>1</v>
      </c>
      <c r="M21">
        <v>5</v>
      </c>
      <c r="N21">
        <v>0.2</v>
      </c>
      <c r="O21">
        <v>1</v>
      </c>
      <c r="P21">
        <v>2</v>
      </c>
      <c r="Q21">
        <v>0.5</v>
      </c>
      <c r="R21">
        <v>0</v>
      </c>
      <c r="S21">
        <v>3</v>
      </c>
      <c r="T21">
        <v>0</v>
      </c>
      <c r="U21">
        <v>0.3</v>
      </c>
      <c r="V21">
        <v>5</v>
      </c>
      <c r="W21">
        <v>6</v>
      </c>
      <c r="X21">
        <v>0.83299999999999996</v>
      </c>
      <c r="Y21">
        <v>2</v>
      </c>
      <c r="Z21">
        <v>3</v>
      </c>
      <c r="AA21">
        <v>5</v>
      </c>
      <c r="AB21">
        <v>3</v>
      </c>
      <c r="AC21">
        <v>2</v>
      </c>
      <c r="AD21">
        <v>0</v>
      </c>
      <c r="AE21">
        <v>4</v>
      </c>
      <c r="AF21">
        <v>1</v>
      </c>
      <c r="AG21">
        <v>8</v>
      </c>
      <c r="AH21">
        <v>6.5</v>
      </c>
      <c r="AI21">
        <v>-9</v>
      </c>
    </row>
    <row r="22" spans="1:35" ht="21" x14ac:dyDescent="0.3">
      <c r="A22" s="12" t="s">
        <v>562</v>
      </c>
      <c r="B22" s="11">
        <v>20</v>
      </c>
      <c r="C22">
        <v>128</v>
      </c>
      <c r="D22">
        <v>21</v>
      </c>
      <c r="E22" s="4">
        <v>44529</v>
      </c>
      <c r="F22" t="s">
        <v>64</v>
      </c>
      <c r="H22" t="s">
        <v>74</v>
      </c>
      <c r="I22" t="s">
        <v>384</v>
      </c>
      <c r="K22" s="9">
        <v>1.1965277777777779</v>
      </c>
      <c r="L22">
        <v>2</v>
      </c>
      <c r="M22">
        <v>6</v>
      </c>
      <c r="N22">
        <v>0.33300000000000002</v>
      </c>
      <c r="O22">
        <v>0</v>
      </c>
      <c r="P22">
        <v>3</v>
      </c>
      <c r="Q22">
        <v>0</v>
      </c>
      <c r="R22">
        <v>2</v>
      </c>
      <c r="S22">
        <v>3</v>
      </c>
      <c r="T22">
        <v>0.66700000000000004</v>
      </c>
      <c r="U22">
        <v>0.33300000000000002</v>
      </c>
      <c r="V22">
        <v>2</v>
      </c>
      <c r="W22">
        <v>2</v>
      </c>
      <c r="X22">
        <v>1</v>
      </c>
      <c r="Y22">
        <v>2</v>
      </c>
      <c r="Z22">
        <v>5</v>
      </c>
      <c r="AA22">
        <v>7</v>
      </c>
      <c r="AB22">
        <v>5</v>
      </c>
      <c r="AC22">
        <v>0</v>
      </c>
      <c r="AD22">
        <v>0</v>
      </c>
      <c r="AE22">
        <v>1</v>
      </c>
      <c r="AF22">
        <v>2</v>
      </c>
      <c r="AG22">
        <v>6</v>
      </c>
      <c r="AH22">
        <v>7.2</v>
      </c>
      <c r="AI22">
        <v>-14</v>
      </c>
    </row>
    <row r="23" spans="1:35" ht="21" x14ac:dyDescent="0.3">
      <c r="A23" s="12" t="s">
        <v>562</v>
      </c>
      <c r="B23" s="11">
        <v>21</v>
      </c>
      <c r="C23">
        <v>129</v>
      </c>
      <c r="D23">
        <v>22</v>
      </c>
      <c r="E23" s="4">
        <v>44531</v>
      </c>
      <c r="F23" t="s">
        <v>64</v>
      </c>
      <c r="H23" t="s">
        <v>66</v>
      </c>
      <c r="I23" t="s">
        <v>314</v>
      </c>
      <c r="K23" s="9">
        <v>1.0777777777777777</v>
      </c>
      <c r="L23">
        <v>8</v>
      </c>
      <c r="M23">
        <v>13</v>
      </c>
      <c r="N23">
        <v>0.61499999999999999</v>
      </c>
      <c r="O23">
        <v>1</v>
      </c>
      <c r="P23">
        <v>5</v>
      </c>
      <c r="Q23">
        <v>0.2</v>
      </c>
      <c r="R23">
        <v>7</v>
      </c>
      <c r="S23">
        <v>8</v>
      </c>
      <c r="T23">
        <v>0.875</v>
      </c>
      <c r="U23">
        <v>0.65400000000000003</v>
      </c>
      <c r="V23">
        <v>2</v>
      </c>
      <c r="W23">
        <v>4</v>
      </c>
      <c r="X23">
        <v>0.5</v>
      </c>
      <c r="Y23">
        <v>2</v>
      </c>
      <c r="Z23">
        <v>2</v>
      </c>
      <c r="AA23">
        <v>4</v>
      </c>
      <c r="AB23">
        <v>4</v>
      </c>
      <c r="AC23">
        <v>0</v>
      </c>
      <c r="AD23">
        <v>0</v>
      </c>
      <c r="AE23">
        <v>1</v>
      </c>
      <c r="AF23">
        <v>3</v>
      </c>
      <c r="AG23">
        <v>19</v>
      </c>
      <c r="AH23">
        <v>14.9</v>
      </c>
      <c r="AI23">
        <v>-7</v>
      </c>
    </row>
    <row r="24" spans="1:35" ht="21" x14ac:dyDescent="0.3">
      <c r="A24" s="12" t="s">
        <v>562</v>
      </c>
      <c r="B24" s="11">
        <v>22</v>
      </c>
      <c r="C24">
        <v>130</v>
      </c>
      <c r="D24">
        <v>23</v>
      </c>
      <c r="E24" s="4">
        <v>44533</v>
      </c>
      <c r="F24" t="s">
        <v>64</v>
      </c>
      <c r="G24" t="s">
        <v>37</v>
      </c>
      <c r="H24" t="s">
        <v>62</v>
      </c>
      <c r="I24" t="s">
        <v>385</v>
      </c>
      <c r="K24" s="7">
        <v>0.68333333333333335</v>
      </c>
      <c r="L24">
        <v>1</v>
      </c>
      <c r="M24">
        <v>4</v>
      </c>
      <c r="N24">
        <v>0.25</v>
      </c>
      <c r="O24">
        <v>0</v>
      </c>
      <c r="P24">
        <v>1</v>
      </c>
      <c r="Q24">
        <v>0</v>
      </c>
      <c r="R24">
        <v>1</v>
      </c>
      <c r="S24">
        <v>3</v>
      </c>
      <c r="T24">
        <v>0.33300000000000002</v>
      </c>
      <c r="U24">
        <v>0.25</v>
      </c>
      <c r="V24">
        <v>0</v>
      </c>
      <c r="W24">
        <v>0</v>
      </c>
      <c r="Y24">
        <v>1</v>
      </c>
      <c r="Z24">
        <v>5</v>
      </c>
      <c r="AA24">
        <v>6</v>
      </c>
      <c r="AB24">
        <v>1</v>
      </c>
      <c r="AC24">
        <v>0</v>
      </c>
      <c r="AD24">
        <v>0</v>
      </c>
      <c r="AE24">
        <v>0</v>
      </c>
      <c r="AF24">
        <v>3</v>
      </c>
      <c r="AG24">
        <v>2</v>
      </c>
      <c r="AH24">
        <v>1.3</v>
      </c>
      <c r="AI24">
        <v>-9</v>
      </c>
    </row>
    <row r="25" spans="1:35" ht="21" x14ac:dyDescent="0.3">
      <c r="A25" s="12" t="s">
        <v>562</v>
      </c>
      <c r="B25" s="11">
        <v>23</v>
      </c>
      <c r="C25">
        <v>131</v>
      </c>
      <c r="D25">
        <v>24</v>
      </c>
      <c r="E25" s="4">
        <v>44534</v>
      </c>
      <c r="F25" t="s">
        <v>64</v>
      </c>
      <c r="G25" t="s">
        <v>37</v>
      </c>
      <c r="H25" t="s">
        <v>66</v>
      </c>
      <c r="I25" t="s">
        <v>225</v>
      </c>
      <c r="K25" s="9">
        <v>1.0270833333333333</v>
      </c>
      <c r="L25">
        <v>3</v>
      </c>
      <c r="M25">
        <v>7</v>
      </c>
      <c r="N25">
        <v>0.42899999999999999</v>
      </c>
      <c r="O25">
        <v>1</v>
      </c>
      <c r="P25">
        <v>3</v>
      </c>
      <c r="Q25">
        <v>0.33300000000000002</v>
      </c>
      <c r="R25">
        <v>2</v>
      </c>
      <c r="S25">
        <v>4</v>
      </c>
      <c r="T25">
        <v>0.5</v>
      </c>
      <c r="U25">
        <v>0.5</v>
      </c>
      <c r="V25">
        <v>2</v>
      </c>
      <c r="W25">
        <v>4</v>
      </c>
      <c r="X25">
        <v>0.5</v>
      </c>
      <c r="Y25">
        <v>3</v>
      </c>
      <c r="Z25">
        <v>2</v>
      </c>
      <c r="AA25">
        <v>5</v>
      </c>
      <c r="AB25">
        <v>0</v>
      </c>
      <c r="AC25">
        <v>0</v>
      </c>
      <c r="AD25">
        <v>0</v>
      </c>
      <c r="AE25">
        <v>1</v>
      </c>
      <c r="AF25">
        <v>2</v>
      </c>
      <c r="AG25">
        <v>9</v>
      </c>
      <c r="AH25">
        <v>5.4</v>
      </c>
      <c r="AI25">
        <v>-7</v>
      </c>
    </row>
    <row r="26" spans="1:35" ht="21" x14ac:dyDescent="0.3">
      <c r="A26" s="12" t="s">
        <v>562</v>
      </c>
      <c r="B26" s="11">
        <v>24</v>
      </c>
      <c r="C26">
        <v>132</v>
      </c>
      <c r="D26">
        <v>25</v>
      </c>
      <c r="E26" s="4">
        <v>44536</v>
      </c>
      <c r="F26" t="s">
        <v>64</v>
      </c>
      <c r="G26" t="s">
        <v>37</v>
      </c>
      <c r="H26" t="s">
        <v>96</v>
      </c>
      <c r="I26" t="s">
        <v>386</v>
      </c>
      <c r="K26" s="7">
        <v>0.75902777777777775</v>
      </c>
      <c r="L26">
        <v>3</v>
      </c>
      <c r="M26">
        <v>8</v>
      </c>
      <c r="N26">
        <v>0.375</v>
      </c>
      <c r="O26">
        <v>0</v>
      </c>
      <c r="P26">
        <v>1</v>
      </c>
      <c r="Q26">
        <v>0</v>
      </c>
      <c r="R26">
        <v>3</v>
      </c>
      <c r="S26">
        <v>7</v>
      </c>
      <c r="T26">
        <v>0.42899999999999999</v>
      </c>
      <c r="U26">
        <v>0.375</v>
      </c>
      <c r="V26">
        <v>0</v>
      </c>
      <c r="W26">
        <v>0</v>
      </c>
      <c r="Y26">
        <v>1</v>
      </c>
      <c r="Z26">
        <v>5</v>
      </c>
      <c r="AA26">
        <v>6</v>
      </c>
      <c r="AB26">
        <v>1</v>
      </c>
      <c r="AC26">
        <v>0</v>
      </c>
      <c r="AD26">
        <v>0</v>
      </c>
      <c r="AE26">
        <v>0</v>
      </c>
      <c r="AF26">
        <v>2</v>
      </c>
      <c r="AG26">
        <v>6</v>
      </c>
      <c r="AH26">
        <v>3.7</v>
      </c>
      <c r="AI26">
        <v>3</v>
      </c>
    </row>
    <row r="27" spans="1:35" ht="21" x14ac:dyDescent="0.3">
      <c r="A27" s="12" t="s">
        <v>562</v>
      </c>
      <c r="B27" s="11">
        <v>25</v>
      </c>
      <c r="C27">
        <v>133</v>
      </c>
      <c r="D27">
        <v>26</v>
      </c>
      <c r="E27" s="4">
        <v>44538</v>
      </c>
      <c r="F27" t="s">
        <v>64</v>
      </c>
      <c r="H27" t="s">
        <v>55</v>
      </c>
      <c r="I27" t="s">
        <v>347</v>
      </c>
      <c r="J27" t="s">
        <v>41</v>
      </c>
      <c r="K27" s="9">
        <v>1.3374999999999999</v>
      </c>
      <c r="L27">
        <v>5</v>
      </c>
      <c r="M27">
        <v>7</v>
      </c>
      <c r="N27">
        <v>0.71399999999999997</v>
      </c>
      <c r="O27">
        <v>0</v>
      </c>
      <c r="P27">
        <v>0</v>
      </c>
      <c r="R27">
        <v>5</v>
      </c>
      <c r="S27">
        <v>7</v>
      </c>
      <c r="T27">
        <v>0.71399999999999997</v>
      </c>
      <c r="U27">
        <v>0.71399999999999997</v>
      </c>
      <c r="V27">
        <v>0</v>
      </c>
      <c r="W27">
        <v>0</v>
      </c>
      <c r="Y27">
        <v>3</v>
      </c>
      <c r="Z27">
        <v>7</v>
      </c>
      <c r="AA27">
        <v>10</v>
      </c>
      <c r="AB27">
        <v>1</v>
      </c>
      <c r="AC27">
        <v>1</v>
      </c>
      <c r="AD27">
        <v>0</v>
      </c>
      <c r="AE27">
        <v>3</v>
      </c>
      <c r="AF27">
        <v>2</v>
      </c>
      <c r="AG27">
        <v>10</v>
      </c>
      <c r="AH27">
        <v>9.1999999999999993</v>
      </c>
      <c r="AI27">
        <v>2</v>
      </c>
    </row>
    <row r="28" spans="1:35" ht="21" x14ac:dyDescent="0.3">
      <c r="A28" s="12" t="s">
        <v>562</v>
      </c>
      <c r="B28" s="11">
        <v>26</v>
      </c>
      <c r="C28">
        <v>134</v>
      </c>
      <c r="D28">
        <v>27</v>
      </c>
      <c r="E28" s="4">
        <v>44541</v>
      </c>
      <c r="F28" t="s">
        <v>64</v>
      </c>
      <c r="H28" t="s">
        <v>104</v>
      </c>
      <c r="I28" t="s">
        <v>387</v>
      </c>
      <c r="J28" t="s">
        <v>41</v>
      </c>
      <c r="K28" s="9">
        <v>1.4750000000000001</v>
      </c>
      <c r="L28">
        <v>5</v>
      </c>
      <c r="M28">
        <v>8</v>
      </c>
      <c r="N28">
        <v>0.625</v>
      </c>
      <c r="O28">
        <v>4</v>
      </c>
      <c r="P28">
        <v>4</v>
      </c>
      <c r="Q28">
        <v>1</v>
      </c>
      <c r="R28">
        <v>1</v>
      </c>
      <c r="S28">
        <v>4</v>
      </c>
      <c r="T28">
        <v>0.25</v>
      </c>
      <c r="U28">
        <v>0.875</v>
      </c>
      <c r="V28">
        <v>2</v>
      </c>
      <c r="W28">
        <v>2</v>
      </c>
      <c r="X28">
        <v>1</v>
      </c>
      <c r="Y28">
        <v>2</v>
      </c>
      <c r="Z28">
        <v>7</v>
      </c>
      <c r="AA28">
        <v>9</v>
      </c>
      <c r="AB28">
        <v>2</v>
      </c>
      <c r="AC28">
        <v>1</v>
      </c>
      <c r="AD28">
        <v>0</v>
      </c>
      <c r="AE28">
        <v>1</v>
      </c>
      <c r="AF28">
        <v>2</v>
      </c>
      <c r="AG28">
        <v>16</v>
      </c>
      <c r="AH28">
        <v>16.5</v>
      </c>
      <c r="AI28">
        <v>-7</v>
      </c>
    </row>
    <row r="29" spans="1:35" ht="21" x14ac:dyDescent="0.3">
      <c r="A29" s="12" t="s">
        <v>562</v>
      </c>
      <c r="B29" s="11">
        <v>27</v>
      </c>
      <c r="C29">
        <v>135</v>
      </c>
      <c r="D29">
        <v>28</v>
      </c>
      <c r="E29" s="4">
        <v>44543</v>
      </c>
      <c r="F29" t="s">
        <v>64</v>
      </c>
      <c r="H29" t="s">
        <v>99</v>
      </c>
      <c r="I29" t="s">
        <v>388</v>
      </c>
      <c r="J29" t="s">
        <v>41</v>
      </c>
      <c r="K29" s="9">
        <v>1.5993055555555555</v>
      </c>
      <c r="L29">
        <v>7</v>
      </c>
      <c r="M29">
        <v>10</v>
      </c>
      <c r="N29">
        <v>0.7</v>
      </c>
      <c r="O29">
        <v>1</v>
      </c>
      <c r="P29">
        <v>3</v>
      </c>
      <c r="Q29">
        <v>0.33300000000000002</v>
      </c>
      <c r="R29">
        <v>6</v>
      </c>
      <c r="S29">
        <v>7</v>
      </c>
      <c r="T29">
        <v>0.85699999999999998</v>
      </c>
      <c r="U29">
        <v>0.75</v>
      </c>
      <c r="V29">
        <v>2</v>
      </c>
      <c r="W29">
        <v>2</v>
      </c>
      <c r="X29">
        <v>1</v>
      </c>
      <c r="Y29">
        <v>2</v>
      </c>
      <c r="Z29">
        <v>7</v>
      </c>
      <c r="AA29">
        <v>9</v>
      </c>
      <c r="AB29">
        <v>3</v>
      </c>
      <c r="AC29">
        <v>0</v>
      </c>
      <c r="AD29">
        <v>0</v>
      </c>
      <c r="AE29">
        <v>0</v>
      </c>
      <c r="AF29">
        <v>5</v>
      </c>
      <c r="AG29">
        <v>17</v>
      </c>
      <c r="AH29">
        <v>16.399999999999999</v>
      </c>
      <c r="AI29">
        <v>17</v>
      </c>
    </row>
    <row r="30" spans="1:35" ht="21" x14ac:dyDescent="0.3">
      <c r="A30" s="12" t="s">
        <v>562</v>
      </c>
      <c r="B30" s="11">
        <v>28</v>
      </c>
      <c r="C30">
        <v>136</v>
      </c>
      <c r="D30">
        <v>29</v>
      </c>
      <c r="E30" s="4">
        <v>44545</v>
      </c>
      <c r="F30" t="s">
        <v>64</v>
      </c>
      <c r="G30" t="s">
        <v>37</v>
      </c>
      <c r="H30" t="s">
        <v>118</v>
      </c>
      <c r="I30" t="s">
        <v>389</v>
      </c>
      <c r="J30" t="s">
        <v>41</v>
      </c>
      <c r="K30" s="9">
        <v>1.1972222222222222</v>
      </c>
      <c r="L30">
        <v>1</v>
      </c>
      <c r="M30">
        <v>4</v>
      </c>
      <c r="N30">
        <v>0.25</v>
      </c>
      <c r="O30">
        <v>0</v>
      </c>
      <c r="P30">
        <v>2</v>
      </c>
      <c r="Q30">
        <v>0</v>
      </c>
      <c r="R30">
        <v>1</v>
      </c>
      <c r="S30">
        <v>2</v>
      </c>
      <c r="T30">
        <v>0.5</v>
      </c>
      <c r="U30">
        <v>0.25</v>
      </c>
      <c r="V30">
        <v>1</v>
      </c>
      <c r="W30">
        <v>2</v>
      </c>
      <c r="X30">
        <v>0.5</v>
      </c>
      <c r="Y30">
        <v>3</v>
      </c>
      <c r="Z30">
        <v>2</v>
      </c>
      <c r="AA30">
        <v>5</v>
      </c>
      <c r="AB30">
        <v>2</v>
      </c>
      <c r="AC30">
        <v>0</v>
      </c>
      <c r="AD30">
        <v>0</v>
      </c>
      <c r="AE30">
        <v>2</v>
      </c>
      <c r="AF30">
        <v>3</v>
      </c>
      <c r="AG30">
        <v>3</v>
      </c>
      <c r="AH30">
        <v>1.1000000000000001</v>
      </c>
      <c r="AI30">
        <v>-28</v>
      </c>
    </row>
    <row r="31" spans="1:35" ht="21" x14ac:dyDescent="0.3">
      <c r="A31" s="12" t="s">
        <v>562</v>
      </c>
      <c r="B31" s="11">
        <v>29</v>
      </c>
      <c r="C31">
        <v>137</v>
      </c>
      <c r="D31">
        <v>30</v>
      </c>
      <c r="E31" s="4">
        <v>44548</v>
      </c>
      <c r="F31" t="s">
        <v>64</v>
      </c>
      <c r="G31" t="s">
        <v>37</v>
      </c>
      <c r="H31" t="s">
        <v>68</v>
      </c>
      <c r="I31" t="s">
        <v>390</v>
      </c>
      <c r="J31" t="s">
        <v>41</v>
      </c>
      <c r="K31" s="9">
        <v>1.6916666666666667</v>
      </c>
      <c r="L31">
        <v>6</v>
      </c>
      <c r="M31">
        <v>12</v>
      </c>
      <c r="N31">
        <v>0.5</v>
      </c>
      <c r="O31">
        <v>1</v>
      </c>
      <c r="P31">
        <v>4</v>
      </c>
      <c r="Q31">
        <v>0.25</v>
      </c>
      <c r="R31">
        <v>5</v>
      </c>
      <c r="S31">
        <v>8</v>
      </c>
      <c r="T31">
        <v>0.625</v>
      </c>
      <c r="U31">
        <v>0.54200000000000004</v>
      </c>
      <c r="V31">
        <v>5</v>
      </c>
      <c r="W31">
        <v>7</v>
      </c>
      <c r="X31">
        <v>0.71399999999999997</v>
      </c>
      <c r="Y31">
        <v>1</v>
      </c>
      <c r="Z31">
        <v>6</v>
      </c>
      <c r="AA31">
        <v>7</v>
      </c>
      <c r="AB31">
        <v>3</v>
      </c>
      <c r="AC31">
        <v>0</v>
      </c>
      <c r="AD31">
        <v>1</v>
      </c>
      <c r="AE31">
        <v>1</v>
      </c>
      <c r="AF31">
        <v>2</v>
      </c>
      <c r="AG31">
        <v>18</v>
      </c>
      <c r="AH31">
        <v>14.7</v>
      </c>
      <c r="AI31">
        <v>-4</v>
      </c>
    </row>
    <row r="32" spans="1:35" ht="21" x14ac:dyDescent="0.3">
      <c r="A32" s="12" t="s">
        <v>562</v>
      </c>
      <c r="B32" s="11">
        <v>30</v>
      </c>
      <c r="C32">
        <v>138</v>
      </c>
      <c r="D32">
        <v>31</v>
      </c>
      <c r="E32" s="4">
        <v>44550</v>
      </c>
      <c r="F32" t="s">
        <v>64</v>
      </c>
      <c r="H32" t="s">
        <v>102</v>
      </c>
      <c r="I32" t="s">
        <v>391</v>
      </c>
      <c r="J32" t="s">
        <v>41</v>
      </c>
      <c r="K32" s="9">
        <v>1.5243055555555556</v>
      </c>
      <c r="L32">
        <v>4</v>
      </c>
      <c r="M32">
        <v>9</v>
      </c>
      <c r="N32">
        <v>0.44400000000000001</v>
      </c>
      <c r="O32">
        <v>1</v>
      </c>
      <c r="P32">
        <v>3</v>
      </c>
      <c r="Q32">
        <v>0.33300000000000002</v>
      </c>
      <c r="R32">
        <v>3</v>
      </c>
      <c r="S32">
        <v>6</v>
      </c>
      <c r="T32">
        <v>0.5</v>
      </c>
      <c r="U32">
        <v>0.5</v>
      </c>
      <c r="V32">
        <v>2</v>
      </c>
      <c r="W32">
        <v>2</v>
      </c>
      <c r="X32">
        <v>1</v>
      </c>
      <c r="Y32">
        <v>0</v>
      </c>
      <c r="Z32">
        <v>4</v>
      </c>
      <c r="AA32">
        <v>4</v>
      </c>
      <c r="AB32">
        <v>5</v>
      </c>
      <c r="AC32">
        <v>1</v>
      </c>
      <c r="AD32">
        <v>0</v>
      </c>
      <c r="AE32">
        <v>0</v>
      </c>
      <c r="AF32">
        <v>1</v>
      </c>
      <c r="AG32">
        <v>11</v>
      </c>
      <c r="AH32">
        <v>11.6</v>
      </c>
      <c r="AI32">
        <v>-17</v>
      </c>
    </row>
    <row r="33" spans="1:35" ht="21" x14ac:dyDescent="0.3">
      <c r="A33" s="12" t="s">
        <v>562</v>
      </c>
      <c r="B33" s="11">
        <v>31</v>
      </c>
      <c r="C33">
        <v>139</v>
      </c>
      <c r="D33">
        <v>32</v>
      </c>
      <c r="E33" s="4">
        <v>44552</v>
      </c>
      <c r="F33" t="s">
        <v>64</v>
      </c>
      <c r="G33" t="s">
        <v>37</v>
      </c>
      <c r="H33" t="s">
        <v>66</v>
      </c>
      <c r="I33" t="s">
        <v>392</v>
      </c>
      <c r="J33" t="s">
        <v>41</v>
      </c>
      <c r="K33" s="9">
        <v>1.3284722222222223</v>
      </c>
      <c r="L33">
        <v>6</v>
      </c>
      <c r="M33">
        <v>9</v>
      </c>
      <c r="N33">
        <v>0.66700000000000004</v>
      </c>
      <c r="O33">
        <v>1</v>
      </c>
      <c r="P33">
        <v>2</v>
      </c>
      <c r="Q33">
        <v>0.5</v>
      </c>
      <c r="R33">
        <v>5</v>
      </c>
      <c r="S33">
        <v>7</v>
      </c>
      <c r="T33">
        <v>0.71399999999999997</v>
      </c>
      <c r="U33">
        <v>0.72199999999999998</v>
      </c>
      <c r="V33">
        <v>0</v>
      </c>
      <c r="W33">
        <v>0</v>
      </c>
      <c r="Y33">
        <v>0</v>
      </c>
      <c r="Z33">
        <v>1</v>
      </c>
      <c r="AA33">
        <v>1</v>
      </c>
      <c r="AB33">
        <v>2</v>
      </c>
      <c r="AC33">
        <v>0</v>
      </c>
      <c r="AD33">
        <v>0</v>
      </c>
      <c r="AE33">
        <v>0</v>
      </c>
      <c r="AF33">
        <v>2</v>
      </c>
      <c r="AG33">
        <v>13</v>
      </c>
      <c r="AH33">
        <v>10</v>
      </c>
      <c r="AI33">
        <v>7</v>
      </c>
    </row>
    <row r="34" spans="1:35" ht="21" x14ac:dyDescent="0.3">
      <c r="A34" s="12" t="s">
        <v>562</v>
      </c>
      <c r="B34" s="11">
        <v>32</v>
      </c>
      <c r="C34">
        <v>140</v>
      </c>
      <c r="D34">
        <v>33</v>
      </c>
      <c r="E34" s="4">
        <v>44556</v>
      </c>
      <c r="F34" t="s">
        <v>64</v>
      </c>
      <c r="H34" t="s">
        <v>34</v>
      </c>
      <c r="I34" t="s">
        <v>393</v>
      </c>
      <c r="J34" t="s">
        <v>41</v>
      </c>
      <c r="K34" s="9">
        <v>1.5152777777777777</v>
      </c>
      <c r="L34">
        <v>5</v>
      </c>
      <c r="M34">
        <v>11</v>
      </c>
      <c r="N34">
        <v>0.45500000000000002</v>
      </c>
      <c r="O34">
        <v>1</v>
      </c>
      <c r="P34">
        <v>1</v>
      </c>
      <c r="Q34">
        <v>1</v>
      </c>
      <c r="R34">
        <v>4</v>
      </c>
      <c r="S34">
        <v>10</v>
      </c>
      <c r="T34">
        <v>0.4</v>
      </c>
      <c r="U34">
        <v>0.5</v>
      </c>
      <c r="V34">
        <v>0</v>
      </c>
      <c r="W34">
        <v>0</v>
      </c>
      <c r="Y34">
        <v>2</v>
      </c>
      <c r="Z34">
        <v>5</v>
      </c>
      <c r="AA34">
        <v>7</v>
      </c>
      <c r="AB34">
        <v>8</v>
      </c>
      <c r="AC34">
        <v>0</v>
      </c>
      <c r="AD34">
        <v>0</v>
      </c>
      <c r="AE34">
        <v>2</v>
      </c>
      <c r="AF34">
        <v>4</v>
      </c>
      <c r="AG34">
        <v>11</v>
      </c>
      <c r="AH34">
        <v>10.199999999999999</v>
      </c>
      <c r="AI34">
        <v>16</v>
      </c>
    </row>
    <row r="35" spans="1:35" ht="21" x14ac:dyDescent="0.3">
      <c r="A35" s="12" t="s">
        <v>562</v>
      </c>
      <c r="B35" s="11">
        <v>33</v>
      </c>
      <c r="C35">
        <v>141</v>
      </c>
      <c r="D35">
        <v>34</v>
      </c>
      <c r="E35" s="4">
        <v>44557</v>
      </c>
      <c r="F35" t="s">
        <v>64</v>
      </c>
      <c r="H35" t="s">
        <v>85</v>
      </c>
      <c r="I35" t="s">
        <v>394</v>
      </c>
      <c r="J35" t="s">
        <v>41</v>
      </c>
      <c r="K35" s="9">
        <v>1.0805555555555555</v>
      </c>
      <c r="L35">
        <v>2</v>
      </c>
      <c r="M35">
        <v>7</v>
      </c>
      <c r="N35">
        <v>0.28599999999999998</v>
      </c>
      <c r="O35">
        <v>2</v>
      </c>
      <c r="P35">
        <v>3</v>
      </c>
      <c r="Q35">
        <v>0.66700000000000004</v>
      </c>
      <c r="R35">
        <v>0</v>
      </c>
      <c r="S35">
        <v>4</v>
      </c>
      <c r="T35">
        <v>0</v>
      </c>
      <c r="U35">
        <v>0.42899999999999999</v>
      </c>
      <c r="V35">
        <v>0</v>
      </c>
      <c r="W35">
        <v>0</v>
      </c>
      <c r="Y35">
        <v>1</v>
      </c>
      <c r="Z35">
        <v>1</v>
      </c>
      <c r="AA35">
        <v>2</v>
      </c>
      <c r="AB35">
        <v>1</v>
      </c>
      <c r="AC35">
        <v>0</v>
      </c>
      <c r="AD35">
        <v>0</v>
      </c>
      <c r="AE35">
        <v>0</v>
      </c>
      <c r="AF35">
        <v>2</v>
      </c>
      <c r="AG35">
        <v>6</v>
      </c>
      <c r="AH35">
        <v>2.8</v>
      </c>
      <c r="AI35">
        <v>-18</v>
      </c>
    </row>
    <row r="36" spans="1:35" ht="21" x14ac:dyDescent="0.3">
      <c r="A36" s="12" t="s">
        <v>562</v>
      </c>
      <c r="B36" s="11">
        <v>34</v>
      </c>
      <c r="C36">
        <v>142</v>
      </c>
      <c r="D36">
        <v>35</v>
      </c>
      <c r="E36" s="4">
        <v>44559</v>
      </c>
      <c r="F36" t="s">
        <v>64</v>
      </c>
      <c r="G36" t="s">
        <v>37</v>
      </c>
      <c r="H36" t="s">
        <v>55</v>
      </c>
      <c r="I36" t="s">
        <v>395</v>
      </c>
      <c r="J36" t="s">
        <v>41</v>
      </c>
      <c r="K36" s="9">
        <v>1.5062500000000001</v>
      </c>
      <c r="L36">
        <v>7</v>
      </c>
      <c r="M36">
        <v>11</v>
      </c>
      <c r="N36">
        <v>0.63600000000000001</v>
      </c>
      <c r="O36">
        <v>2</v>
      </c>
      <c r="P36">
        <v>4</v>
      </c>
      <c r="Q36">
        <v>0.5</v>
      </c>
      <c r="R36">
        <v>5</v>
      </c>
      <c r="S36">
        <v>7</v>
      </c>
      <c r="T36">
        <v>0.71399999999999997</v>
      </c>
      <c r="U36">
        <v>0.72699999999999998</v>
      </c>
      <c r="V36">
        <v>1</v>
      </c>
      <c r="W36">
        <v>2</v>
      </c>
      <c r="X36">
        <v>0.5</v>
      </c>
      <c r="Y36">
        <v>2</v>
      </c>
      <c r="Z36">
        <v>3</v>
      </c>
      <c r="AA36">
        <v>5</v>
      </c>
      <c r="AB36">
        <v>3</v>
      </c>
      <c r="AC36">
        <v>0</v>
      </c>
      <c r="AD36">
        <v>0</v>
      </c>
      <c r="AE36">
        <v>2</v>
      </c>
      <c r="AF36">
        <v>1</v>
      </c>
      <c r="AG36">
        <v>17</v>
      </c>
      <c r="AH36">
        <v>13.7</v>
      </c>
      <c r="AI36">
        <v>19</v>
      </c>
    </row>
    <row r="37" spans="1:35" ht="21" x14ac:dyDescent="0.3">
      <c r="A37" s="12" t="s">
        <v>562</v>
      </c>
      <c r="B37" s="11">
        <v>35</v>
      </c>
      <c r="C37">
        <v>143</v>
      </c>
      <c r="D37">
        <v>36</v>
      </c>
      <c r="E37" s="4">
        <v>44561</v>
      </c>
      <c r="F37" t="s">
        <v>64</v>
      </c>
      <c r="G37" t="s">
        <v>37</v>
      </c>
      <c r="H37" t="s">
        <v>92</v>
      </c>
      <c r="I37" t="s">
        <v>125</v>
      </c>
      <c r="J37" t="s">
        <v>41</v>
      </c>
      <c r="K37" s="9">
        <v>1.5305555555555554</v>
      </c>
      <c r="L37">
        <v>7</v>
      </c>
      <c r="M37">
        <v>10</v>
      </c>
      <c r="N37">
        <v>0.7</v>
      </c>
      <c r="O37">
        <v>2</v>
      </c>
      <c r="P37">
        <v>4</v>
      </c>
      <c r="Q37">
        <v>0.5</v>
      </c>
      <c r="R37">
        <v>5</v>
      </c>
      <c r="S37">
        <v>6</v>
      </c>
      <c r="T37">
        <v>0.83299999999999996</v>
      </c>
      <c r="U37">
        <v>0.8</v>
      </c>
      <c r="V37">
        <v>2</v>
      </c>
      <c r="W37">
        <v>2</v>
      </c>
      <c r="X37">
        <v>1</v>
      </c>
      <c r="Y37">
        <v>1</v>
      </c>
      <c r="Z37">
        <v>10</v>
      </c>
      <c r="AA37">
        <v>11</v>
      </c>
      <c r="AB37">
        <v>1</v>
      </c>
      <c r="AC37">
        <v>0</v>
      </c>
      <c r="AD37">
        <v>0</v>
      </c>
      <c r="AE37">
        <v>2</v>
      </c>
      <c r="AF37">
        <v>1</v>
      </c>
      <c r="AG37">
        <v>18</v>
      </c>
      <c r="AH37">
        <v>15.8</v>
      </c>
      <c r="AI37">
        <v>-6</v>
      </c>
    </row>
    <row r="38" spans="1:35" ht="21" x14ac:dyDescent="0.3">
      <c r="A38" s="12" t="s">
        <v>562</v>
      </c>
      <c r="B38" s="11">
        <v>36</v>
      </c>
      <c r="C38">
        <v>144</v>
      </c>
      <c r="D38">
        <v>37</v>
      </c>
      <c r="E38" s="4">
        <v>44562</v>
      </c>
      <c r="F38" t="s">
        <v>64</v>
      </c>
      <c r="G38" t="s">
        <v>37</v>
      </c>
      <c r="H38" t="s">
        <v>85</v>
      </c>
      <c r="I38" t="s">
        <v>396</v>
      </c>
      <c r="J38" t="s">
        <v>41</v>
      </c>
      <c r="K38" s="9">
        <v>1.4041666666666666</v>
      </c>
      <c r="L38">
        <v>7</v>
      </c>
      <c r="M38">
        <v>12</v>
      </c>
      <c r="N38">
        <v>0.58299999999999996</v>
      </c>
      <c r="O38">
        <v>3</v>
      </c>
      <c r="P38">
        <v>6</v>
      </c>
      <c r="Q38">
        <v>0.5</v>
      </c>
      <c r="R38">
        <v>4</v>
      </c>
      <c r="S38">
        <v>6</v>
      </c>
      <c r="T38">
        <v>0.66700000000000004</v>
      </c>
      <c r="U38">
        <v>0.70799999999999996</v>
      </c>
      <c r="V38">
        <v>2</v>
      </c>
      <c r="W38">
        <v>4</v>
      </c>
      <c r="X38">
        <v>0.5</v>
      </c>
      <c r="Y38">
        <v>2</v>
      </c>
      <c r="Z38">
        <v>1</v>
      </c>
      <c r="AA38">
        <v>3</v>
      </c>
      <c r="AB38">
        <v>0</v>
      </c>
      <c r="AC38">
        <v>0</v>
      </c>
      <c r="AD38">
        <v>1</v>
      </c>
      <c r="AE38">
        <v>1</v>
      </c>
      <c r="AF38">
        <v>2</v>
      </c>
      <c r="AG38">
        <v>19</v>
      </c>
      <c r="AH38">
        <v>13.2</v>
      </c>
      <c r="AI38">
        <v>5</v>
      </c>
    </row>
    <row r="39" spans="1:35" ht="21" x14ac:dyDescent="0.3">
      <c r="A39" s="12" t="s">
        <v>562</v>
      </c>
      <c r="B39" s="11">
        <v>37</v>
      </c>
      <c r="C39">
        <v>145</v>
      </c>
      <c r="D39">
        <v>38</v>
      </c>
      <c r="E39" s="4">
        <v>44564</v>
      </c>
      <c r="F39" t="s">
        <v>64</v>
      </c>
      <c r="H39" t="s">
        <v>80</v>
      </c>
      <c r="I39" t="s">
        <v>397</v>
      </c>
      <c r="J39" t="s">
        <v>41</v>
      </c>
      <c r="K39" s="9">
        <v>1.0249999999999999</v>
      </c>
      <c r="L39">
        <v>3</v>
      </c>
      <c r="M39">
        <v>4</v>
      </c>
      <c r="N39">
        <v>0.75</v>
      </c>
      <c r="O39">
        <v>1</v>
      </c>
      <c r="P39">
        <v>2</v>
      </c>
      <c r="Q39">
        <v>0.5</v>
      </c>
      <c r="R39">
        <v>2</v>
      </c>
      <c r="S39">
        <v>2</v>
      </c>
      <c r="T39">
        <v>1</v>
      </c>
      <c r="U39">
        <v>0.875</v>
      </c>
      <c r="V39">
        <v>0</v>
      </c>
      <c r="W39">
        <v>0</v>
      </c>
      <c r="Y39">
        <v>0</v>
      </c>
      <c r="Z39">
        <v>1</v>
      </c>
      <c r="AA39">
        <v>1</v>
      </c>
      <c r="AB39">
        <v>3</v>
      </c>
      <c r="AC39">
        <v>1</v>
      </c>
      <c r="AD39">
        <v>0</v>
      </c>
      <c r="AE39">
        <v>2</v>
      </c>
      <c r="AF39">
        <v>1</v>
      </c>
      <c r="AG39">
        <v>7</v>
      </c>
      <c r="AH39">
        <v>6.4</v>
      </c>
      <c r="AI39">
        <v>-24</v>
      </c>
    </row>
    <row r="40" spans="1:35" ht="21" x14ac:dyDescent="0.3">
      <c r="A40" s="12" t="s">
        <v>562</v>
      </c>
      <c r="B40" s="11">
        <v>38</v>
      </c>
      <c r="C40">
        <v>146</v>
      </c>
      <c r="D40">
        <v>39</v>
      </c>
      <c r="E40" s="4">
        <v>44567</v>
      </c>
      <c r="F40" t="s">
        <v>64</v>
      </c>
      <c r="G40" t="s">
        <v>37</v>
      </c>
      <c r="H40" t="s">
        <v>99</v>
      </c>
      <c r="I40" t="s">
        <v>398</v>
      </c>
      <c r="J40" t="s">
        <v>41</v>
      </c>
      <c r="K40" s="9">
        <v>1.3791666666666667</v>
      </c>
      <c r="L40">
        <v>3</v>
      </c>
      <c r="M40">
        <v>5</v>
      </c>
      <c r="N40">
        <v>0.6</v>
      </c>
      <c r="O40">
        <v>0</v>
      </c>
      <c r="P40">
        <v>1</v>
      </c>
      <c r="Q40">
        <v>0</v>
      </c>
      <c r="R40">
        <v>3</v>
      </c>
      <c r="S40">
        <v>4</v>
      </c>
      <c r="T40">
        <v>0.75</v>
      </c>
      <c r="U40">
        <v>0.6</v>
      </c>
      <c r="V40">
        <v>2</v>
      </c>
      <c r="W40">
        <v>4</v>
      </c>
      <c r="X40">
        <v>0.5</v>
      </c>
      <c r="Y40">
        <v>0</v>
      </c>
      <c r="Z40">
        <v>4</v>
      </c>
      <c r="AA40">
        <v>4</v>
      </c>
      <c r="AB40">
        <v>4</v>
      </c>
      <c r="AC40">
        <v>1</v>
      </c>
      <c r="AD40">
        <v>0</v>
      </c>
      <c r="AE40">
        <v>1</v>
      </c>
      <c r="AF40">
        <v>3</v>
      </c>
      <c r="AG40">
        <v>8</v>
      </c>
      <c r="AH40">
        <v>7.7</v>
      </c>
      <c r="AI40">
        <v>-3</v>
      </c>
    </row>
    <row r="41" spans="1:35" ht="21" x14ac:dyDescent="0.3">
      <c r="A41" s="12" t="s">
        <v>562</v>
      </c>
      <c r="B41" s="11">
        <v>39</v>
      </c>
      <c r="C41">
        <v>147</v>
      </c>
      <c r="D41">
        <v>40</v>
      </c>
      <c r="E41" s="4">
        <v>44569</v>
      </c>
      <c r="F41" t="s">
        <v>64</v>
      </c>
      <c r="H41" t="s">
        <v>42</v>
      </c>
      <c r="I41" t="s">
        <v>299</v>
      </c>
      <c r="K41" s="9">
        <v>1.1069444444444445</v>
      </c>
      <c r="L41">
        <v>4</v>
      </c>
      <c r="M41">
        <v>13</v>
      </c>
      <c r="N41">
        <v>0.308</v>
      </c>
      <c r="O41">
        <v>0</v>
      </c>
      <c r="P41">
        <v>3</v>
      </c>
      <c r="Q41">
        <v>0</v>
      </c>
      <c r="R41">
        <v>4</v>
      </c>
      <c r="S41">
        <v>10</v>
      </c>
      <c r="T41">
        <v>0.4</v>
      </c>
      <c r="U41">
        <v>0.308</v>
      </c>
      <c r="V41">
        <v>1</v>
      </c>
      <c r="W41">
        <v>2</v>
      </c>
      <c r="X41">
        <v>0.5</v>
      </c>
      <c r="Y41">
        <v>3</v>
      </c>
      <c r="Z41">
        <v>5</v>
      </c>
      <c r="AA41">
        <v>8</v>
      </c>
      <c r="AB41">
        <v>1</v>
      </c>
      <c r="AC41">
        <v>2</v>
      </c>
      <c r="AD41">
        <v>0</v>
      </c>
      <c r="AE41">
        <v>1</v>
      </c>
      <c r="AF41">
        <v>2</v>
      </c>
      <c r="AG41">
        <v>9</v>
      </c>
      <c r="AH41">
        <v>5.6</v>
      </c>
      <c r="AI41">
        <v>-25</v>
      </c>
    </row>
    <row r="42" spans="1:35" ht="21" x14ac:dyDescent="0.3">
      <c r="A42" s="12" t="s">
        <v>562</v>
      </c>
      <c r="B42" s="11">
        <v>40</v>
      </c>
      <c r="C42">
        <v>148</v>
      </c>
      <c r="D42">
        <v>41</v>
      </c>
      <c r="E42" s="4">
        <v>44570</v>
      </c>
      <c r="F42" t="s">
        <v>64</v>
      </c>
      <c r="H42" t="s">
        <v>78</v>
      </c>
      <c r="I42" t="s">
        <v>399</v>
      </c>
      <c r="K42" s="9">
        <v>1.3770833333333334</v>
      </c>
      <c r="L42">
        <v>5</v>
      </c>
      <c r="M42">
        <v>13</v>
      </c>
      <c r="N42">
        <v>0.38500000000000001</v>
      </c>
      <c r="O42">
        <v>0</v>
      </c>
      <c r="P42">
        <v>2</v>
      </c>
      <c r="Q42">
        <v>0</v>
      </c>
      <c r="R42">
        <v>5</v>
      </c>
      <c r="S42">
        <v>11</v>
      </c>
      <c r="T42">
        <v>0.45500000000000002</v>
      </c>
      <c r="U42">
        <v>0.38500000000000001</v>
      </c>
      <c r="V42">
        <v>0</v>
      </c>
      <c r="W42">
        <v>0</v>
      </c>
      <c r="Y42">
        <v>2</v>
      </c>
      <c r="Z42">
        <v>5</v>
      </c>
      <c r="AA42">
        <v>7</v>
      </c>
      <c r="AB42">
        <v>1</v>
      </c>
      <c r="AC42">
        <v>0</v>
      </c>
      <c r="AD42">
        <v>1</v>
      </c>
      <c r="AE42">
        <v>0</v>
      </c>
      <c r="AF42">
        <v>2</v>
      </c>
      <c r="AG42">
        <v>10</v>
      </c>
      <c r="AH42">
        <v>6.4</v>
      </c>
      <c r="AI42">
        <v>17</v>
      </c>
    </row>
    <row r="43" spans="1:35" ht="21" x14ac:dyDescent="0.3">
      <c r="A43" s="12" t="s">
        <v>562</v>
      </c>
      <c r="B43" s="11">
        <v>41</v>
      </c>
      <c r="C43">
        <v>149</v>
      </c>
      <c r="D43">
        <v>42</v>
      </c>
      <c r="E43" s="4">
        <v>44572</v>
      </c>
      <c r="F43" t="s">
        <v>64</v>
      </c>
      <c r="H43" t="s">
        <v>34</v>
      </c>
      <c r="I43" t="s">
        <v>400</v>
      </c>
      <c r="K43" s="9">
        <v>1.1499999999999999</v>
      </c>
      <c r="L43">
        <v>5</v>
      </c>
      <c r="M43">
        <v>11</v>
      </c>
      <c r="N43">
        <v>0.45500000000000002</v>
      </c>
      <c r="O43">
        <v>2</v>
      </c>
      <c r="P43">
        <v>5</v>
      </c>
      <c r="Q43">
        <v>0.4</v>
      </c>
      <c r="R43">
        <v>3</v>
      </c>
      <c r="S43">
        <v>6</v>
      </c>
      <c r="T43">
        <v>0.5</v>
      </c>
      <c r="U43">
        <v>0.54500000000000004</v>
      </c>
      <c r="V43">
        <v>1</v>
      </c>
      <c r="W43">
        <v>2</v>
      </c>
      <c r="X43">
        <v>0.5</v>
      </c>
      <c r="Y43">
        <v>1</v>
      </c>
      <c r="Z43">
        <v>1</v>
      </c>
      <c r="AA43">
        <v>2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13</v>
      </c>
      <c r="AH43">
        <v>7.9</v>
      </c>
      <c r="AI43">
        <v>9</v>
      </c>
    </row>
    <row r="44" spans="1:35" ht="21" x14ac:dyDescent="0.3">
      <c r="A44" s="12" t="s">
        <v>562</v>
      </c>
      <c r="B44" s="11">
        <v>42</v>
      </c>
      <c r="C44">
        <v>150</v>
      </c>
      <c r="D44">
        <v>43</v>
      </c>
      <c r="E44" s="4">
        <v>44574</v>
      </c>
      <c r="F44" t="s">
        <v>64</v>
      </c>
      <c r="G44" t="s">
        <v>37</v>
      </c>
      <c r="H44" t="s">
        <v>74</v>
      </c>
      <c r="I44" t="s">
        <v>401</v>
      </c>
      <c r="K44" s="9">
        <v>1.2965277777777777</v>
      </c>
      <c r="L44">
        <v>5</v>
      </c>
      <c r="M44">
        <v>10</v>
      </c>
      <c r="N44">
        <v>0.5</v>
      </c>
      <c r="O44">
        <v>1</v>
      </c>
      <c r="P44">
        <v>1</v>
      </c>
      <c r="Q44">
        <v>1</v>
      </c>
      <c r="R44">
        <v>4</v>
      </c>
      <c r="S44">
        <v>9</v>
      </c>
      <c r="T44">
        <v>0.44400000000000001</v>
      </c>
      <c r="U44">
        <v>0.55000000000000004</v>
      </c>
      <c r="V44">
        <v>4</v>
      </c>
      <c r="W44">
        <v>5</v>
      </c>
      <c r="X44">
        <v>0.8</v>
      </c>
      <c r="Y44">
        <v>0</v>
      </c>
      <c r="Z44">
        <v>4</v>
      </c>
      <c r="AA44">
        <v>4</v>
      </c>
      <c r="AB44">
        <v>1</v>
      </c>
      <c r="AC44">
        <v>0</v>
      </c>
      <c r="AD44">
        <v>0</v>
      </c>
      <c r="AE44">
        <v>1</v>
      </c>
      <c r="AF44">
        <v>2</v>
      </c>
      <c r="AG44">
        <v>15</v>
      </c>
      <c r="AH44">
        <v>9.6999999999999993</v>
      </c>
      <c r="AI44">
        <v>-13</v>
      </c>
    </row>
    <row r="45" spans="1:35" ht="21" x14ac:dyDescent="0.3">
      <c r="A45" s="12" t="s">
        <v>562</v>
      </c>
      <c r="B45" s="11">
        <v>43</v>
      </c>
      <c r="C45">
        <v>151</v>
      </c>
      <c r="D45">
        <v>44</v>
      </c>
      <c r="E45" s="4">
        <v>44576</v>
      </c>
      <c r="F45" t="s">
        <v>64</v>
      </c>
      <c r="G45" t="s">
        <v>37</v>
      </c>
      <c r="H45" t="s">
        <v>102</v>
      </c>
      <c r="I45" t="s">
        <v>402</v>
      </c>
      <c r="K45" s="9">
        <v>1.2749999999999999</v>
      </c>
      <c r="L45">
        <v>3</v>
      </c>
      <c r="M45">
        <v>8</v>
      </c>
      <c r="N45">
        <v>0.375</v>
      </c>
      <c r="O45">
        <v>0</v>
      </c>
      <c r="P45">
        <v>3</v>
      </c>
      <c r="Q45">
        <v>0</v>
      </c>
      <c r="R45">
        <v>3</v>
      </c>
      <c r="S45">
        <v>5</v>
      </c>
      <c r="T45">
        <v>0.6</v>
      </c>
      <c r="U45">
        <v>0.375</v>
      </c>
      <c r="V45">
        <v>0</v>
      </c>
      <c r="W45">
        <v>0</v>
      </c>
      <c r="Y45">
        <v>2</v>
      </c>
      <c r="Z45">
        <v>2</v>
      </c>
      <c r="AA45">
        <v>4</v>
      </c>
      <c r="AB45">
        <v>3</v>
      </c>
      <c r="AC45">
        <v>0</v>
      </c>
      <c r="AD45">
        <v>0</v>
      </c>
      <c r="AE45">
        <v>2</v>
      </c>
      <c r="AF45">
        <v>3</v>
      </c>
      <c r="AG45">
        <v>6</v>
      </c>
      <c r="AH45">
        <v>2.5</v>
      </c>
      <c r="AI45">
        <v>0</v>
      </c>
    </row>
    <row r="46" spans="1:35" ht="21" x14ac:dyDescent="0.3">
      <c r="A46" s="12" t="s">
        <v>562</v>
      </c>
      <c r="B46" s="11">
        <v>44</v>
      </c>
      <c r="C46">
        <v>152</v>
      </c>
      <c r="D46">
        <v>45</v>
      </c>
      <c r="E46" s="4">
        <v>44578</v>
      </c>
      <c r="F46" t="s">
        <v>64</v>
      </c>
      <c r="H46" t="s">
        <v>108</v>
      </c>
      <c r="I46" t="s">
        <v>403</v>
      </c>
      <c r="K46" s="7">
        <v>0.84583333333333333</v>
      </c>
      <c r="L46">
        <v>3</v>
      </c>
      <c r="M46">
        <v>6</v>
      </c>
      <c r="N46">
        <v>0.5</v>
      </c>
      <c r="O46">
        <v>2</v>
      </c>
      <c r="P46">
        <v>3</v>
      </c>
      <c r="Q46">
        <v>0.66700000000000004</v>
      </c>
      <c r="R46">
        <v>1</v>
      </c>
      <c r="S46">
        <v>3</v>
      </c>
      <c r="T46">
        <v>0.33300000000000002</v>
      </c>
      <c r="U46">
        <v>0.66700000000000004</v>
      </c>
      <c r="V46">
        <v>1</v>
      </c>
      <c r="W46">
        <v>2</v>
      </c>
      <c r="X46">
        <v>0.5</v>
      </c>
      <c r="Y46">
        <v>2</v>
      </c>
      <c r="Z46">
        <v>3</v>
      </c>
      <c r="AA46">
        <v>5</v>
      </c>
      <c r="AB46">
        <v>3</v>
      </c>
      <c r="AC46">
        <v>1</v>
      </c>
      <c r="AD46">
        <v>0</v>
      </c>
      <c r="AE46">
        <v>1</v>
      </c>
      <c r="AF46">
        <v>3</v>
      </c>
      <c r="AG46">
        <v>9</v>
      </c>
      <c r="AH46">
        <v>8.8000000000000007</v>
      </c>
      <c r="AI46">
        <v>-16</v>
      </c>
    </row>
    <row r="47" spans="1:35" ht="21" x14ac:dyDescent="0.3">
      <c r="A47" s="12" t="s">
        <v>562</v>
      </c>
      <c r="B47" s="11">
        <v>45</v>
      </c>
      <c r="C47">
        <v>153</v>
      </c>
      <c r="D47">
        <v>46</v>
      </c>
      <c r="E47" s="4">
        <v>44580</v>
      </c>
      <c r="F47" t="s">
        <v>64</v>
      </c>
      <c r="G47" t="s">
        <v>37</v>
      </c>
      <c r="H47" t="s">
        <v>34</v>
      </c>
      <c r="I47" t="s">
        <v>404</v>
      </c>
      <c r="J47" t="s">
        <v>41</v>
      </c>
      <c r="K47" s="9">
        <v>1.6208333333333333</v>
      </c>
      <c r="L47">
        <v>3</v>
      </c>
      <c r="M47">
        <v>6</v>
      </c>
      <c r="N47">
        <v>0.5</v>
      </c>
      <c r="O47">
        <v>1</v>
      </c>
      <c r="P47">
        <v>3</v>
      </c>
      <c r="Q47">
        <v>0.33300000000000002</v>
      </c>
      <c r="R47">
        <v>2</v>
      </c>
      <c r="S47">
        <v>3</v>
      </c>
      <c r="T47">
        <v>0.66700000000000004</v>
      </c>
      <c r="U47">
        <v>0.58299999999999996</v>
      </c>
      <c r="V47">
        <v>0</v>
      </c>
      <c r="W47">
        <v>0</v>
      </c>
      <c r="Y47">
        <v>1</v>
      </c>
      <c r="Z47">
        <v>7</v>
      </c>
      <c r="AA47">
        <v>8</v>
      </c>
      <c r="AB47">
        <v>3</v>
      </c>
      <c r="AC47">
        <v>1</v>
      </c>
      <c r="AD47">
        <v>0</v>
      </c>
      <c r="AE47">
        <v>0</v>
      </c>
      <c r="AF47">
        <v>2</v>
      </c>
      <c r="AG47">
        <v>7</v>
      </c>
      <c r="AH47">
        <v>9.1</v>
      </c>
      <c r="AI47">
        <v>-10</v>
      </c>
    </row>
    <row r="48" spans="1:35" ht="21" x14ac:dyDescent="0.3">
      <c r="A48" s="12" t="s">
        <v>562</v>
      </c>
      <c r="B48" s="11">
        <v>46</v>
      </c>
      <c r="C48">
        <v>154</v>
      </c>
      <c r="D48">
        <v>47</v>
      </c>
      <c r="E48" s="4">
        <v>44582</v>
      </c>
      <c r="F48" t="s">
        <v>64</v>
      </c>
      <c r="G48" t="s">
        <v>37</v>
      </c>
      <c r="H48" t="s">
        <v>94</v>
      </c>
      <c r="I48" t="s">
        <v>405</v>
      </c>
      <c r="K48" s="7">
        <v>0.77013888888888893</v>
      </c>
      <c r="L48">
        <v>0</v>
      </c>
      <c r="M48">
        <v>5</v>
      </c>
      <c r="N48">
        <v>0</v>
      </c>
      <c r="O48">
        <v>0</v>
      </c>
      <c r="P48">
        <v>3</v>
      </c>
      <c r="Q48">
        <v>0</v>
      </c>
      <c r="R48">
        <v>0</v>
      </c>
      <c r="S48">
        <v>2</v>
      </c>
      <c r="T48">
        <v>0</v>
      </c>
      <c r="U48">
        <v>0</v>
      </c>
      <c r="V48">
        <v>2</v>
      </c>
      <c r="W48">
        <v>2</v>
      </c>
      <c r="X48">
        <v>1</v>
      </c>
      <c r="Y48">
        <v>1</v>
      </c>
      <c r="Z48">
        <v>5</v>
      </c>
      <c r="AA48">
        <v>6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2</v>
      </c>
      <c r="AH48">
        <v>-0.7</v>
      </c>
      <c r="AI48">
        <v>-4</v>
      </c>
    </row>
    <row r="49" spans="1:35" ht="21" x14ac:dyDescent="0.3">
      <c r="A49" s="12" t="s">
        <v>562</v>
      </c>
      <c r="B49" s="11">
        <v>47</v>
      </c>
      <c r="C49">
        <v>155</v>
      </c>
      <c r="D49">
        <v>48</v>
      </c>
      <c r="E49" s="4">
        <v>44584</v>
      </c>
      <c r="F49" t="s">
        <v>64</v>
      </c>
      <c r="G49" t="s">
        <v>37</v>
      </c>
      <c r="H49" t="s">
        <v>110</v>
      </c>
      <c r="I49" t="s">
        <v>406</v>
      </c>
      <c r="K49" s="9">
        <v>1.0222222222222221</v>
      </c>
      <c r="L49">
        <v>4</v>
      </c>
      <c r="M49">
        <v>7</v>
      </c>
      <c r="N49">
        <v>0.57099999999999995</v>
      </c>
      <c r="O49">
        <v>1</v>
      </c>
      <c r="P49">
        <v>2</v>
      </c>
      <c r="Q49">
        <v>0.5</v>
      </c>
      <c r="R49">
        <v>3</v>
      </c>
      <c r="S49">
        <v>5</v>
      </c>
      <c r="T49">
        <v>0.6</v>
      </c>
      <c r="U49">
        <v>0.64300000000000002</v>
      </c>
      <c r="V49">
        <v>0</v>
      </c>
      <c r="W49">
        <v>0</v>
      </c>
      <c r="Y49">
        <v>0</v>
      </c>
      <c r="Z49">
        <v>4</v>
      </c>
      <c r="AA49">
        <v>4</v>
      </c>
      <c r="AB49">
        <v>0</v>
      </c>
      <c r="AC49">
        <v>2</v>
      </c>
      <c r="AD49">
        <v>0</v>
      </c>
      <c r="AE49">
        <v>0</v>
      </c>
      <c r="AF49">
        <v>2</v>
      </c>
      <c r="AG49">
        <v>9</v>
      </c>
      <c r="AH49">
        <v>8.1</v>
      </c>
      <c r="AI49">
        <v>-3</v>
      </c>
    </row>
    <row r="50" spans="1:35" ht="21" x14ac:dyDescent="0.3">
      <c r="A50" s="12" t="s">
        <v>562</v>
      </c>
      <c r="B50" s="11">
        <v>48</v>
      </c>
      <c r="C50">
        <v>156</v>
      </c>
      <c r="D50">
        <v>49</v>
      </c>
      <c r="E50" s="4">
        <v>44586</v>
      </c>
      <c r="F50" t="s">
        <v>64</v>
      </c>
      <c r="G50" t="s">
        <v>37</v>
      </c>
      <c r="H50" t="s">
        <v>155</v>
      </c>
      <c r="I50" t="s">
        <v>407</v>
      </c>
      <c r="J50" t="s">
        <v>41</v>
      </c>
      <c r="K50" s="9">
        <v>1.3520833333333333</v>
      </c>
      <c r="L50">
        <v>6</v>
      </c>
      <c r="M50">
        <v>12</v>
      </c>
      <c r="N50">
        <v>0.5</v>
      </c>
      <c r="O50">
        <v>1</v>
      </c>
      <c r="P50">
        <v>2</v>
      </c>
      <c r="Q50">
        <v>0.5</v>
      </c>
      <c r="R50">
        <v>5</v>
      </c>
      <c r="S50">
        <v>10</v>
      </c>
      <c r="T50">
        <v>0.5</v>
      </c>
      <c r="U50">
        <v>0.54200000000000004</v>
      </c>
      <c r="V50">
        <v>3</v>
      </c>
      <c r="W50">
        <v>3</v>
      </c>
      <c r="X50">
        <v>1</v>
      </c>
      <c r="Y50">
        <v>1</v>
      </c>
      <c r="Z50">
        <v>4</v>
      </c>
      <c r="AA50">
        <v>5</v>
      </c>
      <c r="AB50">
        <v>3</v>
      </c>
      <c r="AC50">
        <v>3</v>
      </c>
      <c r="AD50">
        <v>0</v>
      </c>
      <c r="AE50">
        <v>0</v>
      </c>
      <c r="AF50">
        <v>4</v>
      </c>
      <c r="AG50">
        <v>16</v>
      </c>
      <c r="AH50">
        <v>15.4</v>
      </c>
      <c r="AI50">
        <v>-1</v>
      </c>
    </row>
    <row r="51" spans="1:35" ht="21" x14ac:dyDescent="0.3">
      <c r="A51" s="12" t="s">
        <v>562</v>
      </c>
      <c r="B51" s="11">
        <v>49</v>
      </c>
      <c r="C51">
        <v>157</v>
      </c>
      <c r="D51">
        <v>50</v>
      </c>
      <c r="E51" s="4">
        <v>44587</v>
      </c>
      <c r="F51" t="s">
        <v>64</v>
      </c>
      <c r="G51" t="s">
        <v>37</v>
      </c>
      <c r="H51" t="s">
        <v>104</v>
      </c>
      <c r="I51" t="s">
        <v>408</v>
      </c>
      <c r="J51" t="s">
        <v>41</v>
      </c>
      <c r="K51" s="9">
        <v>1.1187499999999999</v>
      </c>
      <c r="L51">
        <v>6</v>
      </c>
      <c r="M51">
        <v>9</v>
      </c>
      <c r="N51">
        <v>0.66700000000000004</v>
      </c>
      <c r="O51">
        <v>2</v>
      </c>
      <c r="P51">
        <v>2</v>
      </c>
      <c r="Q51">
        <v>1</v>
      </c>
      <c r="R51">
        <v>4</v>
      </c>
      <c r="S51">
        <v>7</v>
      </c>
      <c r="T51">
        <v>0.57099999999999995</v>
      </c>
      <c r="U51">
        <v>0.77800000000000002</v>
      </c>
      <c r="V51">
        <v>0</v>
      </c>
      <c r="W51">
        <v>0</v>
      </c>
      <c r="Y51">
        <v>0</v>
      </c>
      <c r="Z51">
        <v>0</v>
      </c>
      <c r="AA51">
        <v>0</v>
      </c>
      <c r="AB51">
        <v>2</v>
      </c>
      <c r="AC51">
        <v>1</v>
      </c>
      <c r="AD51">
        <v>0</v>
      </c>
      <c r="AE51">
        <v>0</v>
      </c>
      <c r="AF51">
        <v>1</v>
      </c>
      <c r="AG51">
        <v>14</v>
      </c>
      <c r="AH51">
        <v>12.1</v>
      </c>
      <c r="AI51">
        <v>2</v>
      </c>
    </row>
    <row r="52" spans="1:35" ht="21" x14ac:dyDescent="0.3">
      <c r="A52" s="12" t="s">
        <v>562</v>
      </c>
      <c r="B52" s="11">
        <v>50</v>
      </c>
      <c r="C52">
        <v>158</v>
      </c>
      <c r="D52">
        <v>51</v>
      </c>
      <c r="E52" s="4">
        <v>44589</v>
      </c>
      <c r="F52" t="s">
        <v>64</v>
      </c>
      <c r="G52" t="s">
        <v>37</v>
      </c>
      <c r="H52" t="s">
        <v>120</v>
      </c>
      <c r="I52" t="s">
        <v>191</v>
      </c>
      <c r="J52" t="s">
        <v>41</v>
      </c>
      <c r="K52" s="9">
        <v>1.0534722222222221</v>
      </c>
      <c r="L52">
        <v>1</v>
      </c>
      <c r="M52">
        <v>6</v>
      </c>
      <c r="N52">
        <v>0.16700000000000001</v>
      </c>
      <c r="O52">
        <v>0</v>
      </c>
      <c r="P52">
        <v>3</v>
      </c>
      <c r="Q52">
        <v>0</v>
      </c>
      <c r="R52">
        <v>1</v>
      </c>
      <c r="S52">
        <v>3</v>
      </c>
      <c r="T52">
        <v>0.33300000000000002</v>
      </c>
      <c r="U52">
        <v>0.16700000000000001</v>
      </c>
      <c r="V52">
        <v>2</v>
      </c>
      <c r="W52">
        <v>2</v>
      </c>
      <c r="X52">
        <v>1</v>
      </c>
      <c r="Y52">
        <v>2</v>
      </c>
      <c r="Z52">
        <v>2</v>
      </c>
      <c r="AA52">
        <v>4</v>
      </c>
      <c r="AB52">
        <v>0</v>
      </c>
      <c r="AC52">
        <v>0</v>
      </c>
      <c r="AD52">
        <v>0</v>
      </c>
      <c r="AE52">
        <v>1</v>
      </c>
      <c r="AF52">
        <v>5</v>
      </c>
      <c r="AG52">
        <v>4</v>
      </c>
      <c r="AH52">
        <v>-0.8</v>
      </c>
      <c r="AI52">
        <v>-11</v>
      </c>
    </row>
    <row r="53" spans="1:35" ht="21" x14ac:dyDescent="0.3">
      <c r="A53" s="12" t="s">
        <v>562</v>
      </c>
      <c r="B53" s="11">
        <v>51</v>
      </c>
      <c r="C53">
        <v>159</v>
      </c>
      <c r="D53">
        <v>52</v>
      </c>
      <c r="E53" s="4">
        <v>44591</v>
      </c>
      <c r="F53" t="s">
        <v>64</v>
      </c>
      <c r="G53" t="s">
        <v>37</v>
      </c>
      <c r="H53" t="s">
        <v>72</v>
      </c>
      <c r="I53" t="s">
        <v>409</v>
      </c>
      <c r="J53" t="s">
        <v>41</v>
      </c>
      <c r="K53" s="7">
        <v>0.89444444444444449</v>
      </c>
      <c r="L53">
        <v>2</v>
      </c>
      <c r="M53">
        <v>6</v>
      </c>
      <c r="N53">
        <v>0.33300000000000002</v>
      </c>
      <c r="O53">
        <v>0</v>
      </c>
      <c r="P53">
        <v>3</v>
      </c>
      <c r="Q53">
        <v>0</v>
      </c>
      <c r="R53">
        <v>2</v>
      </c>
      <c r="S53">
        <v>3</v>
      </c>
      <c r="T53">
        <v>0.66700000000000004</v>
      </c>
      <c r="U53">
        <v>0.33300000000000002</v>
      </c>
      <c r="V53">
        <v>0</v>
      </c>
      <c r="W53">
        <v>0</v>
      </c>
      <c r="Y53">
        <v>0</v>
      </c>
      <c r="Z53">
        <v>3</v>
      </c>
      <c r="AA53">
        <v>3</v>
      </c>
      <c r="AB53">
        <v>2</v>
      </c>
      <c r="AC53">
        <v>0</v>
      </c>
      <c r="AD53">
        <v>0</v>
      </c>
      <c r="AE53">
        <v>1</v>
      </c>
      <c r="AF53">
        <v>1</v>
      </c>
      <c r="AG53">
        <v>4</v>
      </c>
      <c r="AH53">
        <v>1.5</v>
      </c>
      <c r="AI53">
        <v>-4</v>
      </c>
    </row>
    <row r="54" spans="1:35" ht="21" x14ac:dyDescent="0.3">
      <c r="A54" s="12" t="s">
        <v>562</v>
      </c>
      <c r="B54" s="11">
        <v>52</v>
      </c>
      <c r="C54">
        <v>160</v>
      </c>
      <c r="D54">
        <v>53</v>
      </c>
      <c r="E54" s="4">
        <v>44592</v>
      </c>
      <c r="F54" t="s">
        <v>64</v>
      </c>
      <c r="G54" t="s">
        <v>37</v>
      </c>
      <c r="H54" t="s">
        <v>108</v>
      </c>
      <c r="I54" t="s">
        <v>410</v>
      </c>
      <c r="J54" t="s">
        <v>41</v>
      </c>
      <c r="K54" s="7">
        <v>0.95208333333333328</v>
      </c>
      <c r="L54">
        <v>3</v>
      </c>
      <c r="M54">
        <v>7</v>
      </c>
      <c r="N54">
        <v>0.42899999999999999</v>
      </c>
      <c r="O54">
        <v>0</v>
      </c>
      <c r="P54">
        <v>1</v>
      </c>
      <c r="Q54">
        <v>0</v>
      </c>
      <c r="R54">
        <v>3</v>
      </c>
      <c r="S54">
        <v>6</v>
      </c>
      <c r="T54">
        <v>0.5</v>
      </c>
      <c r="U54">
        <v>0.42899999999999999</v>
      </c>
      <c r="V54">
        <v>0</v>
      </c>
      <c r="W54">
        <v>0</v>
      </c>
      <c r="Y54">
        <v>2</v>
      </c>
      <c r="Z54">
        <v>3</v>
      </c>
      <c r="AA54">
        <v>5</v>
      </c>
      <c r="AB54">
        <v>2</v>
      </c>
      <c r="AC54">
        <v>1</v>
      </c>
      <c r="AD54">
        <v>0</v>
      </c>
      <c r="AE54">
        <v>0</v>
      </c>
      <c r="AF54">
        <v>2</v>
      </c>
      <c r="AG54">
        <v>6</v>
      </c>
      <c r="AH54">
        <v>6.2</v>
      </c>
      <c r="AI54">
        <v>1</v>
      </c>
    </row>
    <row r="55" spans="1:35" ht="21" x14ac:dyDescent="0.3">
      <c r="A55" s="12" t="s">
        <v>562</v>
      </c>
      <c r="B55" s="11">
        <v>53</v>
      </c>
      <c r="C55">
        <v>161</v>
      </c>
      <c r="D55">
        <v>54</v>
      </c>
      <c r="E55" s="4">
        <v>44595</v>
      </c>
      <c r="F55" t="s">
        <v>64</v>
      </c>
      <c r="H55" t="s">
        <v>62</v>
      </c>
      <c r="I55" t="s">
        <v>411</v>
      </c>
      <c r="K55" s="7">
        <v>0.57222222222222219</v>
      </c>
      <c r="L55">
        <v>2</v>
      </c>
      <c r="M55">
        <v>4</v>
      </c>
      <c r="N55">
        <v>0.5</v>
      </c>
      <c r="O55">
        <v>1</v>
      </c>
      <c r="P55">
        <v>3</v>
      </c>
      <c r="Q55">
        <v>0.33300000000000002</v>
      </c>
      <c r="R55">
        <v>1</v>
      </c>
      <c r="S55">
        <v>1</v>
      </c>
      <c r="T55">
        <v>1</v>
      </c>
      <c r="U55">
        <v>0.625</v>
      </c>
      <c r="V55">
        <v>0</v>
      </c>
      <c r="W55">
        <v>0</v>
      </c>
      <c r="Y55">
        <v>0</v>
      </c>
      <c r="Z55">
        <v>2</v>
      </c>
      <c r="AA55">
        <v>2</v>
      </c>
      <c r="AB55">
        <v>1</v>
      </c>
      <c r="AC55">
        <v>0</v>
      </c>
      <c r="AD55">
        <v>0</v>
      </c>
      <c r="AE55">
        <v>1</v>
      </c>
      <c r="AF55">
        <v>2</v>
      </c>
      <c r="AG55">
        <v>5</v>
      </c>
      <c r="AH55">
        <v>2.5</v>
      </c>
      <c r="AI55">
        <v>-1</v>
      </c>
    </row>
    <row r="56" spans="1:35" ht="21" x14ac:dyDescent="0.3">
      <c r="A56" s="12" t="s">
        <v>562</v>
      </c>
      <c r="B56" s="11">
        <v>54</v>
      </c>
      <c r="C56">
        <v>162</v>
      </c>
      <c r="D56">
        <v>55</v>
      </c>
      <c r="E56" s="4">
        <v>44598</v>
      </c>
      <c r="F56" t="s">
        <v>64</v>
      </c>
      <c r="H56" t="s">
        <v>126</v>
      </c>
      <c r="I56" t="s">
        <v>412</v>
      </c>
      <c r="K56" s="9">
        <v>1.05</v>
      </c>
      <c r="L56">
        <v>3</v>
      </c>
      <c r="M56">
        <v>8</v>
      </c>
      <c r="N56">
        <v>0.375</v>
      </c>
      <c r="O56">
        <v>0</v>
      </c>
      <c r="P56">
        <v>2</v>
      </c>
      <c r="Q56">
        <v>0</v>
      </c>
      <c r="R56">
        <v>3</v>
      </c>
      <c r="S56">
        <v>6</v>
      </c>
      <c r="T56">
        <v>0.5</v>
      </c>
      <c r="U56">
        <v>0.375</v>
      </c>
      <c r="V56">
        <v>0</v>
      </c>
      <c r="W56">
        <v>0</v>
      </c>
      <c r="Y56">
        <v>1</v>
      </c>
      <c r="Z56">
        <v>6</v>
      </c>
      <c r="AA56">
        <v>7</v>
      </c>
      <c r="AB56">
        <v>5</v>
      </c>
      <c r="AC56">
        <v>2</v>
      </c>
      <c r="AD56">
        <v>0</v>
      </c>
      <c r="AE56">
        <v>0</v>
      </c>
      <c r="AF56">
        <v>0</v>
      </c>
      <c r="AG56">
        <v>6</v>
      </c>
      <c r="AH56">
        <v>9.6</v>
      </c>
      <c r="AI56">
        <v>5</v>
      </c>
    </row>
    <row r="57" spans="1:35" ht="21" x14ac:dyDescent="0.3">
      <c r="A57" s="12" t="s">
        <v>562</v>
      </c>
      <c r="B57" s="11">
        <v>55</v>
      </c>
      <c r="C57">
        <v>163</v>
      </c>
      <c r="D57">
        <v>56</v>
      </c>
      <c r="E57" s="4">
        <v>44600</v>
      </c>
      <c r="F57" t="s">
        <v>64</v>
      </c>
      <c r="G57" t="s">
        <v>37</v>
      </c>
      <c r="H57" t="s">
        <v>42</v>
      </c>
      <c r="I57" t="s">
        <v>413</v>
      </c>
      <c r="K57" s="9">
        <v>1.0979166666666667</v>
      </c>
      <c r="L57">
        <v>5</v>
      </c>
      <c r="M57">
        <v>10</v>
      </c>
      <c r="N57">
        <v>0.5</v>
      </c>
      <c r="O57">
        <v>1</v>
      </c>
      <c r="P57">
        <v>3</v>
      </c>
      <c r="Q57">
        <v>0.33300000000000002</v>
      </c>
      <c r="R57">
        <v>4</v>
      </c>
      <c r="S57">
        <v>7</v>
      </c>
      <c r="T57">
        <v>0.57099999999999995</v>
      </c>
      <c r="U57">
        <v>0.55000000000000004</v>
      </c>
      <c r="V57">
        <v>3</v>
      </c>
      <c r="W57">
        <v>4</v>
      </c>
      <c r="X57">
        <v>0.75</v>
      </c>
      <c r="Y57">
        <v>1</v>
      </c>
      <c r="Z57">
        <v>5</v>
      </c>
      <c r="AA57">
        <v>6</v>
      </c>
      <c r="AB57">
        <v>7</v>
      </c>
      <c r="AC57">
        <v>2</v>
      </c>
      <c r="AD57">
        <v>0</v>
      </c>
      <c r="AE57">
        <v>1</v>
      </c>
      <c r="AF57">
        <v>1</v>
      </c>
      <c r="AG57">
        <v>14</v>
      </c>
      <c r="AH57">
        <v>16.3</v>
      </c>
      <c r="AI57">
        <v>-7</v>
      </c>
    </row>
    <row r="58" spans="1:35" ht="21" x14ac:dyDescent="0.3">
      <c r="A58" s="12" t="s">
        <v>562</v>
      </c>
      <c r="B58" s="11">
        <v>56</v>
      </c>
      <c r="C58">
        <v>164</v>
      </c>
      <c r="D58">
        <v>57</v>
      </c>
      <c r="E58" s="4">
        <v>44602</v>
      </c>
      <c r="F58" t="s">
        <v>64</v>
      </c>
      <c r="G58" t="s">
        <v>37</v>
      </c>
      <c r="H58" t="s">
        <v>49</v>
      </c>
      <c r="I58" t="s">
        <v>414</v>
      </c>
      <c r="K58" s="9">
        <v>1.2756944444444445</v>
      </c>
      <c r="L58">
        <v>5</v>
      </c>
      <c r="M58">
        <v>10</v>
      </c>
      <c r="N58">
        <v>0.5</v>
      </c>
      <c r="O58">
        <v>1</v>
      </c>
      <c r="P58">
        <v>1</v>
      </c>
      <c r="Q58">
        <v>1</v>
      </c>
      <c r="R58">
        <v>4</v>
      </c>
      <c r="S58">
        <v>9</v>
      </c>
      <c r="T58">
        <v>0.44400000000000001</v>
      </c>
      <c r="U58">
        <v>0.55000000000000004</v>
      </c>
      <c r="V58">
        <v>2</v>
      </c>
      <c r="W58">
        <v>3</v>
      </c>
      <c r="X58">
        <v>0.66700000000000004</v>
      </c>
      <c r="Y58">
        <v>0</v>
      </c>
      <c r="Z58">
        <v>5</v>
      </c>
      <c r="AA58">
        <v>5</v>
      </c>
      <c r="AB58">
        <v>3</v>
      </c>
      <c r="AC58">
        <v>2</v>
      </c>
      <c r="AD58">
        <v>0</v>
      </c>
      <c r="AE58">
        <v>0</v>
      </c>
      <c r="AF58">
        <v>4</v>
      </c>
      <c r="AG58">
        <v>13</v>
      </c>
      <c r="AH58">
        <v>11.6</v>
      </c>
      <c r="AI58">
        <v>8</v>
      </c>
    </row>
    <row r="59" spans="1:35" ht="21" x14ac:dyDescent="0.3">
      <c r="A59" s="12" t="s">
        <v>562</v>
      </c>
      <c r="B59" s="11">
        <v>57</v>
      </c>
      <c r="C59">
        <v>165</v>
      </c>
      <c r="D59">
        <v>58</v>
      </c>
      <c r="E59" s="4">
        <v>44604</v>
      </c>
      <c r="F59" t="s">
        <v>64</v>
      </c>
      <c r="G59" t="s">
        <v>37</v>
      </c>
      <c r="H59" t="s">
        <v>49</v>
      </c>
      <c r="I59" t="s">
        <v>415</v>
      </c>
      <c r="J59" t="s">
        <v>41</v>
      </c>
      <c r="K59" s="9">
        <v>1.4520833333333334</v>
      </c>
      <c r="L59">
        <v>9</v>
      </c>
      <c r="M59">
        <v>15</v>
      </c>
      <c r="N59">
        <v>0.6</v>
      </c>
      <c r="O59">
        <v>1</v>
      </c>
      <c r="P59">
        <v>2</v>
      </c>
      <c r="Q59">
        <v>0.5</v>
      </c>
      <c r="R59">
        <v>8</v>
      </c>
      <c r="S59">
        <v>13</v>
      </c>
      <c r="T59">
        <v>0.61499999999999999</v>
      </c>
      <c r="U59">
        <v>0.63300000000000001</v>
      </c>
      <c r="V59">
        <v>2</v>
      </c>
      <c r="W59">
        <v>3</v>
      </c>
      <c r="X59">
        <v>0.66700000000000004</v>
      </c>
      <c r="Y59">
        <v>2</v>
      </c>
      <c r="Z59">
        <v>7</v>
      </c>
      <c r="AA59">
        <v>9</v>
      </c>
      <c r="AB59">
        <v>2</v>
      </c>
      <c r="AC59">
        <v>1</v>
      </c>
      <c r="AD59">
        <v>0</v>
      </c>
      <c r="AE59">
        <v>1</v>
      </c>
      <c r="AF59">
        <v>3</v>
      </c>
      <c r="AG59">
        <v>21</v>
      </c>
      <c r="AH59">
        <v>17.399999999999999</v>
      </c>
      <c r="AI59">
        <v>-1</v>
      </c>
    </row>
    <row r="60" spans="1:35" ht="21" x14ac:dyDescent="0.3">
      <c r="A60" s="12" t="s">
        <v>562</v>
      </c>
      <c r="B60" s="11">
        <v>58</v>
      </c>
      <c r="C60">
        <v>166</v>
      </c>
      <c r="D60">
        <v>59</v>
      </c>
      <c r="E60" s="4">
        <v>44606</v>
      </c>
      <c r="F60" t="s">
        <v>64</v>
      </c>
      <c r="H60" t="s">
        <v>33</v>
      </c>
      <c r="I60" t="s">
        <v>93</v>
      </c>
      <c r="J60" t="s">
        <v>41</v>
      </c>
      <c r="K60" s="9">
        <v>1.6284722222222223</v>
      </c>
      <c r="L60">
        <v>11</v>
      </c>
      <c r="M60">
        <v>17</v>
      </c>
      <c r="N60">
        <v>0.64700000000000002</v>
      </c>
      <c r="O60">
        <v>1</v>
      </c>
      <c r="P60">
        <v>5</v>
      </c>
      <c r="Q60">
        <v>0.2</v>
      </c>
      <c r="R60">
        <v>10</v>
      </c>
      <c r="S60">
        <v>12</v>
      </c>
      <c r="T60">
        <v>0.83299999999999996</v>
      </c>
      <c r="U60">
        <v>0.67600000000000005</v>
      </c>
      <c r="V60">
        <v>2</v>
      </c>
      <c r="W60">
        <v>5</v>
      </c>
      <c r="X60">
        <v>0.4</v>
      </c>
      <c r="Y60">
        <v>0</v>
      </c>
      <c r="Z60">
        <v>7</v>
      </c>
      <c r="AA60">
        <v>7</v>
      </c>
      <c r="AB60">
        <v>6</v>
      </c>
      <c r="AC60">
        <v>1</v>
      </c>
      <c r="AD60">
        <v>1</v>
      </c>
      <c r="AE60">
        <v>2</v>
      </c>
      <c r="AF60">
        <v>2</v>
      </c>
      <c r="AG60">
        <v>25</v>
      </c>
      <c r="AH60">
        <v>21.5</v>
      </c>
      <c r="AI60">
        <v>25</v>
      </c>
    </row>
    <row r="61" spans="1:35" ht="21" x14ac:dyDescent="0.3">
      <c r="A61" s="12" t="s">
        <v>562</v>
      </c>
      <c r="B61" s="11">
        <v>59</v>
      </c>
      <c r="C61">
        <v>167</v>
      </c>
      <c r="D61">
        <v>60</v>
      </c>
      <c r="E61" s="4">
        <v>44607</v>
      </c>
      <c r="F61" t="s">
        <v>64</v>
      </c>
      <c r="G61" t="s">
        <v>37</v>
      </c>
      <c r="H61" t="s">
        <v>99</v>
      </c>
      <c r="I61" t="s">
        <v>416</v>
      </c>
      <c r="J61" t="s">
        <v>41</v>
      </c>
      <c r="K61" s="9">
        <v>1.3277777777777777</v>
      </c>
      <c r="L61">
        <v>1</v>
      </c>
      <c r="M61">
        <v>6</v>
      </c>
      <c r="N61">
        <v>0.16700000000000001</v>
      </c>
      <c r="O61">
        <v>0</v>
      </c>
      <c r="P61">
        <v>1</v>
      </c>
      <c r="Q61">
        <v>0</v>
      </c>
      <c r="R61">
        <v>1</v>
      </c>
      <c r="S61">
        <v>5</v>
      </c>
      <c r="T61">
        <v>0.2</v>
      </c>
      <c r="U61">
        <v>0.16700000000000001</v>
      </c>
      <c r="V61">
        <v>0</v>
      </c>
      <c r="W61">
        <v>0</v>
      </c>
      <c r="Y61">
        <v>0</v>
      </c>
      <c r="Z61">
        <v>3</v>
      </c>
      <c r="AA61">
        <v>3</v>
      </c>
      <c r="AB61">
        <v>1</v>
      </c>
      <c r="AC61">
        <v>2</v>
      </c>
      <c r="AD61">
        <v>1</v>
      </c>
      <c r="AE61">
        <v>2</v>
      </c>
      <c r="AF61">
        <v>1</v>
      </c>
      <c r="AG61">
        <v>2</v>
      </c>
      <c r="AH61">
        <v>0.1</v>
      </c>
      <c r="AI61">
        <v>-6</v>
      </c>
    </row>
    <row r="62" spans="1:35" ht="21" x14ac:dyDescent="0.3">
      <c r="A62" s="12" t="s">
        <v>562</v>
      </c>
      <c r="B62" s="11">
        <v>60</v>
      </c>
      <c r="C62">
        <v>168</v>
      </c>
      <c r="D62">
        <v>61</v>
      </c>
      <c r="E62" s="4">
        <v>44609</v>
      </c>
      <c r="F62" t="s">
        <v>64</v>
      </c>
      <c r="H62" t="s">
        <v>76</v>
      </c>
      <c r="I62" t="s">
        <v>417</v>
      </c>
      <c r="J62" t="s">
        <v>41</v>
      </c>
      <c r="K62" s="9">
        <v>1.179861111111111</v>
      </c>
      <c r="L62">
        <v>8</v>
      </c>
      <c r="M62">
        <v>13</v>
      </c>
      <c r="N62">
        <v>0.61499999999999999</v>
      </c>
      <c r="O62">
        <v>1</v>
      </c>
      <c r="P62">
        <v>1</v>
      </c>
      <c r="Q62">
        <v>1</v>
      </c>
      <c r="R62">
        <v>7</v>
      </c>
      <c r="S62">
        <v>12</v>
      </c>
      <c r="T62">
        <v>0.58299999999999996</v>
      </c>
      <c r="U62">
        <v>0.65400000000000003</v>
      </c>
      <c r="V62">
        <v>3</v>
      </c>
      <c r="W62">
        <v>3</v>
      </c>
      <c r="X62">
        <v>1</v>
      </c>
      <c r="Y62">
        <v>3</v>
      </c>
      <c r="Z62">
        <v>5</v>
      </c>
      <c r="AA62">
        <v>8</v>
      </c>
      <c r="AB62">
        <v>1</v>
      </c>
      <c r="AC62">
        <v>1</v>
      </c>
      <c r="AD62">
        <v>0</v>
      </c>
      <c r="AE62">
        <v>2</v>
      </c>
      <c r="AF62">
        <v>1</v>
      </c>
      <c r="AG62">
        <v>20</v>
      </c>
      <c r="AH62">
        <v>17</v>
      </c>
      <c r="AI62">
        <v>28</v>
      </c>
    </row>
    <row r="63" spans="1:35" ht="21" x14ac:dyDescent="0.3">
      <c r="A63" s="12" t="s">
        <v>562</v>
      </c>
      <c r="B63" s="11">
        <v>61</v>
      </c>
      <c r="C63">
        <v>169</v>
      </c>
      <c r="D63">
        <v>62</v>
      </c>
      <c r="E63" s="4">
        <v>44617</v>
      </c>
      <c r="F63" t="s">
        <v>64</v>
      </c>
      <c r="G63" t="s">
        <v>37</v>
      </c>
      <c r="H63" t="s">
        <v>62</v>
      </c>
      <c r="I63" t="s">
        <v>90</v>
      </c>
      <c r="J63" t="s">
        <v>41</v>
      </c>
      <c r="K63" s="9">
        <v>1.5083333333333333</v>
      </c>
      <c r="L63">
        <v>9</v>
      </c>
      <c r="M63">
        <v>17</v>
      </c>
      <c r="N63">
        <v>0.52900000000000003</v>
      </c>
      <c r="O63">
        <v>1</v>
      </c>
      <c r="P63">
        <v>2</v>
      </c>
      <c r="Q63">
        <v>0.5</v>
      </c>
      <c r="R63">
        <v>8</v>
      </c>
      <c r="S63">
        <v>15</v>
      </c>
      <c r="T63">
        <v>0.53300000000000003</v>
      </c>
      <c r="U63">
        <v>0.55900000000000005</v>
      </c>
      <c r="V63">
        <v>0</v>
      </c>
      <c r="W63">
        <v>0</v>
      </c>
      <c r="Y63">
        <v>1</v>
      </c>
      <c r="Z63">
        <v>9</v>
      </c>
      <c r="AA63">
        <v>10</v>
      </c>
      <c r="AB63">
        <v>4</v>
      </c>
      <c r="AC63">
        <v>3</v>
      </c>
      <c r="AD63">
        <v>0</v>
      </c>
      <c r="AE63">
        <v>0</v>
      </c>
      <c r="AF63">
        <v>1</v>
      </c>
      <c r="AG63">
        <v>19</v>
      </c>
      <c r="AH63">
        <v>19.5</v>
      </c>
      <c r="AI63">
        <v>9</v>
      </c>
    </row>
    <row r="64" spans="1:35" ht="21" x14ac:dyDescent="0.3">
      <c r="A64" s="12" t="s">
        <v>562</v>
      </c>
      <c r="B64" s="11">
        <v>62</v>
      </c>
      <c r="C64">
        <v>170</v>
      </c>
      <c r="D64">
        <v>63</v>
      </c>
      <c r="E64" s="4">
        <v>44619</v>
      </c>
      <c r="F64" t="s">
        <v>64</v>
      </c>
      <c r="G64" t="s">
        <v>37</v>
      </c>
      <c r="H64" t="s">
        <v>76</v>
      </c>
      <c r="I64" t="s">
        <v>418</v>
      </c>
      <c r="J64" t="s">
        <v>41</v>
      </c>
      <c r="K64" s="9">
        <v>1.1423611111111112</v>
      </c>
      <c r="L64">
        <v>3</v>
      </c>
      <c r="M64">
        <v>5</v>
      </c>
      <c r="N64">
        <v>0.6</v>
      </c>
      <c r="O64">
        <v>1</v>
      </c>
      <c r="P64">
        <v>2</v>
      </c>
      <c r="Q64">
        <v>0.5</v>
      </c>
      <c r="R64">
        <v>2</v>
      </c>
      <c r="S64">
        <v>3</v>
      </c>
      <c r="T64">
        <v>0.66700000000000004</v>
      </c>
      <c r="U64">
        <v>0.7</v>
      </c>
      <c r="V64">
        <v>2</v>
      </c>
      <c r="W64">
        <v>2</v>
      </c>
      <c r="X64">
        <v>1</v>
      </c>
      <c r="Y64">
        <v>0</v>
      </c>
      <c r="Z64">
        <v>8</v>
      </c>
      <c r="AA64">
        <v>8</v>
      </c>
      <c r="AB64">
        <v>2</v>
      </c>
      <c r="AC64">
        <v>2</v>
      </c>
      <c r="AD64">
        <v>1</v>
      </c>
      <c r="AE64">
        <v>1</v>
      </c>
      <c r="AF64">
        <v>5</v>
      </c>
      <c r="AG64">
        <v>9</v>
      </c>
      <c r="AH64">
        <v>10.199999999999999</v>
      </c>
      <c r="AI64">
        <v>7</v>
      </c>
    </row>
    <row r="65" spans="1:35" ht="21" x14ac:dyDescent="0.3">
      <c r="A65" s="12" t="s">
        <v>562</v>
      </c>
      <c r="B65" s="11">
        <v>63</v>
      </c>
      <c r="C65">
        <v>171</v>
      </c>
      <c r="D65">
        <v>64</v>
      </c>
      <c r="E65" s="4">
        <v>44621</v>
      </c>
      <c r="F65" t="s">
        <v>64</v>
      </c>
      <c r="G65" t="s">
        <v>37</v>
      </c>
      <c r="H65" t="s">
        <v>76</v>
      </c>
      <c r="I65" t="s">
        <v>419</v>
      </c>
      <c r="J65" t="s">
        <v>41</v>
      </c>
      <c r="K65" s="9">
        <v>1.2555555555555555</v>
      </c>
      <c r="L65">
        <v>4</v>
      </c>
      <c r="M65">
        <v>11</v>
      </c>
      <c r="N65">
        <v>0.36399999999999999</v>
      </c>
      <c r="O65">
        <v>1</v>
      </c>
      <c r="P65">
        <v>2</v>
      </c>
      <c r="Q65">
        <v>0.5</v>
      </c>
      <c r="R65">
        <v>3</v>
      </c>
      <c r="S65">
        <v>9</v>
      </c>
      <c r="T65">
        <v>0.33300000000000002</v>
      </c>
      <c r="U65">
        <v>0.40899999999999997</v>
      </c>
      <c r="V65">
        <v>2</v>
      </c>
      <c r="W65">
        <v>2</v>
      </c>
      <c r="X65">
        <v>1</v>
      </c>
      <c r="Y65">
        <v>3</v>
      </c>
      <c r="Z65">
        <v>4</v>
      </c>
      <c r="AA65">
        <v>7</v>
      </c>
      <c r="AB65">
        <v>5</v>
      </c>
      <c r="AC65">
        <v>0</v>
      </c>
      <c r="AD65">
        <v>1</v>
      </c>
      <c r="AE65">
        <v>2</v>
      </c>
      <c r="AF65">
        <v>3</v>
      </c>
      <c r="AG65">
        <v>11</v>
      </c>
      <c r="AH65">
        <v>9.1999999999999993</v>
      </c>
      <c r="AI65">
        <v>22</v>
      </c>
    </row>
    <row r="66" spans="1:35" ht="21" x14ac:dyDescent="0.3">
      <c r="A66" s="12" t="s">
        <v>562</v>
      </c>
      <c r="B66" s="11">
        <v>64</v>
      </c>
      <c r="C66">
        <v>172</v>
      </c>
      <c r="D66">
        <v>65</v>
      </c>
      <c r="E66" s="4">
        <v>44623</v>
      </c>
      <c r="F66" t="s">
        <v>64</v>
      </c>
      <c r="H66" t="s">
        <v>62</v>
      </c>
      <c r="I66" t="s">
        <v>420</v>
      </c>
      <c r="J66" t="s">
        <v>41</v>
      </c>
      <c r="K66" s="9">
        <v>1.1006944444444444</v>
      </c>
      <c r="L66">
        <v>3</v>
      </c>
      <c r="M66">
        <v>4</v>
      </c>
      <c r="N66">
        <v>0.75</v>
      </c>
      <c r="O66">
        <v>1</v>
      </c>
      <c r="P66">
        <v>1</v>
      </c>
      <c r="Q66">
        <v>1</v>
      </c>
      <c r="R66">
        <v>2</v>
      </c>
      <c r="S66">
        <v>3</v>
      </c>
      <c r="T66">
        <v>0.66700000000000004</v>
      </c>
      <c r="U66">
        <v>0.875</v>
      </c>
      <c r="V66">
        <v>2</v>
      </c>
      <c r="W66">
        <v>2</v>
      </c>
      <c r="X66">
        <v>1</v>
      </c>
      <c r="Y66">
        <v>1</v>
      </c>
      <c r="Z66">
        <v>3</v>
      </c>
      <c r="AA66">
        <v>4</v>
      </c>
      <c r="AB66">
        <v>4</v>
      </c>
      <c r="AC66">
        <v>2</v>
      </c>
      <c r="AD66">
        <v>0</v>
      </c>
      <c r="AE66">
        <v>1</v>
      </c>
      <c r="AF66">
        <v>3</v>
      </c>
      <c r="AG66">
        <v>9</v>
      </c>
      <c r="AH66">
        <v>11.6</v>
      </c>
      <c r="AI66">
        <v>9</v>
      </c>
    </row>
    <row r="67" spans="1:35" ht="21" x14ac:dyDescent="0.3">
      <c r="A67" s="12" t="s">
        <v>562</v>
      </c>
      <c r="B67" s="11">
        <v>65</v>
      </c>
      <c r="C67">
        <v>173</v>
      </c>
      <c r="D67">
        <v>66</v>
      </c>
      <c r="E67" s="4">
        <v>44626</v>
      </c>
      <c r="F67" t="s">
        <v>64</v>
      </c>
      <c r="H67" t="s">
        <v>110</v>
      </c>
      <c r="I67" t="s">
        <v>421</v>
      </c>
      <c r="J67" t="s">
        <v>41</v>
      </c>
      <c r="K67" s="9">
        <v>1.3270833333333334</v>
      </c>
      <c r="L67">
        <v>4</v>
      </c>
      <c r="M67">
        <v>9</v>
      </c>
      <c r="N67">
        <v>0.44400000000000001</v>
      </c>
      <c r="O67">
        <v>1</v>
      </c>
      <c r="P67">
        <v>2</v>
      </c>
      <c r="Q67">
        <v>0.5</v>
      </c>
      <c r="R67">
        <v>3</v>
      </c>
      <c r="S67">
        <v>7</v>
      </c>
      <c r="T67">
        <v>0.42899999999999999</v>
      </c>
      <c r="U67">
        <v>0.5</v>
      </c>
      <c r="V67">
        <v>2</v>
      </c>
      <c r="W67">
        <v>2</v>
      </c>
      <c r="X67">
        <v>1</v>
      </c>
      <c r="Y67">
        <v>2</v>
      </c>
      <c r="Z67">
        <v>6</v>
      </c>
      <c r="AA67">
        <v>8</v>
      </c>
      <c r="AB67">
        <v>4</v>
      </c>
      <c r="AC67">
        <v>0</v>
      </c>
      <c r="AD67">
        <v>0</v>
      </c>
      <c r="AE67">
        <v>0</v>
      </c>
      <c r="AF67">
        <v>2</v>
      </c>
      <c r="AG67">
        <v>11</v>
      </c>
      <c r="AH67">
        <v>11.5</v>
      </c>
      <c r="AI67">
        <v>-5</v>
      </c>
    </row>
    <row r="68" spans="1:35" ht="21" x14ac:dyDescent="0.3">
      <c r="A68" s="12" t="s">
        <v>562</v>
      </c>
      <c r="B68" s="11">
        <v>66</v>
      </c>
      <c r="C68">
        <v>174</v>
      </c>
      <c r="D68">
        <v>67</v>
      </c>
      <c r="E68" s="4">
        <v>44628</v>
      </c>
      <c r="F68" t="s">
        <v>64</v>
      </c>
      <c r="G68" t="s">
        <v>37</v>
      </c>
      <c r="H68" t="s">
        <v>33</v>
      </c>
      <c r="I68" t="s">
        <v>422</v>
      </c>
      <c r="J68" t="s">
        <v>41</v>
      </c>
      <c r="K68" s="9">
        <v>1.1458333333333333</v>
      </c>
      <c r="L68">
        <v>2</v>
      </c>
      <c r="M68">
        <v>9</v>
      </c>
      <c r="N68">
        <v>0.222</v>
      </c>
      <c r="O68">
        <v>1</v>
      </c>
      <c r="P68">
        <v>3</v>
      </c>
      <c r="Q68">
        <v>0.33300000000000002</v>
      </c>
      <c r="R68">
        <v>1</v>
      </c>
      <c r="S68">
        <v>6</v>
      </c>
      <c r="T68">
        <v>0.16700000000000001</v>
      </c>
      <c r="U68">
        <v>0.27800000000000002</v>
      </c>
      <c r="V68">
        <v>2</v>
      </c>
      <c r="W68">
        <v>2</v>
      </c>
      <c r="X68">
        <v>1</v>
      </c>
      <c r="Y68">
        <v>1</v>
      </c>
      <c r="Z68">
        <v>6</v>
      </c>
      <c r="AA68">
        <v>7</v>
      </c>
      <c r="AB68">
        <v>2</v>
      </c>
      <c r="AC68">
        <v>0</v>
      </c>
      <c r="AD68">
        <v>1</v>
      </c>
      <c r="AE68">
        <v>2</v>
      </c>
      <c r="AF68">
        <v>2</v>
      </c>
      <c r="AG68">
        <v>7</v>
      </c>
      <c r="AH68">
        <v>3.3</v>
      </c>
      <c r="AI68">
        <v>-22</v>
      </c>
    </row>
    <row r="69" spans="1:35" ht="21" x14ac:dyDescent="0.3">
      <c r="A69" s="12" t="s">
        <v>562</v>
      </c>
      <c r="B69" s="11">
        <v>67</v>
      </c>
      <c r="C69">
        <v>175</v>
      </c>
      <c r="D69">
        <v>68</v>
      </c>
      <c r="E69" s="4">
        <v>44629</v>
      </c>
      <c r="F69" t="s">
        <v>64</v>
      </c>
      <c r="H69" t="s">
        <v>155</v>
      </c>
      <c r="I69" t="s">
        <v>309</v>
      </c>
      <c r="K69" s="9">
        <v>1.2215277777777778</v>
      </c>
      <c r="L69">
        <v>3</v>
      </c>
      <c r="M69">
        <v>6</v>
      </c>
      <c r="N69">
        <v>0.5</v>
      </c>
      <c r="O69">
        <v>1</v>
      </c>
      <c r="P69">
        <v>1</v>
      </c>
      <c r="Q69">
        <v>1</v>
      </c>
      <c r="R69">
        <v>2</v>
      </c>
      <c r="S69">
        <v>5</v>
      </c>
      <c r="T69">
        <v>0.4</v>
      </c>
      <c r="U69">
        <v>0.58299999999999996</v>
      </c>
      <c r="V69">
        <v>2</v>
      </c>
      <c r="W69">
        <v>2</v>
      </c>
      <c r="X69">
        <v>1</v>
      </c>
      <c r="Y69">
        <v>2</v>
      </c>
      <c r="Z69">
        <v>7</v>
      </c>
      <c r="AA69">
        <v>9</v>
      </c>
      <c r="AB69">
        <v>3</v>
      </c>
      <c r="AC69">
        <v>1</v>
      </c>
      <c r="AD69">
        <v>2</v>
      </c>
      <c r="AE69">
        <v>3</v>
      </c>
      <c r="AF69">
        <v>0</v>
      </c>
      <c r="AG69">
        <v>9</v>
      </c>
      <c r="AH69">
        <v>11</v>
      </c>
      <c r="AI69">
        <v>18</v>
      </c>
    </row>
    <row r="70" spans="1:35" ht="21" x14ac:dyDescent="0.3">
      <c r="A70" s="12" t="s">
        <v>562</v>
      </c>
      <c r="B70" s="11">
        <v>68</v>
      </c>
      <c r="C70">
        <v>176</v>
      </c>
      <c r="D70">
        <v>69</v>
      </c>
      <c r="E70" s="4">
        <v>44631</v>
      </c>
      <c r="F70" t="s">
        <v>64</v>
      </c>
      <c r="G70" t="s">
        <v>37</v>
      </c>
      <c r="H70" t="s">
        <v>78</v>
      </c>
      <c r="I70" t="s">
        <v>423</v>
      </c>
      <c r="K70" s="7">
        <v>0.86527777777777781</v>
      </c>
      <c r="L70">
        <v>3</v>
      </c>
      <c r="M70">
        <v>7</v>
      </c>
      <c r="N70">
        <v>0.42899999999999999</v>
      </c>
      <c r="O70">
        <v>0</v>
      </c>
      <c r="P70">
        <v>3</v>
      </c>
      <c r="Q70">
        <v>0</v>
      </c>
      <c r="R70">
        <v>3</v>
      </c>
      <c r="S70">
        <v>4</v>
      </c>
      <c r="T70">
        <v>0.75</v>
      </c>
      <c r="U70">
        <v>0.42899999999999999</v>
      </c>
      <c r="V70">
        <v>0</v>
      </c>
      <c r="W70">
        <v>0</v>
      </c>
      <c r="Y70">
        <v>0</v>
      </c>
      <c r="Z70">
        <v>4</v>
      </c>
      <c r="AA70">
        <v>4</v>
      </c>
      <c r="AB70">
        <v>1</v>
      </c>
      <c r="AC70">
        <v>0</v>
      </c>
      <c r="AD70">
        <v>0</v>
      </c>
      <c r="AE70">
        <v>0</v>
      </c>
      <c r="AF70">
        <v>3</v>
      </c>
      <c r="AG70">
        <v>6</v>
      </c>
      <c r="AH70">
        <v>3</v>
      </c>
      <c r="AI70">
        <v>0</v>
      </c>
    </row>
    <row r="71" spans="1:35" ht="21" x14ac:dyDescent="0.3">
      <c r="A71" s="12" t="s">
        <v>562</v>
      </c>
      <c r="B71" s="11">
        <v>69</v>
      </c>
      <c r="C71">
        <v>177</v>
      </c>
      <c r="D71">
        <v>70</v>
      </c>
      <c r="E71" s="4">
        <v>44633</v>
      </c>
      <c r="F71" t="s">
        <v>64</v>
      </c>
      <c r="G71" t="s">
        <v>37</v>
      </c>
      <c r="H71" t="s">
        <v>89</v>
      </c>
      <c r="I71" t="s">
        <v>424</v>
      </c>
      <c r="K71" s="7">
        <v>0.97013888888888888</v>
      </c>
      <c r="L71">
        <v>2</v>
      </c>
      <c r="M71">
        <v>3</v>
      </c>
      <c r="N71">
        <v>0.66700000000000004</v>
      </c>
      <c r="O71">
        <v>0</v>
      </c>
      <c r="P71">
        <v>0</v>
      </c>
      <c r="R71">
        <v>2</v>
      </c>
      <c r="S71">
        <v>3</v>
      </c>
      <c r="T71">
        <v>0.66700000000000004</v>
      </c>
      <c r="U71">
        <v>0.66700000000000004</v>
      </c>
      <c r="V71">
        <v>2</v>
      </c>
      <c r="W71">
        <v>2</v>
      </c>
      <c r="X71">
        <v>1</v>
      </c>
      <c r="Y71">
        <v>1</v>
      </c>
      <c r="Z71">
        <v>3</v>
      </c>
      <c r="AA71">
        <v>4</v>
      </c>
      <c r="AB71">
        <v>2</v>
      </c>
      <c r="AC71">
        <v>1</v>
      </c>
      <c r="AD71">
        <v>0</v>
      </c>
      <c r="AE71">
        <v>0</v>
      </c>
      <c r="AF71">
        <v>3</v>
      </c>
      <c r="AG71">
        <v>6</v>
      </c>
      <c r="AH71">
        <v>7.5</v>
      </c>
      <c r="AI71">
        <v>-8</v>
      </c>
    </row>
    <row r="72" spans="1:35" ht="21" x14ac:dyDescent="0.3">
      <c r="A72" s="12" t="s">
        <v>562</v>
      </c>
      <c r="B72" s="11">
        <v>70</v>
      </c>
      <c r="C72">
        <v>178</v>
      </c>
      <c r="D72">
        <v>71</v>
      </c>
      <c r="E72" s="4">
        <v>44634</v>
      </c>
      <c r="F72" t="s">
        <v>64</v>
      </c>
      <c r="G72" t="s">
        <v>37</v>
      </c>
      <c r="H72" t="s">
        <v>87</v>
      </c>
      <c r="I72" t="s">
        <v>425</v>
      </c>
      <c r="J72" t="s">
        <v>41</v>
      </c>
      <c r="K72" s="9">
        <v>1.8687499999999999</v>
      </c>
      <c r="L72">
        <v>7</v>
      </c>
      <c r="M72">
        <v>21</v>
      </c>
      <c r="N72">
        <v>0.33300000000000002</v>
      </c>
      <c r="O72">
        <v>2</v>
      </c>
      <c r="P72">
        <v>7</v>
      </c>
      <c r="Q72">
        <v>0.28599999999999998</v>
      </c>
      <c r="R72">
        <v>5</v>
      </c>
      <c r="S72">
        <v>14</v>
      </c>
      <c r="T72">
        <v>0.35699999999999998</v>
      </c>
      <c r="U72">
        <v>0.38100000000000001</v>
      </c>
      <c r="V72">
        <v>2</v>
      </c>
      <c r="W72">
        <v>4</v>
      </c>
      <c r="X72">
        <v>0.5</v>
      </c>
      <c r="Y72">
        <v>1</v>
      </c>
      <c r="Z72">
        <v>9</v>
      </c>
      <c r="AA72">
        <v>10</v>
      </c>
      <c r="AB72">
        <v>4</v>
      </c>
      <c r="AC72">
        <v>1</v>
      </c>
      <c r="AD72">
        <v>2</v>
      </c>
      <c r="AE72">
        <v>0</v>
      </c>
      <c r="AF72">
        <v>3</v>
      </c>
      <c r="AG72">
        <v>18</v>
      </c>
      <c r="AH72">
        <v>12.7</v>
      </c>
      <c r="AI72">
        <v>-8</v>
      </c>
    </row>
    <row r="73" spans="1:35" ht="21" x14ac:dyDescent="0.3">
      <c r="A73" s="12" t="s">
        <v>562</v>
      </c>
      <c r="B73" s="11">
        <v>71</v>
      </c>
      <c r="C73">
        <v>179</v>
      </c>
      <c r="D73">
        <v>72</v>
      </c>
      <c r="E73" s="4">
        <v>44636</v>
      </c>
      <c r="F73" t="s">
        <v>64</v>
      </c>
      <c r="H73" t="s">
        <v>92</v>
      </c>
      <c r="I73" t="s">
        <v>393</v>
      </c>
      <c r="K73" s="9">
        <v>1.2597222222222222</v>
      </c>
      <c r="L73">
        <v>6</v>
      </c>
      <c r="M73">
        <v>11</v>
      </c>
      <c r="N73">
        <v>0.54500000000000004</v>
      </c>
      <c r="O73">
        <v>2</v>
      </c>
      <c r="P73">
        <v>5</v>
      </c>
      <c r="Q73">
        <v>0.4</v>
      </c>
      <c r="R73">
        <v>4</v>
      </c>
      <c r="S73">
        <v>6</v>
      </c>
      <c r="T73">
        <v>0.66700000000000004</v>
      </c>
      <c r="U73">
        <v>0.63600000000000001</v>
      </c>
      <c r="V73">
        <v>2</v>
      </c>
      <c r="W73">
        <v>2</v>
      </c>
      <c r="X73">
        <v>1</v>
      </c>
      <c r="Y73">
        <v>4</v>
      </c>
      <c r="Z73">
        <v>5</v>
      </c>
      <c r="AA73">
        <v>9</v>
      </c>
      <c r="AB73">
        <v>4</v>
      </c>
      <c r="AC73">
        <v>1</v>
      </c>
      <c r="AD73">
        <v>0</v>
      </c>
      <c r="AE73">
        <v>1</v>
      </c>
      <c r="AF73">
        <v>3</v>
      </c>
      <c r="AG73">
        <v>16</v>
      </c>
      <c r="AH73">
        <v>16.600000000000001</v>
      </c>
      <c r="AI73">
        <v>1</v>
      </c>
    </row>
    <row r="74" spans="1:35" ht="21" x14ac:dyDescent="0.3">
      <c r="A74" s="12" t="s">
        <v>562</v>
      </c>
      <c r="B74" s="11">
        <v>72</v>
      </c>
      <c r="C74">
        <v>180</v>
      </c>
      <c r="D74">
        <v>73</v>
      </c>
      <c r="E74" s="4">
        <v>44638</v>
      </c>
      <c r="F74" t="s">
        <v>64</v>
      </c>
      <c r="G74" t="s">
        <v>37</v>
      </c>
      <c r="H74" t="s">
        <v>118</v>
      </c>
      <c r="I74" t="s">
        <v>426</v>
      </c>
      <c r="K74" s="9">
        <v>1.1312500000000001</v>
      </c>
      <c r="L74">
        <v>4</v>
      </c>
      <c r="M74">
        <v>10</v>
      </c>
      <c r="N74">
        <v>0.4</v>
      </c>
      <c r="O74">
        <v>2</v>
      </c>
      <c r="P74">
        <v>5</v>
      </c>
      <c r="Q74">
        <v>0.4</v>
      </c>
      <c r="R74">
        <v>2</v>
      </c>
      <c r="S74">
        <v>5</v>
      </c>
      <c r="T74">
        <v>0.4</v>
      </c>
      <c r="U74">
        <v>0.5</v>
      </c>
      <c r="V74">
        <v>4</v>
      </c>
      <c r="W74">
        <v>4</v>
      </c>
      <c r="X74">
        <v>1</v>
      </c>
      <c r="Y74">
        <v>0</v>
      </c>
      <c r="Z74">
        <v>2</v>
      </c>
      <c r="AA74">
        <v>2</v>
      </c>
      <c r="AB74">
        <v>6</v>
      </c>
      <c r="AC74">
        <v>1</v>
      </c>
      <c r="AD74">
        <v>0</v>
      </c>
      <c r="AE74">
        <v>3</v>
      </c>
      <c r="AF74">
        <v>2</v>
      </c>
      <c r="AG74">
        <v>14</v>
      </c>
      <c r="AH74">
        <v>10.6</v>
      </c>
      <c r="AI74">
        <v>-4</v>
      </c>
    </row>
    <row r="75" spans="1:35" ht="21" x14ac:dyDescent="0.3">
      <c r="A75" s="12" t="s">
        <v>562</v>
      </c>
      <c r="B75" s="11">
        <v>73</v>
      </c>
      <c r="C75">
        <v>181</v>
      </c>
      <c r="D75">
        <v>74</v>
      </c>
      <c r="E75" s="4">
        <v>44642</v>
      </c>
      <c r="F75" t="s">
        <v>64</v>
      </c>
      <c r="G75" t="s">
        <v>37</v>
      </c>
      <c r="H75" t="s">
        <v>34</v>
      </c>
      <c r="I75" t="s">
        <v>427</v>
      </c>
      <c r="K75" s="9">
        <v>1.4743055555555555</v>
      </c>
      <c r="L75">
        <v>7</v>
      </c>
      <c r="M75">
        <v>10</v>
      </c>
      <c r="N75">
        <v>0.7</v>
      </c>
      <c r="O75">
        <v>0</v>
      </c>
      <c r="P75">
        <v>2</v>
      </c>
      <c r="Q75">
        <v>0</v>
      </c>
      <c r="R75">
        <v>7</v>
      </c>
      <c r="S75">
        <v>8</v>
      </c>
      <c r="T75">
        <v>0.875</v>
      </c>
      <c r="U75">
        <v>0.7</v>
      </c>
      <c r="V75">
        <v>10</v>
      </c>
      <c r="W75">
        <v>12</v>
      </c>
      <c r="X75">
        <v>0.83299999999999996</v>
      </c>
      <c r="Y75">
        <v>3</v>
      </c>
      <c r="Z75">
        <v>5</v>
      </c>
      <c r="AA75">
        <v>8</v>
      </c>
      <c r="AB75">
        <v>4</v>
      </c>
      <c r="AC75">
        <v>0</v>
      </c>
      <c r="AD75">
        <v>1</v>
      </c>
      <c r="AE75">
        <v>0</v>
      </c>
      <c r="AF75">
        <v>0</v>
      </c>
      <c r="AG75">
        <v>24</v>
      </c>
      <c r="AH75">
        <v>26.1</v>
      </c>
      <c r="AI75">
        <v>-5</v>
      </c>
    </row>
    <row r="76" spans="1:35" ht="21" x14ac:dyDescent="0.3">
      <c r="A76" s="12" t="s">
        <v>562</v>
      </c>
      <c r="B76" s="11">
        <v>74</v>
      </c>
      <c r="C76">
        <v>182</v>
      </c>
      <c r="D76">
        <v>75</v>
      </c>
      <c r="E76" s="4">
        <v>44645</v>
      </c>
      <c r="F76" t="s">
        <v>64</v>
      </c>
      <c r="H76" t="s">
        <v>94</v>
      </c>
      <c r="I76" t="s">
        <v>428</v>
      </c>
      <c r="K76" s="7">
        <v>0.93888888888888888</v>
      </c>
      <c r="L76">
        <v>3</v>
      </c>
      <c r="M76">
        <v>7</v>
      </c>
      <c r="N76">
        <v>0.42899999999999999</v>
      </c>
      <c r="O76">
        <v>0</v>
      </c>
      <c r="P76">
        <v>0</v>
      </c>
      <c r="R76">
        <v>3</v>
      </c>
      <c r="S76">
        <v>7</v>
      </c>
      <c r="T76">
        <v>0.42899999999999999</v>
      </c>
      <c r="U76">
        <v>0.42899999999999999</v>
      </c>
      <c r="V76">
        <v>6</v>
      </c>
      <c r="W76">
        <v>7</v>
      </c>
      <c r="X76">
        <v>0.85699999999999998</v>
      </c>
      <c r="Y76">
        <v>1</v>
      </c>
      <c r="Z76">
        <v>1</v>
      </c>
      <c r="AA76">
        <v>2</v>
      </c>
      <c r="AB76">
        <v>2</v>
      </c>
      <c r="AC76">
        <v>1</v>
      </c>
      <c r="AD76">
        <v>0</v>
      </c>
      <c r="AE76">
        <v>2</v>
      </c>
      <c r="AF76">
        <v>4</v>
      </c>
      <c r="AG76">
        <v>12</v>
      </c>
      <c r="AH76">
        <v>7.7</v>
      </c>
      <c r="AI76">
        <v>-7</v>
      </c>
    </row>
    <row r="77" spans="1:35" ht="21" x14ac:dyDescent="0.3">
      <c r="A77" s="12" t="s">
        <v>562</v>
      </c>
      <c r="B77" s="11">
        <v>75</v>
      </c>
      <c r="C77">
        <v>183</v>
      </c>
      <c r="D77">
        <v>76</v>
      </c>
      <c r="E77" s="4">
        <v>44649</v>
      </c>
      <c r="F77" t="s">
        <v>64</v>
      </c>
      <c r="H77" t="s">
        <v>118</v>
      </c>
      <c r="I77" t="s">
        <v>429</v>
      </c>
      <c r="K77" s="7">
        <v>0.94444444444444442</v>
      </c>
      <c r="L77">
        <v>3</v>
      </c>
      <c r="M77">
        <v>4</v>
      </c>
      <c r="N77">
        <v>0.75</v>
      </c>
      <c r="O77">
        <v>0</v>
      </c>
      <c r="P77">
        <v>1</v>
      </c>
      <c r="Q77">
        <v>0</v>
      </c>
      <c r="R77">
        <v>3</v>
      </c>
      <c r="S77">
        <v>3</v>
      </c>
      <c r="T77">
        <v>1</v>
      </c>
      <c r="U77">
        <v>0.75</v>
      </c>
      <c r="V77">
        <v>2</v>
      </c>
      <c r="W77">
        <v>2</v>
      </c>
      <c r="X77">
        <v>1</v>
      </c>
      <c r="Y77">
        <v>2</v>
      </c>
      <c r="Z77">
        <v>0</v>
      </c>
      <c r="AA77">
        <v>2</v>
      </c>
      <c r="AB77">
        <v>3</v>
      </c>
      <c r="AC77">
        <v>0</v>
      </c>
      <c r="AD77">
        <v>1</v>
      </c>
      <c r="AE77">
        <v>0</v>
      </c>
      <c r="AF77">
        <v>3</v>
      </c>
      <c r="AG77">
        <v>8</v>
      </c>
      <c r="AH77">
        <v>9.4</v>
      </c>
      <c r="AI77">
        <v>8</v>
      </c>
    </row>
    <row r="78" spans="1:35" ht="21" x14ac:dyDescent="0.3">
      <c r="A78" s="12" t="s">
        <v>562</v>
      </c>
      <c r="B78" s="11">
        <v>76</v>
      </c>
      <c r="C78">
        <v>184</v>
      </c>
      <c r="D78">
        <v>77</v>
      </c>
      <c r="E78" s="4">
        <v>44651</v>
      </c>
      <c r="F78" t="s">
        <v>64</v>
      </c>
      <c r="G78" t="s">
        <v>37</v>
      </c>
      <c r="H78" t="s">
        <v>82</v>
      </c>
      <c r="I78" t="s">
        <v>430</v>
      </c>
      <c r="K78" s="7">
        <v>0.82986111111111116</v>
      </c>
      <c r="L78">
        <v>2</v>
      </c>
      <c r="M78">
        <v>4</v>
      </c>
      <c r="N78">
        <v>0.5</v>
      </c>
      <c r="O78">
        <v>0</v>
      </c>
      <c r="P78">
        <v>1</v>
      </c>
      <c r="Q78">
        <v>0</v>
      </c>
      <c r="R78">
        <v>2</v>
      </c>
      <c r="S78">
        <v>3</v>
      </c>
      <c r="T78">
        <v>0.66700000000000004</v>
      </c>
      <c r="U78">
        <v>0.5</v>
      </c>
      <c r="V78">
        <v>0</v>
      </c>
      <c r="W78">
        <v>0</v>
      </c>
      <c r="Y78">
        <v>0</v>
      </c>
      <c r="Z78">
        <v>3</v>
      </c>
      <c r="AA78">
        <v>3</v>
      </c>
      <c r="AB78">
        <v>2</v>
      </c>
      <c r="AC78">
        <v>0</v>
      </c>
      <c r="AD78">
        <v>0</v>
      </c>
      <c r="AE78">
        <v>1</v>
      </c>
      <c r="AF78">
        <v>2</v>
      </c>
      <c r="AG78">
        <v>4</v>
      </c>
      <c r="AH78">
        <v>2.5</v>
      </c>
      <c r="AI78">
        <v>-2</v>
      </c>
    </row>
    <row r="79" spans="1:35" ht="21" x14ac:dyDescent="0.3">
      <c r="A79" s="12" t="s">
        <v>562</v>
      </c>
      <c r="B79" s="11">
        <v>77</v>
      </c>
      <c r="C79">
        <v>185</v>
      </c>
      <c r="D79">
        <v>78</v>
      </c>
      <c r="E79" s="4">
        <v>44652</v>
      </c>
      <c r="F79" t="s">
        <v>64</v>
      </c>
      <c r="G79" t="s">
        <v>37</v>
      </c>
      <c r="H79" t="s">
        <v>126</v>
      </c>
      <c r="I79" t="s">
        <v>431</v>
      </c>
      <c r="J79" t="s">
        <v>41</v>
      </c>
      <c r="K79" s="9">
        <v>1.3222222222222222</v>
      </c>
      <c r="L79">
        <v>7</v>
      </c>
      <c r="M79">
        <v>12</v>
      </c>
      <c r="N79">
        <v>0.58299999999999996</v>
      </c>
      <c r="O79">
        <v>1</v>
      </c>
      <c r="P79">
        <v>2</v>
      </c>
      <c r="Q79">
        <v>0.5</v>
      </c>
      <c r="R79">
        <v>6</v>
      </c>
      <c r="S79">
        <v>10</v>
      </c>
      <c r="T79">
        <v>0.6</v>
      </c>
      <c r="U79">
        <v>0.625</v>
      </c>
      <c r="V79">
        <v>3</v>
      </c>
      <c r="W79">
        <v>5</v>
      </c>
      <c r="X79">
        <v>0.6</v>
      </c>
      <c r="Y79">
        <v>1</v>
      </c>
      <c r="Z79">
        <v>2</v>
      </c>
      <c r="AA79">
        <v>3</v>
      </c>
      <c r="AB79">
        <v>5</v>
      </c>
      <c r="AC79">
        <v>0</v>
      </c>
      <c r="AD79">
        <v>1</v>
      </c>
      <c r="AE79">
        <v>3</v>
      </c>
      <c r="AF79">
        <v>1</v>
      </c>
      <c r="AG79">
        <v>18</v>
      </c>
      <c r="AH79">
        <v>13.7</v>
      </c>
      <c r="AI79">
        <v>32</v>
      </c>
    </row>
    <row r="80" spans="1:35" ht="21" x14ac:dyDescent="0.3">
      <c r="A80" s="12" t="s">
        <v>562</v>
      </c>
      <c r="B80" s="11">
        <v>78</v>
      </c>
      <c r="C80">
        <v>186</v>
      </c>
      <c r="D80">
        <v>79</v>
      </c>
      <c r="E80" s="4">
        <v>44654</v>
      </c>
      <c r="F80" t="s">
        <v>64</v>
      </c>
      <c r="H80" t="s">
        <v>74</v>
      </c>
      <c r="I80" t="s">
        <v>432</v>
      </c>
      <c r="K80" s="9">
        <v>1.2152777777777777</v>
      </c>
      <c r="L80">
        <v>7</v>
      </c>
      <c r="M80">
        <v>12</v>
      </c>
      <c r="N80">
        <v>0.58299999999999996</v>
      </c>
      <c r="O80">
        <v>1</v>
      </c>
      <c r="P80">
        <v>2</v>
      </c>
      <c r="Q80">
        <v>0.5</v>
      </c>
      <c r="R80">
        <v>6</v>
      </c>
      <c r="S80">
        <v>10</v>
      </c>
      <c r="T80">
        <v>0.6</v>
      </c>
      <c r="U80">
        <v>0.625</v>
      </c>
      <c r="V80">
        <v>0</v>
      </c>
      <c r="W80">
        <v>0</v>
      </c>
      <c r="Y80">
        <v>2</v>
      </c>
      <c r="Z80">
        <v>1</v>
      </c>
      <c r="AA80">
        <v>3</v>
      </c>
      <c r="AB80">
        <v>3</v>
      </c>
      <c r="AC80">
        <v>0</v>
      </c>
      <c r="AD80">
        <v>0</v>
      </c>
      <c r="AE80">
        <v>1</v>
      </c>
      <c r="AF80">
        <v>1</v>
      </c>
      <c r="AG80">
        <v>15</v>
      </c>
      <c r="AH80">
        <v>11.8</v>
      </c>
      <c r="AI80">
        <v>16</v>
      </c>
    </row>
    <row r="81" spans="1:35" ht="21" x14ac:dyDescent="0.3">
      <c r="A81" s="12" t="s">
        <v>562</v>
      </c>
      <c r="B81" s="11">
        <v>79</v>
      </c>
      <c r="C81">
        <v>187</v>
      </c>
      <c r="D81">
        <v>80</v>
      </c>
      <c r="E81" s="4">
        <v>44657</v>
      </c>
      <c r="F81" t="s">
        <v>64</v>
      </c>
      <c r="H81" t="s">
        <v>99</v>
      </c>
      <c r="I81" t="s">
        <v>433</v>
      </c>
      <c r="K81" s="9">
        <v>1.0756944444444445</v>
      </c>
      <c r="L81">
        <v>3</v>
      </c>
      <c r="M81">
        <v>6</v>
      </c>
      <c r="N81">
        <v>0.5</v>
      </c>
      <c r="O81">
        <v>1</v>
      </c>
      <c r="P81">
        <v>1</v>
      </c>
      <c r="Q81">
        <v>1</v>
      </c>
      <c r="R81">
        <v>2</v>
      </c>
      <c r="S81">
        <v>5</v>
      </c>
      <c r="T81">
        <v>0.4</v>
      </c>
      <c r="U81">
        <v>0.58299999999999996</v>
      </c>
      <c r="V81">
        <v>3</v>
      </c>
      <c r="W81">
        <v>4</v>
      </c>
      <c r="X81">
        <v>0.75</v>
      </c>
      <c r="Y81">
        <v>1</v>
      </c>
      <c r="Z81">
        <v>3</v>
      </c>
      <c r="AA81">
        <v>4</v>
      </c>
      <c r="AB81">
        <v>2</v>
      </c>
      <c r="AC81">
        <v>0</v>
      </c>
      <c r="AD81">
        <v>1</v>
      </c>
      <c r="AE81">
        <v>2</v>
      </c>
      <c r="AF81">
        <v>1</v>
      </c>
      <c r="AG81">
        <v>10</v>
      </c>
      <c r="AH81">
        <v>7.9</v>
      </c>
      <c r="AI81">
        <v>-11</v>
      </c>
    </row>
    <row r="82" spans="1:35" ht="21" x14ac:dyDescent="0.3">
      <c r="A82" s="12" t="s">
        <v>562</v>
      </c>
      <c r="B82" s="11">
        <v>80</v>
      </c>
      <c r="C82">
        <v>188</v>
      </c>
      <c r="D82">
        <v>81</v>
      </c>
      <c r="E82" s="4">
        <v>44660</v>
      </c>
      <c r="F82" t="s">
        <v>64</v>
      </c>
      <c r="H82" t="s">
        <v>66</v>
      </c>
      <c r="I82" t="s">
        <v>434</v>
      </c>
      <c r="K82" s="7">
        <v>0.65138888888888891</v>
      </c>
      <c r="L82">
        <v>2</v>
      </c>
      <c r="M82">
        <v>7</v>
      </c>
      <c r="N82">
        <v>0.28599999999999998</v>
      </c>
      <c r="O82">
        <v>1</v>
      </c>
      <c r="P82">
        <v>3</v>
      </c>
      <c r="Q82">
        <v>0.33300000000000002</v>
      </c>
      <c r="R82">
        <v>1</v>
      </c>
      <c r="S82">
        <v>4</v>
      </c>
      <c r="T82">
        <v>0.25</v>
      </c>
      <c r="U82">
        <v>0.35699999999999998</v>
      </c>
      <c r="V82">
        <v>0</v>
      </c>
      <c r="W82">
        <v>0</v>
      </c>
      <c r="Y82">
        <v>0</v>
      </c>
      <c r="Z82">
        <v>1</v>
      </c>
      <c r="AA82">
        <v>1</v>
      </c>
      <c r="AB82">
        <v>2</v>
      </c>
      <c r="AC82">
        <v>0</v>
      </c>
      <c r="AD82">
        <v>0</v>
      </c>
      <c r="AE82">
        <v>0</v>
      </c>
      <c r="AF82">
        <v>4</v>
      </c>
      <c r="AG82">
        <v>5</v>
      </c>
      <c r="AH82">
        <v>1</v>
      </c>
      <c r="AI82">
        <v>2</v>
      </c>
    </row>
    <row r="83" spans="1:35" ht="21" x14ac:dyDescent="0.3">
      <c r="A83" s="12" t="s">
        <v>562</v>
      </c>
      <c r="B83" s="11">
        <v>81</v>
      </c>
      <c r="C83">
        <v>189</v>
      </c>
      <c r="D83">
        <v>82</v>
      </c>
      <c r="E83" s="4">
        <v>44661</v>
      </c>
      <c r="F83" t="s">
        <v>64</v>
      </c>
      <c r="H83" t="s">
        <v>68</v>
      </c>
      <c r="I83" t="s">
        <v>435</v>
      </c>
      <c r="J83" t="s">
        <v>41</v>
      </c>
      <c r="K83" s="9">
        <v>1.0152777777777777</v>
      </c>
      <c r="L83">
        <v>4</v>
      </c>
      <c r="M83">
        <v>7</v>
      </c>
      <c r="N83">
        <v>0.57099999999999995</v>
      </c>
      <c r="O83">
        <v>1</v>
      </c>
      <c r="P83">
        <v>2</v>
      </c>
      <c r="Q83">
        <v>0.5</v>
      </c>
      <c r="R83">
        <v>3</v>
      </c>
      <c r="S83">
        <v>5</v>
      </c>
      <c r="T83">
        <v>0.6</v>
      </c>
      <c r="U83">
        <v>0.64300000000000002</v>
      </c>
      <c r="V83">
        <v>1</v>
      </c>
      <c r="W83">
        <v>1</v>
      </c>
      <c r="X83">
        <v>1</v>
      </c>
      <c r="Y83">
        <v>0</v>
      </c>
      <c r="Z83">
        <v>5</v>
      </c>
      <c r="AA83">
        <v>5</v>
      </c>
      <c r="AB83">
        <v>3</v>
      </c>
      <c r="AC83">
        <v>0</v>
      </c>
      <c r="AD83">
        <v>2</v>
      </c>
      <c r="AE83">
        <v>1</v>
      </c>
      <c r="AF83">
        <v>0</v>
      </c>
      <c r="AG83">
        <v>10</v>
      </c>
      <c r="AH83">
        <v>10.7</v>
      </c>
      <c r="AI83">
        <v>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5D30-1555-9745-870C-EB641EA32CF3}">
  <dimension ref="A1:F1646"/>
  <sheetViews>
    <sheetView tabSelected="1" topLeftCell="A654" zoomScale="235" workbookViewId="0">
      <selection activeCell="D659" sqref="D659"/>
    </sheetView>
  </sheetViews>
  <sheetFormatPr baseColWidth="10" defaultRowHeight="16" x14ac:dyDescent="0.2"/>
  <sheetData>
    <row r="1" spans="1:6" x14ac:dyDescent="0.2">
      <c r="A1" t="s">
        <v>544</v>
      </c>
      <c r="B1" t="s">
        <v>3</v>
      </c>
      <c r="C1" t="s">
        <v>31</v>
      </c>
      <c r="D1" t="s">
        <v>5</v>
      </c>
      <c r="E1" t="s">
        <v>575</v>
      </c>
      <c r="F1" t="s">
        <v>581</v>
      </c>
    </row>
    <row r="2" spans="1:6" x14ac:dyDescent="0.2">
      <c r="A2" t="s">
        <v>545</v>
      </c>
      <c r="B2" s="4">
        <v>44488</v>
      </c>
      <c r="C2" t="s">
        <v>91</v>
      </c>
      <c r="D2" t="s">
        <v>62</v>
      </c>
      <c r="E2">
        <f>_xlfn.XLOOKUP(D2,Worksheet!$C$3:$C$32,Worksheet!$M$3:$M$32)</f>
        <v>113.3</v>
      </c>
      <c r="F2" s="19">
        <f>_xlfn.XLOOKUP(D2,Worksheet!$C$3:$C$32,Worksheet!$S$3:$S$32)</f>
        <v>0.40243902439024393</v>
      </c>
    </row>
    <row r="3" spans="1:6" x14ac:dyDescent="0.2">
      <c r="A3" t="s">
        <v>545</v>
      </c>
      <c r="B3" s="4">
        <v>44490</v>
      </c>
      <c r="C3" t="s">
        <v>91</v>
      </c>
      <c r="D3" t="s">
        <v>64</v>
      </c>
      <c r="E3">
        <f>_xlfn.XLOOKUP(D3,Worksheet!$C$3:$C$32,Worksheet!$M$3:$M$32)</f>
        <v>110.1</v>
      </c>
      <c r="F3" s="19">
        <f>_xlfn.XLOOKUP(D3,Worksheet!$C$3:$C$32,Worksheet!$S$3:$S$32)</f>
        <v>0.51219512195121952</v>
      </c>
    </row>
    <row r="4" spans="1:6" x14ac:dyDescent="0.2">
      <c r="A4" t="s">
        <v>545</v>
      </c>
      <c r="B4" s="4">
        <v>44493</v>
      </c>
      <c r="C4" t="s">
        <v>91</v>
      </c>
      <c r="D4" t="s">
        <v>66</v>
      </c>
      <c r="E4">
        <f>_xlfn.XLOOKUP(D4,Worksheet!$C$3:$C$32,Worksheet!$M$3:$M$32)</f>
        <v>115.3</v>
      </c>
      <c r="F4" s="19">
        <f>_xlfn.XLOOKUP(D4,Worksheet!$C$3:$C$32,Worksheet!$S$3:$S$32)</f>
        <v>0.36585365853658536</v>
      </c>
    </row>
    <row r="5" spans="1:6" x14ac:dyDescent="0.2">
      <c r="A5" t="s">
        <v>545</v>
      </c>
      <c r="B5" s="4">
        <v>44495</v>
      </c>
      <c r="C5" t="s">
        <v>91</v>
      </c>
      <c r="D5" t="s">
        <v>68</v>
      </c>
      <c r="E5">
        <f>_xlfn.XLOOKUP(D5,Worksheet!$C$3:$C$32,Worksheet!$M$3:$M$32)</f>
        <v>112.8</v>
      </c>
      <c r="F5" s="19">
        <f>_xlfn.XLOOKUP(D5,Worksheet!$C$3:$C$32,Worksheet!$S$3:$S$32)</f>
        <v>0.29268292682926828</v>
      </c>
    </row>
    <row r="6" spans="1:6" x14ac:dyDescent="0.2">
      <c r="A6" t="s">
        <v>545</v>
      </c>
      <c r="B6" s="4">
        <v>44497</v>
      </c>
      <c r="C6" t="s">
        <v>91</v>
      </c>
      <c r="D6" t="s">
        <v>42</v>
      </c>
      <c r="E6">
        <f>_xlfn.XLOOKUP(D6,Worksheet!$C$3:$C$32,Worksheet!$M$3:$M$32)</f>
        <v>109</v>
      </c>
      <c r="F6" s="19">
        <f>_xlfn.XLOOKUP(D6,Worksheet!$C$3:$C$32,Worksheet!$S$3:$S$32)</f>
        <v>0.68292682926829273</v>
      </c>
    </row>
    <row r="7" spans="1:6" x14ac:dyDescent="0.2">
      <c r="A7" t="s">
        <v>545</v>
      </c>
      <c r="B7" s="4">
        <v>44499</v>
      </c>
      <c r="C7" t="s">
        <v>91</v>
      </c>
      <c r="D7" t="s">
        <v>68</v>
      </c>
      <c r="E7">
        <f>_xlfn.XLOOKUP(D7,Worksheet!$C$3:$C$32,Worksheet!$M$3:$M$32)</f>
        <v>112.8</v>
      </c>
      <c r="F7" s="19">
        <f>_xlfn.XLOOKUP(D7,Worksheet!$C$3:$C$32,Worksheet!$S$3:$S$32)</f>
        <v>0.29268292682926828</v>
      </c>
    </row>
    <row r="8" spans="1:6" x14ac:dyDescent="0.2">
      <c r="A8" t="s">
        <v>545</v>
      </c>
      <c r="B8" s="4">
        <v>44503</v>
      </c>
      <c r="C8" t="s">
        <v>91</v>
      </c>
      <c r="D8" t="s">
        <v>72</v>
      </c>
      <c r="E8">
        <f>_xlfn.XLOOKUP(D8,Worksheet!$C$3:$C$32,Worksheet!$M$3:$M$32)</f>
        <v>113.7</v>
      </c>
      <c r="F8" s="19">
        <f>_xlfn.XLOOKUP(D8,Worksheet!$C$3:$C$32,Worksheet!$S$3:$S$32)</f>
        <v>0.52439024390243905</v>
      </c>
    </row>
    <row r="9" spans="1:6" x14ac:dyDescent="0.2">
      <c r="A9" t="s">
        <v>545</v>
      </c>
      <c r="B9" s="4">
        <v>44505</v>
      </c>
      <c r="C9" t="s">
        <v>91</v>
      </c>
      <c r="D9" t="s">
        <v>74</v>
      </c>
      <c r="E9">
        <f>_xlfn.XLOOKUP(D9,Worksheet!$C$3:$C$32,Worksheet!$M$3:$M$32)</f>
        <v>113</v>
      </c>
      <c r="F9" s="19">
        <f>_xlfn.XLOOKUP(D9,Worksheet!$C$3:$C$32,Worksheet!$S$3:$S$32)</f>
        <v>0.43902439024390244</v>
      </c>
    </row>
    <row r="10" spans="1:6" x14ac:dyDescent="0.2">
      <c r="A10" t="s">
        <v>545</v>
      </c>
      <c r="B10" s="4">
        <v>44507</v>
      </c>
      <c r="C10" t="s">
        <v>91</v>
      </c>
      <c r="D10" t="s">
        <v>76</v>
      </c>
      <c r="E10">
        <f>_xlfn.XLOOKUP(D10,Worksheet!$C$3:$C$32,Worksheet!$M$3:$M$32)</f>
        <v>116.7</v>
      </c>
      <c r="F10" s="19">
        <f>_xlfn.XLOOKUP(D10,Worksheet!$C$3:$C$32,Worksheet!$S$3:$S$32)</f>
        <v>0.24390243902439024</v>
      </c>
    </row>
    <row r="11" spans="1:6" x14ac:dyDescent="0.2">
      <c r="A11" t="s">
        <v>545</v>
      </c>
      <c r="B11" s="4">
        <v>44508</v>
      </c>
      <c r="C11" t="s">
        <v>91</v>
      </c>
      <c r="D11" t="s">
        <v>78</v>
      </c>
      <c r="E11">
        <f>_xlfn.XLOOKUP(D11,Worksheet!$C$3:$C$32,Worksheet!$M$3:$M$32)</f>
        <v>114.9</v>
      </c>
      <c r="F11" s="19">
        <f>_xlfn.XLOOKUP(D11,Worksheet!$C$3:$C$32,Worksheet!$S$3:$S$32)</f>
        <v>0.52439024390243905</v>
      </c>
    </row>
    <row r="12" spans="1:6" x14ac:dyDescent="0.2">
      <c r="A12" t="s">
        <v>545</v>
      </c>
      <c r="B12" s="4">
        <v>44510</v>
      </c>
      <c r="C12" t="s">
        <v>91</v>
      </c>
      <c r="D12" t="s">
        <v>80</v>
      </c>
      <c r="E12">
        <f>_xlfn.XLOOKUP(D12,Worksheet!$C$3:$C$32,Worksheet!$M$3:$M$32)</f>
        <v>111.7</v>
      </c>
      <c r="F12" s="19">
        <f>_xlfn.XLOOKUP(D12,Worksheet!$C$3:$C$32,Worksheet!$S$3:$S$32)</f>
        <v>0.56097560975609762</v>
      </c>
    </row>
    <row r="13" spans="1:6" x14ac:dyDescent="0.2">
      <c r="A13" t="s">
        <v>545</v>
      </c>
      <c r="B13" s="4">
        <v>44512</v>
      </c>
      <c r="C13" t="s">
        <v>91</v>
      </c>
      <c r="D13" t="s">
        <v>82</v>
      </c>
      <c r="E13">
        <f>_xlfn.XLOOKUP(D13,Worksheet!$C$3:$C$32,Worksheet!$M$3:$M$32)</f>
        <v>113.6</v>
      </c>
      <c r="F13" s="19">
        <f>_xlfn.XLOOKUP(D13,Worksheet!$C$3:$C$32,Worksheet!$S$3:$S$32)</f>
        <v>0.56097560975609762</v>
      </c>
    </row>
    <row r="14" spans="1:6" x14ac:dyDescent="0.2">
      <c r="A14" t="s">
        <v>545</v>
      </c>
      <c r="B14" s="4">
        <v>44514</v>
      </c>
      <c r="C14" t="s">
        <v>91</v>
      </c>
      <c r="D14" t="s">
        <v>72</v>
      </c>
      <c r="E14">
        <f>_xlfn.XLOOKUP(D14,Worksheet!$C$3:$C$32,Worksheet!$M$3:$M$32)</f>
        <v>113.7</v>
      </c>
      <c r="F14" s="19">
        <f>_xlfn.XLOOKUP(D14,Worksheet!$C$3:$C$32,Worksheet!$S$3:$S$32)</f>
        <v>0.52439024390243905</v>
      </c>
    </row>
    <row r="15" spans="1:6" x14ac:dyDescent="0.2">
      <c r="A15" t="s">
        <v>545</v>
      </c>
      <c r="B15" s="4">
        <v>44516</v>
      </c>
      <c r="C15" t="s">
        <v>91</v>
      </c>
      <c r="D15" t="s">
        <v>85</v>
      </c>
      <c r="E15">
        <f>_xlfn.XLOOKUP(D15,Worksheet!$C$3:$C$32,Worksheet!$M$3:$M$32)</f>
        <v>112.8</v>
      </c>
      <c r="F15" s="19">
        <f>_xlfn.XLOOKUP(D15,Worksheet!$C$3:$C$32,Worksheet!$S$3:$S$32)</f>
        <v>0.53658536585365857</v>
      </c>
    </row>
    <row r="16" spans="1:6" x14ac:dyDescent="0.2">
      <c r="A16" t="s">
        <v>545</v>
      </c>
      <c r="B16" s="4">
        <v>44518</v>
      </c>
      <c r="C16" t="s">
        <v>91</v>
      </c>
      <c r="D16" t="s">
        <v>87</v>
      </c>
      <c r="E16">
        <f>_xlfn.XLOOKUP(D16,Worksheet!$C$3:$C$32,Worksheet!$M$3:$M$32)</f>
        <v>109.7</v>
      </c>
      <c r="F16" s="19">
        <f>_xlfn.XLOOKUP(D16,Worksheet!$C$3:$C$32,Worksheet!$S$3:$S$32)</f>
        <v>0.53658536585365857</v>
      </c>
    </row>
    <row r="17" spans="1:6" x14ac:dyDescent="0.2">
      <c r="A17" t="s">
        <v>545</v>
      </c>
      <c r="B17" s="4">
        <v>44519</v>
      </c>
      <c r="C17" t="s">
        <v>91</v>
      </c>
      <c r="D17" t="s">
        <v>89</v>
      </c>
      <c r="E17">
        <f>_xlfn.XLOOKUP(D17,Worksheet!$C$3:$C$32,Worksheet!$M$3:$M$32)</f>
        <v>113.8</v>
      </c>
      <c r="F17" s="19">
        <f>_xlfn.XLOOKUP(D17,Worksheet!$C$3:$C$32,Worksheet!$S$3:$S$32)</f>
        <v>0.28048780487804881</v>
      </c>
    </row>
    <row r="18" spans="1:6" x14ac:dyDescent="0.2">
      <c r="A18" t="s">
        <v>545</v>
      </c>
      <c r="B18" s="4">
        <v>44521</v>
      </c>
      <c r="C18" t="s">
        <v>91</v>
      </c>
      <c r="D18" t="s">
        <v>92</v>
      </c>
      <c r="E18">
        <f>_xlfn.XLOOKUP(D18,Worksheet!$C$3:$C$32,Worksheet!$M$3:$M$32)</f>
        <v>110.5</v>
      </c>
      <c r="F18" s="19">
        <f>_xlfn.XLOOKUP(D18,Worksheet!$C$3:$C$32,Worksheet!$S$3:$S$32)</f>
        <v>0.58536585365853655</v>
      </c>
    </row>
    <row r="19" spans="1:6" x14ac:dyDescent="0.2">
      <c r="A19" t="s">
        <v>545</v>
      </c>
      <c r="B19" s="4">
        <v>44524</v>
      </c>
      <c r="C19" t="s">
        <v>91</v>
      </c>
      <c r="D19" t="s">
        <v>94</v>
      </c>
      <c r="E19">
        <f>_xlfn.XLOOKUP(D19,Worksheet!$C$3:$C$32,Worksheet!$M$3:$M$32)</f>
        <v>110.8</v>
      </c>
      <c r="F19" s="19">
        <f>_xlfn.XLOOKUP(D19,Worksheet!$C$3:$C$32,Worksheet!$S$3:$S$32)</f>
        <v>0.62195121951219512</v>
      </c>
    </row>
    <row r="20" spans="1:6" x14ac:dyDescent="0.2">
      <c r="A20" t="s">
        <v>545</v>
      </c>
      <c r="B20" s="4">
        <v>44526</v>
      </c>
      <c r="C20" t="s">
        <v>91</v>
      </c>
      <c r="D20" t="s">
        <v>96</v>
      </c>
      <c r="E20">
        <f>_xlfn.XLOOKUP(D20,Worksheet!$C$3:$C$32,Worksheet!$M$3:$M$32)</f>
        <v>116.9</v>
      </c>
      <c r="F20" s="19">
        <f>_xlfn.XLOOKUP(D20,Worksheet!$C$3:$C$32,Worksheet!$S$3:$S$32)</f>
        <v>0.32926829268292684</v>
      </c>
    </row>
    <row r="21" spans="1:6" x14ac:dyDescent="0.2">
      <c r="A21" t="s">
        <v>545</v>
      </c>
      <c r="B21" s="4">
        <v>44528</v>
      </c>
      <c r="C21" t="s">
        <v>91</v>
      </c>
      <c r="D21" t="s">
        <v>64</v>
      </c>
      <c r="E21">
        <f>_xlfn.XLOOKUP(D21,Worksheet!$C$3:$C$32,Worksheet!$M$3:$M$32)</f>
        <v>110.1</v>
      </c>
      <c r="F21" s="19">
        <f>_xlfn.XLOOKUP(D21,Worksheet!$C$3:$C$32,Worksheet!$S$3:$S$32)</f>
        <v>0.51219512195121952</v>
      </c>
    </row>
    <row r="22" spans="1:6" x14ac:dyDescent="0.2">
      <c r="A22" t="s">
        <v>545</v>
      </c>
      <c r="B22" s="4">
        <v>44530</v>
      </c>
      <c r="C22" t="s">
        <v>91</v>
      </c>
      <c r="D22" t="s">
        <v>99</v>
      </c>
      <c r="E22">
        <f>_xlfn.XLOOKUP(D22,Worksheet!$C$3:$C$32,Worksheet!$M$3:$M$32)</f>
        <v>107.3</v>
      </c>
      <c r="F22" s="19">
        <f>_xlfn.XLOOKUP(D22,Worksheet!$C$3:$C$32,Worksheet!$S$3:$S$32)</f>
        <v>0.78048780487804881</v>
      </c>
    </row>
    <row r="23" spans="1:6" x14ac:dyDescent="0.2">
      <c r="A23" t="s">
        <v>545</v>
      </c>
      <c r="B23" s="4">
        <v>44533</v>
      </c>
      <c r="C23" t="s">
        <v>91</v>
      </c>
      <c r="D23" t="s">
        <v>99</v>
      </c>
      <c r="E23">
        <f>_xlfn.XLOOKUP(D23,Worksheet!$C$3:$C$32,Worksheet!$M$3:$M$32)</f>
        <v>107.3</v>
      </c>
      <c r="F23" s="19">
        <f>_xlfn.XLOOKUP(D23,Worksheet!$C$3:$C$32,Worksheet!$S$3:$S$32)</f>
        <v>0.78048780487804881</v>
      </c>
    </row>
    <row r="24" spans="1:6" x14ac:dyDescent="0.2">
      <c r="A24" t="s">
        <v>545</v>
      </c>
      <c r="B24" s="4">
        <v>44534</v>
      </c>
      <c r="C24" t="s">
        <v>91</v>
      </c>
      <c r="D24" t="s">
        <v>102</v>
      </c>
      <c r="E24">
        <f>_xlfn.XLOOKUP(D24,Worksheet!$C$3:$C$32,Worksheet!$M$3:$M$32)</f>
        <v>112.3</v>
      </c>
      <c r="F24" s="19">
        <f>_xlfn.XLOOKUP(D24,Worksheet!$C$3:$C$32,Worksheet!$S$3:$S$32)</f>
        <v>0.41463414634146339</v>
      </c>
    </row>
    <row r="25" spans="1:6" x14ac:dyDescent="0.2">
      <c r="A25" t="s">
        <v>545</v>
      </c>
      <c r="B25" s="4">
        <v>44536</v>
      </c>
      <c r="C25" t="s">
        <v>91</v>
      </c>
      <c r="D25" t="s">
        <v>104</v>
      </c>
      <c r="E25">
        <f>_xlfn.XLOOKUP(D25,Worksheet!$C$3:$C$32,Worksheet!$M$3:$M$32)</f>
        <v>112.5</v>
      </c>
      <c r="F25" s="19">
        <f>_xlfn.XLOOKUP(D25,Worksheet!$C$3:$C$32,Worksheet!$S$3:$S$32)</f>
        <v>0.26829268292682928</v>
      </c>
    </row>
    <row r="26" spans="1:6" x14ac:dyDescent="0.2">
      <c r="A26" t="s">
        <v>545</v>
      </c>
      <c r="B26" s="4">
        <v>44538</v>
      </c>
      <c r="C26" t="s">
        <v>91</v>
      </c>
      <c r="D26" t="s">
        <v>96</v>
      </c>
      <c r="E26">
        <f>_xlfn.XLOOKUP(D26,Worksheet!$C$3:$C$32,Worksheet!$M$3:$M$32)</f>
        <v>116.9</v>
      </c>
      <c r="F26" s="19">
        <f>_xlfn.XLOOKUP(D26,Worksheet!$C$3:$C$32,Worksheet!$S$3:$S$32)</f>
        <v>0.32926829268292684</v>
      </c>
    </row>
    <row r="27" spans="1:6" x14ac:dyDescent="0.2">
      <c r="A27" t="s">
        <v>545</v>
      </c>
      <c r="B27" s="4">
        <v>44541</v>
      </c>
      <c r="C27" t="s">
        <v>91</v>
      </c>
      <c r="D27" t="s">
        <v>94</v>
      </c>
      <c r="E27">
        <f>_xlfn.XLOOKUP(D27,Worksheet!$C$3:$C$32,Worksheet!$M$3:$M$32)</f>
        <v>110.8</v>
      </c>
      <c r="F27" s="19">
        <f>_xlfn.XLOOKUP(D27,Worksheet!$C$3:$C$32,Worksheet!$S$3:$S$32)</f>
        <v>0.62195121951219512</v>
      </c>
    </row>
    <row r="28" spans="1:6" x14ac:dyDescent="0.2">
      <c r="A28" t="s">
        <v>545</v>
      </c>
      <c r="B28" s="4">
        <v>44543</v>
      </c>
      <c r="C28" t="s">
        <v>91</v>
      </c>
      <c r="D28" t="s">
        <v>108</v>
      </c>
      <c r="E28">
        <f>_xlfn.XLOOKUP(D28,Worksheet!$C$3:$C$32,Worksheet!$M$3:$M$32)</f>
        <v>116.1</v>
      </c>
      <c r="F28" s="19">
        <f>_xlfn.XLOOKUP(D28,Worksheet!$C$3:$C$32,Worksheet!$S$3:$S$32)</f>
        <v>0.3048780487804878</v>
      </c>
    </row>
    <row r="29" spans="1:6" x14ac:dyDescent="0.2">
      <c r="A29" t="s">
        <v>545</v>
      </c>
      <c r="B29" s="4">
        <v>44544</v>
      </c>
      <c r="C29" t="s">
        <v>91</v>
      </c>
      <c r="D29" t="s">
        <v>110</v>
      </c>
      <c r="E29">
        <f>_xlfn.XLOOKUP(D29,Worksheet!$C$3:$C$32,Worksheet!$M$3:$M$32)</f>
        <v>110.5</v>
      </c>
      <c r="F29" s="19">
        <f>_xlfn.XLOOKUP(D29,Worksheet!$C$3:$C$32,Worksheet!$S$3:$S$32)</f>
        <v>0.45121951219512196</v>
      </c>
    </row>
    <row r="30" spans="1:6" x14ac:dyDescent="0.2">
      <c r="A30" t="s">
        <v>545</v>
      </c>
      <c r="B30" s="4">
        <v>44547</v>
      </c>
      <c r="C30" t="s">
        <v>91</v>
      </c>
      <c r="D30" t="s">
        <v>55</v>
      </c>
      <c r="E30">
        <f>_xlfn.XLOOKUP(D30,Worksheet!$C$3:$C$32,Worksheet!$M$3:$M$32)</f>
        <v>106.9</v>
      </c>
      <c r="F30" s="19">
        <f>_xlfn.XLOOKUP(D30,Worksheet!$C$3:$C$32,Worksheet!$S$3:$S$32)</f>
        <v>0.62195121951219512</v>
      </c>
    </row>
    <row r="31" spans="1:6" x14ac:dyDescent="0.2">
      <c r="A31" t="s">
        <v>545</v>
      </c>
      <c r="B31" s="4">
        <v>44548</v>
      </c>
      <c r="C31" t="s">
        <v>91</v>
      </c>
      <c r="D31" t="s">
        <v>92</v>
      </c>
      <c r="E31">
        <f>_xlfn.XLOOKUP(D31,Worksheet!$C$3:$C$32,Worksheet!$M$3:$M$32)</f>
        <v>110.5</v>
      </c>
      <c r="F31" s="19">
        <f>_xlfn.XLOOKUP(D31,Worksheet!$C$3:$C$32,Worksheet!$S$3:$S$32)</f>
        <v>0.58536585365853655</v>
      </c>
    </row>
    <row r="32" spans="1:6" x14ac:dyDescent="0.2">
      <c r="A32" t="s">
        <v>545</v>
      </c>
      <c r="B32" s="4">
        <v>44550</v>
      </c>
      <c r="C32" t="s">
        <v>91</v>
      </c>
      <c r="D32" t="s">
        <v>66</v>
      </c>
      <c r="E32">
        <f>_xlfn.XLOOKUP(D32,Worksheet!$C$3:$C$32,Worksheet!$M$3:$M$32)</f>
        <v>115.3</v>
      </c>
      <c r="F32" s="19">
        <f>_xlfn.XLOOKUP(D32,Worksheet!$C$3:$C$32,Worksheet!$S$3:$S$32)</f>
        <v>0.36585365853658536</v>
      </c>
    </row>
    <row r="33" spans="1:6" x14ac:dyDescent="0.2">
      <c r="A33" t="s">
        <v>545</v>
      </c>
      <c r="B33" s="4">
        <v>44553</v>
      </c>
      <c r="C33" t="s">
        <v>91</v>
      </c>
      <c r="D33" t="s">
        <v>42</v>
      </c>
      <c r="E33">
        <f>_xlfn.XLOOKUP(D33,Worksheet!$C$3:$C$32,Worksheet!$M$3:$M$32)</f>
        <v>109</v>
      </c>
      <c r="F33" s="19">
        <f>_xlfn.XLOOKUP(D33,Worksheet!$C$3:$C$32,Worksheet!$S$3:$S$32)</f>
        <v>0.68292682926829273</v>
      </c>
    </row>
    <row r="34" spans="1:6" x14ac:dyDescent="0.2">
      <c r="A34" t="s">
        <v>545</v>
      </c>
      <c r="B34" s="4">
        <v>44555</v>
      </c>
      <c r="C34" t="s">
        <v>91</v>
      </c>
      <c r="D34" t="s">
        <v>99</v>
      </c>
      <c r="E34">
        <f>_xlfn.XLOOKUP(D34,Worksheet!$C$3:$C$32,Worksheet!$M$3:$M$32)</f>
        <v>107.3</v>
      </c>
      <c r="F34" s="19">
        <f>_xlfn.XLOOKUP(D34,Worksheet!$C$3:$C$32,Worksheet!$S$3:$S$32)</f>
        <v>0.78048780487804881</v>
      </c>
    </row>
    <row r="35" spans="1:6" x14ac:dyDescent="0.2">
      <c r="A35" t="s">
        <v>545</v>
      </c>
      <c r="B35" s="4">
        <v>44558</v>
      </c>
      <c r="C35" t="s">
        <v>91</v>
      </c>
      <c r="D35" t="s">
        <v>34</v>
      </c>
      <c r="E35">
        <f>_xlfn.XLOOKUP(D35,Worksheet!$C$3:$C$32,Worksheet!$M$3:$M$32)</f>
        <v>112.1</v>
      </c>
      <c r="F35" s="19">
        <f>_xlfn.XLOOKUP(D35,Worksheet!$C$3:$C$32,Worksheet!$S$3:$S$32)</f>
        <v>0.58536585365853655</v>
      </c>
    </row>
    <row r="36" spans="1:6" x14ac:dyDescent="0.2">
      <c r="A36" t="s">
        <v>545</v>
      </c>
      <c r="B36" s="4">
        <v>44562</v>
      </c>
      <c r="C36" t="s">
        <v>91</v>
      </c>
      <c r="D36" t="s">
        <v>118</v>
      </c>
      <c r="E36">
        <f>_xlfn.XLOOKUP(D36,Worksheet!$C$3:$C$32,Worksheet!$M$3:$M$32)</f>
        <v>110.5</v>
      </c>
      <c r="F36" s="19">
        <f>_xlfn.XLOOKUP(D36,Worksheet!$C$3:$C$32,Worksheet!$S$3:$S$32)</f>
        <v>0.59756097560975607</v>
      </c>
    </row>
    <row r="37" spans="1:6" x14ac:dyDescent="0.2">
      <c r="A37" t="s">
        <v>545</v>
      </c>
      <c r="B37" s="4">
        <v>44564</v>
      </c>
      <c r="C37" t="s">
        <v>91</v>
      </c>
      <c r="D37" t="s">
        <v>120</v>
      </c>
      <c r="E37">
        <f>_xlfn.XLOOKUP(D37,Worksheet!$C$3:$C$32,Worksheet!$M$3:$M$32)</f>
        <v>109.1</v>
      </c>
      <c r="F37" s="19">
        <f>_xlfn.XLOOKUP(D37,Worksheet!$C$3:$C$32,Worksheet!$S$3:$S$32)</f>
        <v>0.64634146341463417</v>
      </c>
    </row>
    <row r="38" spans="1:6" x14ac:dyDescent="0.2">
      <c r="A38" t="s">
        <v>545</v>
      </c>
      <c r="B38" s="4">
        <v>44566</v>
      </c>
      <c r="C38" t="s">
        <v>91</v>
      </c>
      <c r="D38" t="s">
        <v>49</v>
      </c>
      <c r="E38">
        <f>_xlfn.XLOOKUP(D38,Worksheet!$C$3:$C$32,Worksheet!$M$3:$M$32)</f>
        <v>109.4</v>
      </c>
      <c r="F38" s="19">
        <f>_xlfn.XLOOKUP(D38,Worksheet!$C$3:$C$32,Worksheet!$S$3:$S$32)</f>
        <v>0.63414634146341464</v>
      </c>
    </row>
    <row r="39" spans="1:6" x14ac:dyDescent="0.2">
      <c r="A39" t="s">
        <v>545</v>
      </c>
      <c r="B39" s="4">
        <v>44567</v>
      </c>
      <c r="C39" t="s">
        <v>91</v>
      </c>
      <c r="D39" t="s">
        <v>74</v>
      </c>
      <c r="E39">
        <f>_xlfn.XLOOKUP(D39,Worksheet!$C$3:$C$32,Worksheet!$M$3:$M$32)</f>
        <v>113</v>
      </c>
      <c r="F39" s="19">
        <f>_xlfn.XLOOKUP(D39,Worksheet!$C$3:$C$32,Worksheet!$S$3:$S$32)</f>
        <v>0.43902439024390244</v>
      </c>
    </row>
    <row r="40" spans="1:6" x14ac:dyDescent="0.2">
      <c r="A40" t="s">
        <v>545</v>
      </c>
      <c r="B40" s="4">
        <v>44570</v>
      </c>
      <c r="C40">
        <v>6.7</v>
      </c>
      <c r="D40" t="s">
        <v>87</v>
      </c>
      <c r="E40">
        <f>_xlfn.XLOOKUP(D40,Worksheet!$C$3:$C$32,Worksheet!$M$3:$M$32)</f>
        <v>109.7</v>
      </c>
      <c r="F40" s="19">
        <f>_xlfn.XLOOKUP(D40,Worksheet!$C$3:$C$32,Worksheet!$S$3:$S$32)</f>
        <v>0.53658536585365857</v>
      </c>
    </row>
    <row r="41" spans="1:6" x14ac:dyDescent="0.2">
      <c r="A41" t="s">
        <v>545</v>
      </c>
      <c r="B41" s="4">
        <v>44572</v>
      </c>
      <c r="C41">
        <v>7.2</v>
      </c>
      <c r="D41" t="s">
        <v>42</v>
      </c>
      <c r="E41">
        <f>_xlfn.XLOOKUP(D41,Worksheet!$C$3:$C$32,Worksheet!$M$3:$M$32)</f>
        <v>109</v>
      </c>
      <c r="F41" s="19">
        <f>_xlfn.XLOOKUP(D41,Worksheet!$C$3:$C$32,Worksheet!$S$3:$S$32)</f>
        <v>0.68292682926829273</v>
      </c>
    </row>
    <row r="42" spans="1:6" x14ac:dyDescent="0.2">
      <c r="A42" t="s">
        <v>545</v>
      </c>
      <c r="B42" s="4">
        <v>44574</v>
      </c>
      <c r="C42">
        <v>5.8</v>
      </c>
      <c r="D42" t="s">
        <v>126</v>
      </c>
      <c r="E42">
        <f>_xlfn.XLOOKUP(D42,Worksheet!$C$3:$C$32,Worksheet!$M$3:$M$32)</f>
        <v>111.8</v>
      </c>
      <c r="F42" s="19">
        <f>_xlfn.XLOOKUP(D42,Worksheet!$C$3:$C$32,Worksheet!$S$3:$S$32)</f>
        <v>0.62195121951219512</v>
      </c>
    </row>
    <row r="43" spans="1:6" x14ac:dyDescent="0.2">
      <c r="A43" t="s">
        <v>545</v>
      </c>
      <c r="B43" s="4">
        <v>44575</v>
      </c>
      <c r="C43" t="s">
        <v>91</v>
      </c>
      <c r="D43" t="s">
        <v>82</v>
      </c>
      <c r="E43">
        <f>_xlfn.XLOOKUP(D43,Worksheet!$C$3:$C$32,Worksheet!$M$3:$M$32)</f>
        <v>113.6</v>
      </c>
      <c r="F43" s="19">
        <f>_xlfn.XLOOKUP(D43,Worksheet!$C$3:$C$32,Worksheet!$S$3:$S$32)</f>
        <v>0.56097560975609762</v>
      </c>
    </row>
    <row r="44" spans="1:6" x14ac:dyDescent="0.2">
      <c r="A44" t="s">
        <v>545</v>
      </c>
      <c r="B44" s="4">
        <v>44577</v>
      </c>
      <c r="C44">
        <v>6.4</v>
      </c>
      <c r="D44" t="s">
        <v>80</v>
      </c>
      <c r="E44">
        <f>_xlfn.XLOOKUP(D44,Worksheet!$C$3:$C$32,Worksheet!$M$3:$M$32)</f>
        <v>111.7</v>
      </c>
      <c r="F44" s="19">
        <f>_xlfn.XLOOKUP(D44,Worksheet!$C$3:$C$32,Worksheet!$S$3:$S$32)</f>
        <v>0.56097560975609762</v>
      </c>
    </row>
    <row r="45" spans="1:6" x14ac:dyDescent="0.2">
      <c r="A45" t="s">
        <v>545</v>
      </c>
      <c r="B45" s="4">
        <v>44579</v>
      </c>
      <c r="C45">
        <v>18.600000000000001</v>
      </c>
      <c r="D45" t="s">
        <v>89</v>
      </c>
      <c r="E45">
        <f>_xlfn.XLOOKUP(D45,Worksheet!$C$3:$C$32,Worksheet!$M$3:$M$32)</f>
        <v>113.8</v>
      </c>
      <c r="F45" s="19">
        <f>_xlfn.XLOOKUP(D45,Worksheet!$C$3:$C$32,Worksheet!$S$3:$S$32)</f>
        <v>0.28048780487804881</v>
      </c>
    </row>
    <row r="46" spans="1:6" x14ac:dyDescent="0.2">
      <c r="A46" t="s">
        <v>545</v>
      </c>
      <c r="B46" s="4">
        <v>44581</v>
      </c>
      <c r="C46">
        <v>1.8</v>
      </c>
      <c r="D46" t="s">
        <v>108</v>
      </c>
      <c r="E46">
        <f>_xlfn.XLOOKUP(D46,Worksheet!$C$3:$C$32,Worksheet!$M$3:$M$32)</f>
        <v>116.1</v>
      </c>
      <c r="F46" s="19">
        <f>_xlfn.XLOOKUP(D46,Worksheet!$C$3:$C$32,Worksheet!$S$3:$S$32)</f>
        <v>0.3048780487804878</v>
      </c>
    </row>
    <row r="47" spans="1:6" x14ac:dyDescent="0.2">
      <c r="A47" t="s">
        <v>545</v>
      </c>
      <c r="B47" s="4">
        <v>44582</v>
      </c>
      <c r="C47" t="s">
        <v>91</v>
      </c>
      <c r="D47" t="s">
        <v>76</v>
      </c>
      <c r="E47">
        <f>_xlfn.XLOOKUP(D47,Worksheet!$C$3:$C$32,Worksheet!$M$3:$M$32)</f>
        <v>116.7</v>
      </c>
      <c r="F47" s="19">
        <f>_xlfn.XLOOKUP(D47,Worksheet!$C$3:$C$32,Worksheet!$S$3:$S$32)</f>
        <v>0.24390243902439024</v>
      </c>
    </row>
    <row r="48" spans="1:6" x14ac:dyDescent="0.2">
      <c r="A48" t="s">
        <v>545</v>
      </c>
      <c r="B48" s="4">
        <v>44584</v>
      </c>
      <c r="C48" t="s">
        <v>358</v>
      </c>
      <c r="D48" t="s">
        <v>118</v>
      </c>
      <c r="E48">
        <f>_xlfn.XLOOKUP(D48,Worksheet!$C$3:$C$32,Worksheet!$M$3:$M$32)</f>
        <v>110.5</v>
      </c>
      <c r="F48" s="19">
        <f>_xlfn.XLOOKUP(D48,Worksheet!$C$3:$C$32,Worksheet!$S$3:$S$32)</f>
        <v>0.59756097560975607</v>
      </c>
    </row>
    <row r="49" spans="1:6" x14ac:dyDescent="0.2">
      <c r="A49" t="s">
        <v>545</v>
      </c>
      <c r="B49" s="4">
        <v>44586</v>
      </c>
      <c r="C49">
        <v>12.8</v>
      </c>
      <c r="D49" t="s">
        <v>49</v>
      </c>
      <c r="E49">
        <f>_xlfn.XLOOKUP(D49,Worksheet!$C$3:$C$32,Worksheet!$M$3:$M$32)</f>
        <v>109.4</v>
      </c>
      <c r="F49" s="19">
        <f>_xlfn.XLOOKUP(D49,Worksheet!$C$3:$C$32,Worksheet!$S$3:$S$32)</f>
        <v>0.63414634146341464</v>
      </c>
    </row>
    <row r="50" spans="1:6" x14ac:dyDescent="0.2">
      <c r="A50" t="s">
        <v>545</v>
      </c>
      <c r="B50" s="4">
        <v>44588</v>
      </c>
      <c r="C50">
        <v>16.399999999999999</v>
      </c>
      <c r="D50" t="s">
        <v>80</v>
      </c>
      <c r="E50">
        <f>_xlfn.XLOOKUP(D50,Worksheet!$C$3:$C$32,Worksheet!$M$3:$M$32)</f>
        <v>111.7</v>
      </c>
      <c r="F50" s="19">
        <f>_xlfn.XLOOKUP(D50,Worksheet!$C$3:$C$32,Worksheet!$S$3:$S$32)</f>
        <v>0.56097560975609762</v>
      </c>
    </row>
    <row r="51" spans="1:6" x14ac:dyDescent="0.2">
      <c r="A51" t="s">
        <v>545</v>
      </c>
      <c r="B51" s="4">
        <v>44590</v>
      </c>
      <c r="C51">
        <v>13.5</v>
      </c>
      <c r="D51" t="s">
        <v>85</v>
      </c>
      <c r="E51">
        <f>_xlfn.XLOOKUP(D51,Worksheet!$C$3:$C$32,Worksheet!$M$3:$M$32)</f>
        <v>112.8</v>
      </c>
      <c r="F51" s="19">
        <f>_xlfn.XLOOKUP(D51,Worksheet!$C$3:$C$32,Worksheet!$S$3:$S$32)</f>
        <v>0.53658536585365857</v>
      </c>
    </row>
    <row r="52" spans="1:6" x14ac:dyDescent="0.2">
      <c r="A52" t="s">
        <v>545</v>
      </c>
      <c r="B52" s="4">
        <v>44592</v>
      </c>
      <c r="C52">
        <v>8.8000000000000007</v>
      </c>
      <c r="D52" t="s">
        <v>76</v>
      </c>
      <c r="E52">
        <f>_xlfn.XLOOKUP(D52,Worksheet!$C$3:$C$32,Worksheet!$M$3:$M$32)</f>
        <v>116.7</v>
      </c>
      <c r="F52" s="19">
        <f>_xlfn.XLOOKUP(D52,Worksheet!$C$3:$C$32,Worksheet!$S$3:$S$32)</f>
        <v>0.24390243902439024</v>
      </c>
    </row>
    <row r="53" spans="1:6" x14ac:dyDescent="0.2">
      <c r="A53" t="s">
        <v>545</v>
      </c>
      <c r="B53" s="4">
        <v>44593</v>
      </c>
      <c r="C53" t="s">
        <v>91</v>
      </c>
      <c r="D53" t="s">
        <v>102</v>
      </c>
      <c r="E53">
        <f>_xlfn.XLOOKUP(D53,Worksheet!$C$3:$C$32,Worksheet!$M$3:$M$32)</f>
        <v>112.3</v>
      </c>
      <c r="F53" s="19">
        <f>_xlfn.XLOOKUP(D53,Worksheet!$C$3:$C$32,Worksheet!$S$3:$S$32)</f>
        <v>0.41463414634146339</v>
      </c>
    </row>
    <row r="54" spans="1:6" x14ac:dyDescent="0.2">
      <c r="A54" t="s">
        <v>545</v>
      </c>
      <c r="B54" s="4">
        <v>44595</v>
      </c>
      <c r="C54">
        <v>21.7</v>
      </c>
      <c r="D54" t="s">
        <v>66</v>
      </c>
      <c r="E54">
        <f>_xlfn.XLOOKUP(D54,Worksheet!$C$3:$C$32,Worksheet!$M$3:$M$32)</f>
        <v>115.3</v>
      </c>
      <c r="F54" s="19">
        <f>_xlfn.XLOOKUP(D54,Worksheet!$C$3:$C$32,Worksheet!$S$3:$S$32)</f>
        <v>0.36585365853658536</v>
      </c>
    </row>
    <row r="55" spans="1:6" x14ac:dyDescent="0.2">
      <c r="A55" t="s">
        <v>545</v>
      </c>
      <c r="B55" s="4">
        <v>44599</v>
      </c>
      <c r="C55">
        <v>16.8</v>
      </c>
      <c r="D55" t="s">
        <v>68</v>
      </c>
      <c r="E55">
        <f>_xlfn.XLOOKUP(D55,Worksheet!$C$3:$C$32,Worksheet!$M$3:$M$32)</f>
        <v>112.8</v>
      </c>
      <c r="F55" s="19">
        <f>_xlfn.XLOOKUP(D55,Worksheet!$C$3:$C$32,Worksheet!$S$3:$S$32)</f>
        <v>0.29268292682926828</v>
      </c>
    </row>
    <row r="56" spans="1:6" x14ac:dyDescent="0.2">
      <c r="A56" t="s">
        <v>545</v>
      </c>
      <c r="B56" s="4">
        <v>44601</v>
      </c>
      <c r="C56" t="s">
        <v>91</v>
      </c>
      <c r="D56" t="s">
        <v>118</v>
      </c>
      <c r="E56">
        <f>_xlfn.XLOOKUP(D56,Worksheet!$C$3:$C$32,Worksheet!$M$3:$M$32)</f>
        <v>110.5</v>
      </c>
      <c r="F56" s="19">
        <f>_xlfn.XLOOKUP(D56,Worksheet!$C$3:$C$32,Worksheet!$S$3:$S$32)</f>
        <v>0.59756097560975607</v>
      </c>
    </row>
    <row r="57" spans="1:6" x14ac:dyDescent="0.2">
      <c r="A57" t="s">
        <v>545</v>
      </c>
      <c r="B57" s="4">
        <v>44602</v>
      </c>
      <c r="C57">
        <v>12.8</v>
      </c>
      <c r="D57" t="s">
        <v>110</v>
      </c>
      <c r="E57">
        <f>_xlfn.XLOOKUP(D57,Worksheet!$C$3:$C$32,Worksheet!$M$3:$M$32)</f>
        <v>110.5</v>
      </c>
      <c r="F57" s="19">
        <f>_xlfn.XLOOKUP(D57,Worksheet!$C$3:$C$32,Worksheet!$S$3:$S$32)</f>
        <v>0.45121951219512196</v>
      </c>
    </row>
    <row r="58" spans="1:6" x14ac:dyDescent="0.2">
      <c r="A58" t="s">
        <v>545</v>
      </c>
      <c r="B58" s="4">
        <v>44604</v>
      </c>
      <c r="C58">
        <v>21.3</v>
      </c>
      <c r="D58" t="s">
        <v>62</v>
      </c>
      <c r="E58">
        <f>_xlfn.XLOOKUP(D58,Worksheet!$C$3:$C$32,Worksheet!$M$3:$M$32)</f>
        <v>113.3</v>
      </c>
      <c r="F58" s="19">
        <f>_xlfn.XLOOKUP(D58,Worksheet!$C$3:$C$32,Worksheet!$S$3:$S$32)</f>
        <v>0.40243902439024393</v>
      </c>
    </row>
    <row r="59" spans="1:6" x14ac:dyDescent="0.2">
      <c r="A59" t="s">
        <v>545</v>
      </c>
      <c r="B59" s="4">
        <v>44606</v>
      </c>
      <c r="C59">
        <v>2</v>
      </c>
      <c r="D59" t="s">
        <v>64</v>
      </c>
      <c r="E59">
        <f>_xlfn.XLOOKUP(D59,Worksheet!$C$3:$C$32,Worksheet!$M$3:$M$32)</f>
        <v>110.1</v>
      </c>
      <c r="F59" s="19">
        <f>_xlfn.XLOOKUP(D59,Worksheet!$C$3:$C$32,Worksheet!$S$3:$S$32)</f>
        <v>0.51219512195121952</v>
      </c>
    </row>
    <row r="60" spans="1:6" x14ac:dyDescent="0.2">
      <c r="A60" t="s">
        <v>545</v>
      </c>
      <c r="B60" s="4">
        <v>44608</v>
      </c>
      <c r="C60">
        <v>11.3</v>
      </c>
      <c r="D60" t="s">
        <v>34</v>
      </c>
      <c r="E60">
        <f>_xlfn.XLOOKUP(D60,Worksheet!$C$3:$C$32,Worksheet!$M$3:$M$32)</f>
        <v>112.1</v>
      </c>
      <c r="F60" s="19">
        <f>_xlfn.XLOOKUP(D60,Worksheet!$C$3:$C$32,Worksheet!$S$3:$S$32)</f>
        <v>0.58536585365853655</v>
      </c>
    </row>
    <row r="61" spans="1:6" x14ac:dyDescent="0.2">
      <c r="A61" t="s">
        <v>545</v>
      </c>
      <c r="B61" s="4">
        <v>44616</v>
      </c>
      <c r="C61">
        <v>16</v>
      </c>
      <c r="D61" t="s">
        <v>96</v>
      </c>
      <c r="E61">
        <f>_xlfn.XLOOKUP(D61,Worksheet!$C$3:$C$32,Worksheet!$M$3:$M$32)</f>
        <v>116.9</v>
      </c>
      <c r="F61" s="19">
        <f>_xlfn.XLOOKUP(D61,Worksheet!$C$3:$C$32,Worksheet!$S$3:$S$32)</f>
        <v>0.32926829268292684</v>
      </c>
    </row>
    <row r="62" spans="1:6" x14ac:dyDescent="0.2">
      <c r="A62" t="s">
        <v>545</v>
      </c>
      <c r="B62" s="4">
        <v>44619</v>
      </c>
      <c r="C62" t="s">
        <v>91</v>
      </c>
      <c r="D62" t="s">
        <v>49</v>
      </c>
      <c r="E62">
        <f>_xlfn.XLOOKUP(D62,Worksheet!$C$3:$C$32,Worksheet!$M$3:$M$32)</f>
        <v>109.4</v>
      </c>
      <c r="F62" s="19">
        <f>_xlfn.XLOOKUP(D62,Worksheet!$C$3:$C$32,Worksheet!$S$3:$S$32)</f>
        <v>0.63414634146341464</v>
      </c>
    </row>
    <row r="63" spans="1:6" x14ac:dyDescent="0.2">
      <c r="A63" t="s">
        <v>545</v>
      </c>
      <c r="B63" s="4">
        <v>44621</v>
      </c>
      <c r="C63" t="s">
        <v>91</v>
      </c>
      <c r="D63" t="s">
        <v>80</v>
      </c>
      <c r="E63">
        <f>_xlfn.XLOOKUP(D63,Worksheet!$C$3:$C$32,Worksheet!$M$3:$M$32)</f>
        <v>111.7</v>
      </c>
      <c r="F63" s="19">
        <f>_xlfn.XLOOKUP(D63,Worksheet!$C$3:$C$32,Worksheet!$S$3:$S$32)</f>
        <v>0.56097560975609762</v>
      </c>
    </row>
    <row r="64" spans="1:6" x14ac:dyDescent="0.2">
      <c r="A64" t="s">
        <v>545</v>
      </c>
      <c r="B64" s="4">
        <v>44623</v>
      </c>
      <c r="C64">
        <v>6.7</v>
      </c>
      <c r="D64" t="s">
        <v>49</v>
      </c>
      <c r="E64">
        <f>_xlfn.XLOOKUP(D64,Worksheet!$C$3:$C$32,Worksheet!$M$3:$M$32)</f>
        <v>109.4</v>
      </c>
      <c r="F64" s="19">
        <f>_xlfn.XLOOKUP(D64,Worksheet!$C$3:$C$32,Worksheet!$S$3:$S$32)</f>
        <v>0.63414634146341464</v>
      </c>
    </row>
    <row r="65" spans="1:6" x14ac:dyDescent="0.2">
      <c r="A65" t="s">
        <v>545</v>
      </c>
      <c r="B65" s="4">
        <v>44625</v>
      </c>
      <c r="C65">
        <v>2</v>
      </c>
      <c r="D65" t="s">
        <v>62</v>
      </c>
      <c r="E65">
        <f>_xlfn.XLOOKUP(D65,Worksheet!$C$3:$C$32,Worksheet!$M$3:$M$32)</f>
        <v>113.3</v>
      </c>
      <c r="F65" s="19">
        <f>_xlfn.XLOOKUP(D65,Worksheet!$C$3:$C$32,Worksheet!$S$3:$S$32)</f>
        <v>0.40243902439024393</v>
      </c>
    </row>
    <row r="66" spans="1:6" x14ac:dyDescent="0.2">
      <c r="A66" t="s">
        <v>545</v>
      </c>
      <c r="B66" s="4">
        <v>44627</v>
      </c>
      <c r="C66" t="s">
        <v>91</v>
      </c>
      <c r="D66" t="s">
        <v>34</v>
      </c>
      <c r="E66">
        <f>_xlfn.XLOOKUP(D66,Worksheet!$C$3:$C$32,Worksheet!$M$3:$M$32)</f>
        <v>112.1</v>
      </c>
      <c r="F66" s="19">
        <f>_xlfn.XLOOKUP(D66,Worksheet!$C$3:$C$32,Worksheet!$S$3:$S$32)</f>
        <v>0.58536585365853655</v>
      </c>
    </row>
    <row r="67" spans="1:6" x14ac:dyDescent="0.2">
      <c r="A67" t="s">
        <v>545</v>
      </c>
      <c r="B67" s="4">
        <v>44628</v>
      </c>
      <c r="C67">
        <v>11.1</v>
      </c>
      <c r="D67" t="s">
        <v>64</v>
      </c>
      <c r="E67">
        <f>_xlfn.XLOOKUP(D67,Worksheet!$C$3:$C$32,Worksheet!$M$3:$M$32)</f>
        <v>110.1</v>
      </c>
      <c r="F67" s="19">
        <f>_xlfn.XLOOKUP(D67,Worksheet!$C$3:$C$32,Worksheet!$S$3:$S$32)</f>
        <v>0.51219512195121952</v>
      </c>
    </row>
    <row r="68" spans="1:6" x14ac:dyDescent="0.2">
      <c r="A68" t="s">
        <v>545</v>
      </c>
      <c r="B68" s="4">
        <v>44630</v>
      </c>
      <c r="C68">
        <v>11.1</v>
      </c>
      <c r="D68" t="s">
        <v>34</v>
      </c>
      <c r="E68">
        <f>_xlfn.XLOOKUP(D68,Worksheet!$C$3:$C$32,Worksheet!$M$3:$M$32)</f>
        <v>112.1</v>
      </c>
      <c r="F68" s="19">
        <f>_xlfn.XLOOKUP(D68,Worksheet!$C$3:$C$32,Worksheet!$S$3:$S$32)</f>
        <v>0.58536585365853655</v>
      </c>
    </row>
    <row r="69" spans="1:6" x14ac:dyDescent="0.2">
      <c r="A69" t="s">
        <v>545</v>
      </c>
      <c r="B69" s="4">
        <v>44632</v>
      </c>
      <c r="C69">
        <v>31.4</v>
      </c>
      <c r="D69" t="s">
        <v>126</v>
      </c>
      <c r="E69">
        <f>_xlfn.XLOOKUP(D69,Worksheet!$C$3:$C$32,Worksheet!$M$3:$M$32)</f>
        <v>111.8</v>
      </c>
      <c r="F69" s="19">
        <f>_xlfn.XLOOKUP(D69,Worksheet!$C$3:$C$32,Worksheet!$S$3:$S$32)</f>
        <v>0.62195121951219512</v>
      </c>
    </row>
    <row r="70" spans="1:6" x14ac:dyDescent="0.2">
      <c r="A70" t="s">
        <v>545</v>
      </c>
      <c r="B70" s="4">
        <v>44634</v>
      </c>
      <c r="C70">
        <v>10</v>
      </c>
      <c r="D70" t="s">
        <v>155</v>
      </c>
      <c r="E70">
        <f>_xlfn.XLOOKUP(D70,Worksheet!$C$3:$C$32,Worksheet!$M$3:$M$32)</f>
        <v>114.5</v>
      </c>
      <c r="F70" s="19">
        <f>_xlfn.XLOOKUP(D70,Worksheet!$C$3:$C$32,Worksheet!$S$3:$S$32)</f>
        <v>0.42682926829268292</v>
      </c>
    </row>
    <row r="71" spans="1:6" x14ac:dyDescent="0.2">
      <c r="A71" t="s">
        <v>545</v>
      </c>
      <c r="B71" s="4">
        <v>44636</v>
      </c>
      <c r="C71">
        <v>5</v>
      </c>
      <c r="D71" t="s">
        <v>55</v>
      </c>
      <c r="E71">
        <f>_xlfn.XLOOKUP(D71,Worksheet!$C$3:$C$32,Worksheet!$M$3:$M$32)</f>
        <v>106.9</v>
      </c>
      <c r="F71" s="19">
        <f>_xlfn.XLOOKUP(D71,Worksheet!$C$3:$C$32,Worksheet!$S$3:$S$32)</f>
        <v>0.62195121951219512</v>
      </c>
    </row>
    <row r="72" spans="1:6" x14ac:dyDescent="0.2">
      <c r="A72" t="s">
        <v>545</v>
      </c>
      <c r="B72" s="4">
        <v>44640</v>
      </c>
      <c r="C72">
        <v>13.3</v>
      </c>
      <c r="D72" t="s">
        <v>102</v>
      </c>
      <c r="E72">
        <f>_xlfn.XLOOKUP(D72,Worksheet!$C$3:$C$32,Worksheet!$M$3:$M$32)</f>
        <v>112.3</v>
      </c>
      <c r="F72" s="19">
        <f>_xlfn.XLOOKUP(D72,Worksheet!$C$3:$C$32,Worksheet!$S$3:$S$32)</f>
        <v>0.41463414634146339</v>
      </c>
    </row>
    <row r="73" spans="1:6" x14ac:dyDescent="0.2">
      <c r="A73" t="s">
        <v>545</v>
      </c>
      <c r="B73" s="4">
        <v>44642</v>
      </c>
      <c r="C73">
        <v>9.4</v>
      </c>
      <c r="D73" t="s">
        <v>104</v>
      </c>
      <c r="E73">
        <f>_xlfn.XLOOKUP(D73,Worksheet!$C$3:$C$32,Worksheet!$M$3:$M$32)</f>
        <v>112.5</v>
      </c>
      <c r="F73" s="19">
        <f>_xlfn.XLOOKUP(D73,Worksheet!$C$3:$C$32,Worksheet!$S$3:$S$32)</f>
        <v>0.26829268292682928</v>
      </c>
    </row>
    <row r="74" spans="1:6" x14ac:dyDescent="0.2">
      <c r="A74" t="s">
        <v>545</v>
      </c>
      <c r="B74" s="4">
        <v>44643</v>
      </c>
      <c r="C74" t="s">
        <v>91</v>
      </c>
      <c r="D74" t="s">
        <v>120</v>
      </c>
      <c r="E74">
        <f>_xlfn.XLOOKUP(D74,Worksheet!$C$3:$C$32,Worksheet!$M$3:$M$32)</f>
        <v>109.1</v>
      </c>
      <c r="F74" s="19">
        <f>_xlfn.XLOOKUP(D74,Worksheet!$C$3:$C$32,Worksheet!$S$3:$S$32)</f>
        <v>0.64634146341463417</v>
      </c>
    </row>
    <row r="75" spans="1:6" x14ac:dyDescent="0.2">
      <c r="A75" t="s">
        <v>545</v>
      </c>
      <c r="B75" s="4">
        <v>44645</v>
      </c>
      <c r="C75">
        <v>27.3</v>
      </c>
      <c r="D75" t="s">
        <v>78</v>
      </c>
      <c r="E75">
        <f>_xlfn.XLOOKUP(D75,Worksheet!$C$3:$C$32,Worksheet!$M$3:$M$32)</f>
        <v>114.9</v>
      </c>
      <c r="F75" s="19">
        <f>_xlfn.XLOOKUP(D75,Worksheet!$C$3:$C$32,Worksheet!$S$3:$S$32)</f>
        <v>0.52439024390243905</v>
      </c>
    </row>
    <row r="76" spans="1:6" x14ac:dyDescent="0.2">
      <c r="A76" t="s">
        <v>545</v>
      </c>
      <c r="B76" s="4">
        <v>44647</v>
      </c>
      <c r="C76">
        <v>16.8</v>
      </c>
      <c r="D76" t="s">
        <v>155</v>
      </c>
      <c r="E76">
        <f>_xlfn.XLOOKUP(D76,Worksheet!$C$3:$C$32,Worksheet!$M$3:$M$32)</f>
        <v>114.5</v>
      </c>
      <c r="F76" s="19">
        <f>_xlfn.XLOOKUP(D76,Worksheet!$C$3:$C$32,Worksheet!$S$3:$S$32)</f>
        <v>0.42682926829268292</v>
      </c>
    </row>
    <row r="77" spans="1:6" x14ac:dyDescent="0.2">
      <c r="A77" t="s">
        <v>545</v>
      </c>
      <c r="B77" s="4">
        <v>44648</v>
      </c>
      <c r="C77" t="s">
        <v>91</v>
      </c>
      <c r="D77" t="s">
        <v>42</v>
      </c>
      <c r="E77">
        <f>_xlfn.XLOOKUP(D77,Worksheet!$C$3:$C$32,Worksheet!$M$3:$M$32)</f>
        <v>109</v>
      </c>
      <c r="F77" s="19">
        <f>_xlfn.XLOOKUP(D77,Worksheet!$C$3:$C$32,Worksheet!$S$3:$S$32)</f>
        <v>0.68292682926829273</v>
      </c>
    </row>
    <row r="78" spans="1:6" x14ac:dyDescent="0.2">
      <c r="A78" t="s">
        <v>545</v>
      </c>
      <c r="B78" s="4">
        <v>44650</v>
      </c>
      <c r="C78">
        <v>-1.2</v>
      </c>
      <c r="D78" t="s">
        <v>99</v>
      </c>
      <c r="E78">
        <f>_xlfn.XLOOKUP(D78,Worksheet!$C$3:$C$32,Worksheet!$M$3:$M$32)</f>
        <v>107.3</v>
      </c>
      <c r="F78" s="19">
        <f>_xlfn.XLOOKUP(D78,Worksheet!$C$3:$C$32,Worksheet!$S$3:$S$32)</f>
        <v>0.78048780487804881</v>
      </c>
    </row>
    <row r="79" spans="1:6" x14ac:dyDescent="0.2">
      <c r="A79" t="s">
        <v>545</v>
      </c>
      <c r="B79" s="4">
        <v>44653</v>
      </c>
      <c r="C79">
        <v>22.7</v>
      </c>
      <c r="D79" t="s">
        <v>118</v>
      </c>
      <c r="E79">
        <f>_xlfn.XLOOKUP(D79,Worksheet!$C$3:$C$32,Worksheet!$M$3:$M$32)</f>
        <v>110.5</v>
      </c>
      <c r="F79" s="19">
        <f>_xlfn.XLOOKUP(D79,Worksheet!$C$3:$C$32,Worksheet!$S$3:$S$32)</f>
        <v>0.59756097560975607</v>
      </c>
    </row>
    <row r="80" spans="1:6" x14ac:dyDescent="0.2">
      <c r="A80" t="s">
        <v>545</v>
      </c>
      <c r="B80" s="4">
        <v>44654</v>
      </c>
      <c r="C80" t="s">
        <v>91</v>
      </c>
      <c r="D80" t="s">
        <v>66</v>
      </c>
      <c r="E80">
        <f>_xlfn.XLOOKUP(D80,Worksheet!$C$3:$C$32,Worksheet!$M$3:$M$32)</f>
        <v>115.3</v>
      </c>
      <c r="F80" s="19">
        <f>_xlfn.XLOOKUP(D80,Worksheet!$C$3:$C$32,Worksheet!$S$3:$S$32)</f>
        <v>0.36585365853658536</v>
      </c>
    </row>
    <row r="81" spans="1:6" x14ac:dyDescent="0.2">
      <c r="A81" t="s">
        <v>545</v>
      </c>
      <c r="B81" s="4">
        <v>44658</v>
      </c>
      <c r="C81">
        <v>25</v>
      </c>
      <c r="D81" t="s">
        <v>62</v>
      </c>
      <c r="E81">
        <f>_xlfn.XLOOKUP(D81,Worksheet!$C$3:$C$32,Worksheet!$M$3:$M$32)</f>
        <v>113.3</v>
      </c>
      <c r="F81" s="19">
        <f>_xlfn.XLOOKUP(D81,Worksheet!$C$3:$C$32,Worksheet!$S$3:$S$32)</f>
        <v>0.40243902439024393</v>
      </c>
    </row>
    <row r="82" spans="1:6" x14ac:dyDescent="0.2">
      <c r="A82" t="s">
        <v>545</v>
      </c>
      <c r="B82" s="4">
        <v>44660</v>
      </c>
      <c r="C82" t="s">
        <v>358</v>
      </c>
      <c r="D82" t="s">
        <v>102</v>
      </c>
      <c r="E82">
        <f>_xlfn.XLOOKUP(D82,Worksheet!$C$3:$C$32,Worksheet!$M$3:$M$32)</f>
        <v>112.3</v>
      </c>
      <c r="F82" s="19">
        <f>_xlfn.XLOOKUP(D82,Worksheet!$C$3:$C$32,Worksheet!$S$3:$S$32)</f>
        <v>0.41463414634146339</v>
      </c>
    </row>
    <row r="83" spans="1:6" x14ac:dyDescent="0.2">
      <c r="A83" t="s">
        <v>545</v>
      </c>
      <c r="B83" s="4">
        <v>44661</v>
      </c>
      <c r="C83">
        <v>25.2</v>
      </c>
      <c r="D83" t="s">
        <v>74</v>
      </c>
      <c r="E83">
        <f>_xlfn.XLOOKUP(D83,Worksheet!$C$3:$C$32,Worksheet!$M$3:$M$32)</f>
        <v>113</v>
      </c>
      <c r="F83" s="19">
        <f>_xlfn.XLOOKUP(D83,Worksheet!$C$3:$C$32,Worksheet!$S$3:$S$32)</f>
        <v>0.43902439024390244</v>
      </c>
    </row>
    <row r="84" spans="1:6" x14ac:dyDescent="0.2">
      <c r="A84" t="s">
        <v>545</v>
      </c>
      <c r="B84" s="4">
        <v>44667</v>
      </c>
      <c r="C84">
        <v>9.8000000000000007</v>
      </c>
      <c r="D84" t="s">
        <v>34</v>
      </c>
      <c r="E84">
        <f>_xlfn.XLOOKUP(D84,Worksheet!$C$3:$C$32,Worksheet!$M$3:$M$32)</f>
        <v>112.1</v>
      </c>
      <c r="F84" s="19">
        <f>_xlfn.XLOOKUP(D84,Worksheet!$C$3:$C$32,Worksheet!$S$3:$S$32)</f>
        <v>0.58536585365853655</v>
      </c>
    </row>
    <row r="85" spans="1:6" x14ac:dyDescent="0.2">
      <c r="A85" t="s">
        <v>545</v>
      </c>
      <c r="B85" s="4">
        <v>44669</v>
      </c>
      <c r="C85">
        <v>12.1</v>
      </c>
      <c r="D85" t="s">
        <v>34</v>
      </c>
      <c r="E85">
        <f>_xlfn.XLOOKUP(D85,Worksheet!$C$3:$C$32,Worksheet!$M$3:$M$32)</f>
        <v>112.1</v>
      </c>
      <c r="F85" s="19">
        <f>_xlfn.XLOOKUP(D85,Worksheet!$C$3:$C$32,Worksheet!$S$3:$S$32)</f>
        <v>0.58536585365853655</v>
      </c>
    </row>
    <row r="86" spans="1:6" x14ac:dyDescent="0.2">
      <c r="A86" t="s">
        <v>545</v>
      </c>
      <c r="B86" s="4">
        <v>44672</v>
      </c>
      <c r="C86">
        <v>18.8</v>
      </c>
      <c r="D86" t="s">
        <v>34</v>
      </c>
      <c r="E86">
        <f>_xlfn.XLOOKUP(D86,Worksheet!$C$3:$C$32,Worksheet!$M$3:$M$32)</f>
        <v>112.1</v>
      </c>
      <c r="F86" s="19">
        <f>_xlfn.XLOOKUP(D86,Worksheet!$C$3:$C$32,Worksheet!$S$3:$S$32)</f>
        <v>0.58536585365853655</v>
      </c>
    </row>
    <row r="87" spans="1:6" x14ac:dyDescent="0.2">
      <c r="A87" t="s">
        <v>545</v>
      </c>
      <c r="B87" s="4">
        <v>44675</v>
      </c>
      <c r="C87">
        <v>22</v>
      </c>
      <c r="D87" t="s">
        <v>34</v>
      </c>
      <c r="E87">
        <f>_xlfn.XLOOKUP(D87,Worksheet!$C$3:$C$32,Worksheet!$M$3:$M$32)</f>
        <v>112.1</v>
      </c>
      <c r="F87" s="19">
        <f>_xlfn.XLOOKUP(D87,Worksheet!$C$3:$C$32,Worksheet!$S$3:$S$32)</f>
        <v>0.58536585365853655</v>
      </c>
    </row>
    <row r="88" spans="1:6" x14ac:dyDescent="0.2">
      <c r="A88" t="s">
        <v>545</v>
      </c>
      <c r="B88" s="4">
        <v>44678</v>
      </c>
      <c r="C88">
        <v>17</v>
      </c>
      <c r="D88" t="s">
        <v>34</v>
      </c>
      <c r="E88">
        <f>_xlfn.XLOOKUP(D88,Worksheet!$C$3:$C$32,Worksheet!$M$3:$M$32)</f>
        <v>112.1</v>
      </c>
      <c r="F88" s="19">
        <f>_xlfn.XLOOKUP(D88,Worksheet!$C$3:$C$32,Worksheet!$S$3:$S$32)</f>
        <v>0.58536585365853655</v>
      </c>
    </row>
    <row r="89" spans="1:6" x14ac:dyDescent="0.2">
      <c r="A89" t="s">
        <v>545</v>
      </c>
      <c r="B89" s="4">
        <v>44682</v>
      </c>
      <c r="C89">
        <v>7.2</v>
      </c>
      <c r="D89" t="s">
        <v>42</v>
      </c>
      <c r="E89">
        <f>_xlfn.XLOOKUP(D89,Worksheet!$C$3:$C$32,Worksheet!$M$3:$M$32)</f>
        <v>109</v>
      </c>
      <c r="F89" s="19">
        <f>_xlfn.XLOOKUP(D89,Worksheet!$C$3:$C$32,Worksheet!$S$3:$S$32)</f>
        <v>0.68292682926829273</v>
      </c>
    </row>
    <row r="90" spans="1:6" x14ac:dyDescent="0.2">
      <c r="A90" t="s">
        <v>545</v>
      </c>
      <c r="B90" s="4">
        <v>44684</v>
      </c>
      <c r="C90">
        <v>4.5999999999999996</v>
      </c>
      <c r="D90" t="s">
        <v>42</v>
      </c>
      <c r="E90">
        <f>_xlfn.XLOOKUP(D90,Worksheet!$C$3:$C$32,Worksheet!$M$3:$M$32)</f>
        <v>109</v>
      </c>
      <c r="F90" s="19">
        <f>_xlfn.XLOOKUP(D90,Worksheet!$C$3:$C$32,Worksheet!$S$3:$S$32)</f>
        <v>0.68292682926829273</v>
      </c>
    </row>
    <row r="91" spans="1:6" x14ac:dyDescent="0.2">
      <c r="A91" t="s">
        <v>545</v>
      </c>
      <c r="B91" s="4">
        <v>44688</v>
      </c>
      <c r="C91">
        <v>17.5</v>
      </c>
      <c r="D91" t="s">
        <v>42</v>
      </c>
      <c r="E91">
        <f>_xlfn.XLOOKUP(D91,Worksheet!$C$3:$C$32,Worksheet!$M$3:$M$32)</f>
        <v>109</v>
      </c>
      <c r="F91" s="19">
        <f>_xlfn.XLOOKUP(D91,Worksheet!$C$3:$C$32,Worksheet!$S$3:$S$32)</f>
        <v>0.68292682926829273</v>
      </c>
    </row>
    <row r="92" spans="1:6" x14ac:dyDescent="0.2">
      <c r="A92" t="s">
        <v>545</v>
      </c>
      <c r="B92" s="4">
        <v>44690</v>
      </c>
      <c r="C92">
        <v>5.7</v>
      </c>
      <c r="D92" t="s">
        <v>42</v>
      </c>
      <c r="E92">
        <f>_xlfn.XLOOKUP(D92,Worksheet!$C$3:$C$32,Worksheet!$M$3:$M$32)</f>
        <v>109</v>
      </c>
      <c r="F92" s="19">
        <f>_xlfn.XLOOKUP(D92,Worksheet!$C$3:$C$32,Worksheet!$S$3:$S$32)</f>
        <v>0.68292682926829273</v>
      </c>
    </row>
    <row r="93" spans="1:6" x14ac:dyDescent="0.2">
      <c r="A93" t="s">
        <v>545</v>
      </c>
      <c r="B93" s="4">
        <v>44692</v>
      </c>
      <c r="C93">
        <v>12.8</v>
      </c>
      <c r="D93" t="s">
        <v>42</v>
      </c>
      <c r="E93">
        <f>_xlfn.XLOOKUP(D93,Worksheet!$C$3:$C$32,Worksheet!$M$3:$M$32)</f>
        <v>109</v>
      </c>
      <c r="F93" s="19">
        <f>_xlfn.XLOOKUP(D93,Worksheet!$C$3:$C$32,Worksheet!$S$3:$S$32)</f>
        <v>0.68292682926829273</v>
      </c>
    </row>
    <row r="94" spans="1:6" x14ac:dyDescent="0.2">
      <c r="A94" t="s">
        <v>545</v>
      </c>
      <c r="B94" s="4">
        <v>44694</v>
      </c>
      <c r="C94">
        <v>21.5</v>
      </c>
      <c r="D94" t="s">
        <v>42</v>
      </c>
      <c r="E94">
        <f>_xlfn.XLOOKUP(D94,Worksheet!$C$3:$C$32,Worksheet!$M$3:$M$32)</f>
        <v>109</v>
      </c>
      <c r="F94" s="19">
        <f>_xlfn.XLOOKUP(D94,Worksheet!$C$3:$C$32,Worksheet!$S$3:$S$32)</f>
        <v>0.68292682926829273</v>
      </c>
    </row>
    <row r="95" spans="1:6" x14ac:dyDescent="0.2">
      <c r="A95" t="s">
        <v>545</v>
      </c>
      <c r="B95" s="4">
        <v>44699</v>
      </c>
      <c r="C95">
        <v>11.4</v>
      </c>
      <c r="D95" t="s">
        <v>49</v>
      </c>
      <c r="E95">
        <f>_xlfn.XLOOKUP(D95,Worksheet!$C$3:$C$32,Worksheet!$M$3:$M$32)</f>
        <v>109.4</v>
      </c>
      <c r="F95" s="19">
        <f>_xlfn.XLOOKUP(D95,Worksheet!$C$3:$C$32,Worksheet!$S$3:$S$32)</f>
        <v>0.63414634146341464</v>
      </c>
    </row>
    <row r="96" spans="1:6" x14ac:dyDescent="0.2">
      <c r="A96" t="s">
        <v>545</v>
      </c>
      <c r="B96" s="4">
        <v>44701</v>
      </c>
      <c r="C96">
        <v>13.5</v>
      </c>
      <c r="D96" t="s">
        <v>49</v>
      </c>
      <c r="E96">
        <f>_xlfn.XLOOKUP(D96,Worksheet!$C$3:$C$32,Worksheet!$M$3:$M$32)</f>
        <v>109.4</v>
      </c>
      <c r="F96" s="19">
        <f>_xlfn.XLOOKUP(D96,Worksheet!$C$3:$C$32,Worksheet!$S$3:$S$32)</f>
        <v>0.63414634146341464</v>
      </c>
    </row>
    <row r="97" spans="1:6" x14ac:dyDescent="0.2">
      <c r="A97" t="s">
        <v>545</v>
      </c>
      <c r="B97" s="4">
        <v>44703</v>
      </c>
      <c r="C97">
        <v>12.2</v>
      </c>
      <c r="D97" t="s">
        <v>49</v>
      </c>
      <c r="E97">
        <f>_xlfn.XLOOKUP(D97,Worksheet!$C$3:$C$32,Worksheet!$M$3:$M$32)</f>
        <v>109.4</v>
      </c>
      <c r="F97" s="19">
        <f>_xlfn.XLOOKUP(D97,Worksheet!$C$3:$C$32,Worksheet!$S$3:$S$32)</f>
        <v>0.63414634146341464</v>
      </c>
    </row>
    <row r="98" spans="1:6" x14ac:dyDescent="0.2">
      <c r="A98" t="s">
        <v>545</v>
      </c>
      <c r="B98" s="4">
        <v>44705</v>
      </c>
      <c r="C98">
        <v>8.8000000000000007</v>
      </c>
      <c r="D98" t="s">
        <v>49</v>
      </c>
      <c r="E98">
        <f>_xlfn.XLOOKUP(D98,Worksheet!$C$3:$C$32,Worksheet!$M$3:$M$32)</f>
        <v>109.4</v>
      </c>
      <c r="F98" s="19">
        <f>_xlfn.XLOOKUP(D98,Worksheet!$C$3:$C$32,Worksheet!$S$3:$S$32)</f>
        <v>0.63414634146341464</v>
      </c>
    </row>
    <row r="99" spans="1:6" x14ac:dyDescent="0.2">
      <c r="A99" t="s">
        <v>545</v>
      </c>
      <c r="B99" s="4">
        <v>44707</v>
      </c>
      <c r="C99">
        <v>21.2</v>
      </c>
      <c r="D99" t="s">
        <v>49</v>
      </c>
      <c r="E99">
        <f>_xlfn.XLOOKUP(D99,Worksheet!$C$3:$C$32,Worksheet!$M$3:$M$32)</f>
        <v>109.4</v>
      </c>
      <c r="F99" s="19">
        <f>_xlfn.XLOOKUP(D99,Worksheet!$C$3:$C$32,Worksheet!$S$3:$S$32)</f>
        <v>0.63414634146341464</v>
      </c>
    </row>
    <row r="100" spans="1:6" x14ac:dyDescent="0.2">
      <c r="A100" t="s">
        <v>545</v>
      </c>
      <c r="B100" s="4">
        <v>44714</v>
      </c>
      <c r="C100">
        <v>10.7</v>
      </c>
      <c r="D100" t="s">
        <v>55</v>
      </c>
      <c r="E100">
        <f>_xlfn.XLOOKUP(D100,Worksheet!$C$3:$C$32,Worksheet!$M$3:$M$32)</f>
        <v>106.9</v>
      </c>
      <c r="F100" s="19">
        <f>_xlfn.XLOOKUP(D100,Worksheet!$C$3:$C$32,Worksheet!$S$3:$S$32)</f>
        <v>0.62195121951219512</v>
      </c>
    </row>
    <row r="101" spans="1:6" x14ac:dyDescent="0.2">
      <c r="A101" t="s">
        <v>545</v>
      </c>
      <c r="B101" s="4">
        <v>44717</v>
      </c>
      <c r="C101">
        <v>0.5</v>
      </c>
      <c r="D101" t="s">
        <v>55</v>
      </c>
      <c r="E101">
        <f>_xlfn.XLOOKUP(D101,Worksheet!$C$3:$C$32,Worksheet!$M$3:$M$32)</f>
        <v>106.9</v>
      </c>
      <c r="F101" s="19">
        <f>_xlfn.XLOOKUP(D101,Worksheet!$C$3:$C$32,Worksheet!$S$3:$S$32)</f>
        <v>0.62195121951219512</v>
      </c>
    </row>
    <row r="102" spans="1:6" x14ac:dyDescent="0.2">
      <c r="A102" t="s">
        <v>545</v>
      </c>
      <c r="B102" s="4">
        <v>44720</v>
      </c>
      <c r="C102">
        <v>20.2</v>
      </c>
      <c r="D102" t="s">
        <v>55</v>
      </c>
      <c r="E102">
        <f>_xlfn.XLOOKUP(D102,Worksheet!$C$3:$C$32,Worksheet!$M$3:$M$32)</f>
        <v>106.9</v>
      </c>
      <c r="F102" s="19">
        <f>_xlfn.XLOOKUP(D102,Worksheet!$C$3:$C$32,Worksheet!$S$3:$S$32)</f>
        <v>0.62195121951219512</v>
      </c>
    </row>
    <row r="103" spans="1:6" x14ac:dyDescent="0.2">
      <c r="A103" t="s">
        <v>545</v>
      </c>
      <c r="B103" s="4">
        <v>44722</v>
      </c>
      <c r="C103">
        <v>10.4</v>
      </c>
      <c r="D103" t="s">
        <v>55</v>
      </c>
      <c r="E103">
        <f>_xlfn.XLOOKUP(D103,Worksheet!$C$3:$C$32,Worksheet!$M$3:$M$32)</f>
        <v>106.9</v>
      </c>
      <c r="F103" s="19">
        <f>_xlfn.XLOOKUP(D103,Worksheet!$C$3:$C$32,Worksheet!$S$3:$S$32)</f>
        <v>0.62195121951219512</v>
      </c>
    </row>
    <row r="104" spans="1:6" x14ac:dyDescent="0.2">
      <c r="A104" t="s">
        <v>545</v>
      </c>
      <c r="B104" s="4">
        <v>44725</v>
      </c>
      <c r="C104">
        <v>15.7</v>
      </c>
      <c r="D104" t="s">
        <v>55</v>
      </c>
      <c r="E104">
        <f>_xlfn.XLOOKUP(D104,Worksheet!$C$3:$C$32,Worksheet!$M$3:$M$32)</f>
        <v>106.9</v>
      </c>
      <c r="F104" s="19">
        <f>_xlfn.XLOOKUP(D104,Worksheet!$C$3:$C$32,Worksheet!$S$3:$S$32)</f>
        <v>0.62195121951219512</v>
      </c>
    </row>
    <row r="105" spans="1:6" x14ac:dyDescent="0.2">
      <c r="A105" t="s">
        <v>545</v>
      </c>
      <c r="B105" s="4">
        <v>44728</v>
      </c>
      <c r="C105">
        <v>0.7</v>
      </c>
      <c r="D105" t="s">
        <v>55</v>
      </c>
      <c r="E105">
        <f>_xlfn.XLOOKUP(D105,Worksheet!$C$3:$C$32,Worksheet!$M$3:$M$32)</f>
        <v>106.9</v>
      </c>
      <c r="F105" s="19">
        <f>_xlfn.XLOOKUP(D105,Worksheet!$C$3:$C$32,Worksheet!$S$3:$S$32)</f>
        <v>0.62195121951219512</v>
      </c>
    </row>
    <row r="106" spans="1:6" x14ac:dyDescent="0.2">
      <c r="A106" t="s">
        <v>546</v>
      </c>
      <c r="B106" s="4">
        <v>44488</v>
      </c>
      <c r="C106">
        <v>24.2</v>
      </c>
      <c r="D106" t="s">
        <v>126</v>
      </c>
      <c r="E106">
        <f>_xlfn.XLOOKUP(D106,Worksheet!$C$3:$C$32,Worksheet!$M$3:$M$32)</f>
        <v>111.8</v>
      </c>
      <c r="F106" s="19">
        <f>_xlfn.XLOOKUP(D106,Worksheet!$C$3:$C$32,Worksheet!$S$3:$S$32)</f>
        <v>0.62195121951219512</v>
      </c>
    </row>
    <row r="107" spans="1:6" x14ac:dyDescent="0.2">
      <c r="A107" t="s">
        <v>546</v>
      </c>
      <c r="B107" s="4">
        <v>44491</v>
      </c>
      <c r="C107">
        <v>32</v>
      </c>
      <c r="D107" t="s">
        <v>94</v>
      </c>
      <c r="E107">
        <f>_xlfn.XLOOKUP(D107,Worksheet!$C$3:$C$32,Worksheet!$M$3:$M$32)</f>
        <v>110.8</v>
      </c>
      <c r="F107" s="19">
        <f>_xlfn.XLOOKUP(D107,Worksheet!$C$3:$C$32,Worksheet!$S$3:$S$32)</f>
        <v>0.62195121951219512</v>
      </c>
    </row>
    <row r="108" spans="1:6" x14ac:dyDescent="0.2">
      <c r="A108" t="s">
        <v>546</v>
      </c>
      <c r="B108" s="4">
        <v>44493</v>
      </c>
      <c r="C108">
        <v>30</v>
      </c>
      <c r="D108" t="s">
        <v>72</v>
      </c>
      <c r="E108">
        <f>_xlfn.XLOOKUP(D108,Worksheet!$C$3:$C$32,Worksheet!$M$3:$M$32)</f>
        <v>113.7</v>
      </c>
      <c r="F108" s="19">
        <f>_xlfn.XLOOKUP(D108,Worksheet!$C$3:$C$32,Worksheet!$S$3:$S$32)</f>
        <v>0.52439024390243905</v>
      </c>
    </row>
    <row r="109" spans="1:6" x14ac:dyDescent="0.2">
      <c r="A109" t="s">
        <v>546</v>
      </c>
      <c r="B109" s="4">
        <v>44494</v>
      </c>
      <c r="C109">
        <v>21.3</v>
      </c>
      <c r="D109" t="s">
        <v>155</v>
      </c>
      <c r="E109">
        <f>_xlfn.XLOOKUP(D109,Worksheet!$C$3:$C$32,Worksheet!$M$3:$M$32)</f>
        <v>114.5</v>
      </c>
      <c r="F109" s="19">
        <f>_xlfn.XLOOKUP(D109,Worksheet!$C$3:$C$32,Worksheet!$S$3:$S$32)</f>
        <v>0.42682926829268292</v>
      </c>
    </row>
    <row r="110" spans="1:6" x14ac:dyDescent="0.2">
      <c r="A110" t="s">
        <v>546</v>
      </c>
      <c r="B110" s="4">
        <v>44496</v>
      </c>
      <c r="C110">
        <v>17.3</v>
      </c>
      <c r="D110" t="s">
        <v>120</v>
      </c>
      <c r="E110">
        <f>_xlfn.XLOOKUP(D110,Worksheet!$C$3:$C$32,Worksheet!$M$3:$M$32)</f>
        <v>109.1</v>
      </c>
      <c r="F110" s="19">
        <f>_xlfn.XLOOKUP(D110,Worksheet!$C$3:$C$32,Worksheet!$S$3:$S$32)</f>
        <v>0.64634146341463417</v>
      </c>
    </row>
    <row r="111" spans="1:6" x14ac:dyDescent="0.2">
      <c r="A111" t="s">
        <v>546</v>
      </c>
      <c r="B111" s="4">
        <v>44498</v>
      </c>
      <c r="C111">
        <v>18.8</v>
      </c>
      <c r="D111" t="s">
        <v>108</v>
      </c>
      <c r="E111">
        <f>_xlfn.XLOOKUP(D111,Worksheet!$C$3:$C$32,Worksheet!$M$3:$M$32)</f>
        <v>116.1</v>
      </c>
      <c r="F111" s="19">
        <f>_xlfn.XLOOKUP(D111,Worksheet!$C$3:$C$32,Worksheet!$S$3:$S$32)</f>
        <v>0.3048780487804878</v>
      </c>
    </row>
    <row r="112" spans="1:6" x14ac:dyDescent="0.2">
      <c r="A112" t="s">
        <v>546</v>
      </c>
      <c r="B112" s="4">
        <v>44500</v>
      </c>
      <c r="C112">
        <v>17.8</v>
      </c>
      <c r="D112" t="s">
        <v>89</v>
      </c>
      <c r="E112">
        <f>_xlfn.XLOOKUP(D112,Worksheet!$C$3:$C$32,Worksheet!$M$3:$M$32)</f>
        <v>113.8</v>
      </c>
      <c r="F112" s="19">
        <f>_xlfn.XLOOKUP(D112,Worksheet!$C$3:$C$32,Worksheet!$S$3:$S$32)</f>
        <v>0.28048780487804881</v>
      </c>
    </row>
    <row r="113" spans="1:6" x14ac:dyDescent="0.2">
      <c r="A113" t="s">
        <v>546</v>
      </c>
      <c r="B113" s="4">
        <v>44503</v>
      </c>
      <c r="C113">
        <v>25.9</v>
      </c>
      <c r="D113" t="s">
        <v>78</v>
      </c>
      <c r="E113">
        <f>_xlfn.XLOOKUP(D113,Worksheet!$C$3:$C$32,Worksheet!$M$3:$M$32)</f>
        <v>114.9</v>
      </c>
      <c r="F113" s="19">
        <f>_xlfn.XLOOKUP(D113,Worksheet!$C$3:$C$32,Worksheet!$S$3:$S$32)</f>
        <v>0.52439024390243905</v>
      </c>
    </row>
    <row r="114" spans="1:6" x14ac:dyDescent="0.2">
      <c r="A114" t="s">
        <v>546</v>
      </c>
      <c r="B114" s="4">
        <v>44505</v>
      </c>
      <c r="C114">
        <v>18.7</v>
      </c>
      <c r="D114" t="s">
        <v>89</v>
      </c>
      <c r="E114">
        <f>_xlfn.XLOOKUP(D114,Worksheet!$C$3:$C$32,Worksheet!$M$3:$M$32)</f>
        <v>113.8</v>
      </c>
      <c r="F114" s="19">
        <f>_xlfn.XLOOKUP(D114,Worksheet!$C$3:$C$32,Worksheet!$S$3:$S$32)</f>
        <v>0.28048780487804881</v>
      </c>
    </row>
    <row r="115" spans="1:6" x14ac:dyDescent="0.2">
      <c r="A115" t="s">
        <v>546</v>
      </c>
      <c r="B115" s="4">
        <v>44507</v>
      </c>
      <c r="C115">
        <v>22.7</v>
      </c>
      <c r="D115" t="s">
        <v>92</v>
      </c>
      <c r="E115">
        <f>_xlfn.XLOOKUP(D115,Worksheet!$C$3:$C$32,Worksheet!$M$3:$M$32)</f>
        <v>110.5</v>
      </c>
      <c r="F115" s="19">
        <f>_xlfn.XLOOKUP(D115,Worksheet!$C$3:$C$32,Worksheet!$S$3:$S$32)</f>
        <v>0.58536585365853655</v>
      </c>
    </row>
    <row r="116" spans="1:6" x14ac:dyDescent="0.2">
      <c r="A116" t="s">
        <v>546</v>
      </c>
      <c r="B116" s="4">
        <v>44508</v>
      </c>
      <c r="C116">
        <v>30.5</v>
      </c>
      <c r="D116" t="s">
        <v>82</v>
      </c>
      <c r="E116">
        <f>_xlfn.XLOOKUP(D116,Worksheet!$C$3:$C$32,Worksheet!$M$3:$M$32)</f>
        <v>113.6</v>
      </c>
      <c r="F116" s="19">
        <f>_xlfn.XLOOKUP(D116,Worksheet!$C$3:$C$32,Worksheet!$S$3:$S$32)</f>
        <v>0.56097560975609762</v>
      </c>
    </row>
    <row r="117" spans="1:6" x14ac:dyDescent="0.2">
      <c r="A117" t="s">
        <v>546</v>
      </c>
      <c r="B117" s="4">
        <v>44510</v>
      </c>
      <c r="C117">
        <v>22.1</v>
      </c>
      <c r="D117" t="s">
        <v>104</v>
      </c>
      <c r="E117">
        <f>_xlfn.XLOOKUP(D117,Worksheet!$C$3:$C$32,Worksheet!$M$3:$M$32)</f>
        <v>112.5</v>
      </c>
      <c r="F117" s="19">
        <f>_xlfn.XLOOKUP(D117,Worksheet!$C$3:$C$32,Worksheet!$S$3:$S$32)</f>
        <v>0.26829268292682928</v>
      </c>
    </row>
    <row r="118" spans="1:6" x14ac:dyDescent="0.2">
      <c r="A118" t="s">
        <v>546</v>
      </c>
      <c r="B118" s="4">
        <v>44512</v>
      </c>
      <c r="C118">
        <v>25.8</v>
      </c>
      <c r="D118" t="s">
        <v>74</v>
      </c>
      <c r="E118">
        <f>_xlfn.XLOOKUP(D118,Worksheet!$C$3:$C$32,Worksheet!$M$3:$M$32)</f>
        <v>113</v>
      </c>
      <c r="F118" s="19">
        <f>_xlfn.XLOOKUP(D118,Worksheet!$C$3:$C$32,Worksheet!$S$3:$S$32)</f>
        <v>0.43902439024390244</v>
      </c>
    </row>
    <row r="119" spans="1:6" x14ac:dyDescent="0.2">
      <c r="A119" t="s">
        <v>546</v>
      </c>
      <c r="B119" s="4">
        <v>44514</v>
      </c>
      <c r="C119">
        <v>29.1</v>
      </c>
      <c r="D119" t="s">
        <v>68</v>
      </c>
      <c r="E119">
        <f>_xlfn.XLOOKUP(D119,Worksheet!$C$3:$C$32,Worksheet!$M$3:$M$32)</f>
        <v>112.8</v>
      </c>
      <c r="F119" s="19">
        <f>_xlfn.XLOOKUP(D119,Worksheet!$C$3:$C$32,Worksheet!$S$3:$S$32)</f>
        <v>0.29268292682926828</v>
      </c>
    </row>
    <row r="120" spans="1:6" x14ac:dyDescent="0.2">
      <c r="A120" t="s">
        <v>546</v>
      </c>
      <c r="B120" s="4">
        <v>44516</v>
      </c>
      <c r="C120">
        <v>9.3000000000000007</v>
      </c>
      <c r="D120" t="s">
        <v>33</v>
      </c>
      <c r="E120">
        <f>_xlfn.XLOOKUP(D120,Worksheet!$C$3:$C$32,Worksheet!$M$3:$M$32)</f>
        <v>106.9</v>
      </c>
      <c r="F120" s="19">
        <f>_xlfn.XLOOKUP(D120,Worksheet!$C$3:$C$32,Worksheet!$S$3:$S$32)</f>
        <v>0.64634146341463417</v>
      </c>
    </row>
    <row r="121" spans="1:6" x14ac:dyDescent="0.2">
      <c r="A121" t="s">
        <v>546</v>
      </c>
      <c r="B121" s="4">
        <v>44517</v>
      </c>
      <c r="C121">
        <v>17.7</v>
      </c>
      <c r="D121" t="s">
        <v>87</v>
      </c>
      <c r="E121">
        <f>_xlfn.XLOOKUP(D121,Worksheet!$C$3:$C$32,Worksheet!$M$3:$M$32)</f>
        <v>109.7</v>
      </c>
      <c r="F121" s="19">
        <f>_xlfn.XLOOKUP(D121,Worksheet!$C$3:$C$32,Worksheet!$S$3:$S$32)</f>
        <v>0.53658536585365857</v>
      </c>
    </row>
    <row r="122" spans="1:6" x14ac:dyDescent="0.2">
      <c r="A122" t="s">
        <v>546</v>
      </c>
      <c r="B122" s="4">
        <v>44519</v>
      </c>
      <c r="C122" t="s">
        <v>91</v>
      </c>
      <c r="D122" t="s">
        <v>104</v>
      </c>
      <c r="E122">
        <f>_xlfn.XLOOKUP(D122,Worksheet!$C$3:$C$32,Worksheet!$M$3:$M$32)</f>
        <v>112.5</v>
      </c>
      <c r="F122" s="19">
        <f>_xlfn.XLOOKUP(D122,Worksheet!$C$3:$C$32,Worksheet!$S$3:$S$32)</f>
        <v>0.26829268292682928</v>
      </c>
    </row>
    <row r="123" spans="1:6" x14ac:dyDescent="0.2">
      <c r="A123" t="s">
        <v>546</v>
      </c>
      <c r="B123" s="4">
        <v>44522</v>
      </c>
      <c r="C123">
        <v>23.9</v>
      </c>
      <c r="D123" t="s">
        <v>87</v>
      </c>
      <c r="E123">
        <f>_xlfn.XLOOKUP(D123,Worksheet!$C$3:$C$32,Worksheet!$M$3:$M$32)</f>
        <v>109.7</v>
      </c>
      <c r="F123" s="19">
        <f>_xlfn.XLOOKUP(D123,Worksheet!$C$3:$C$32,Worksheet!$S$3:$S$32)</f>
        <v>0.53658536585365857</v>
      </c>
    </row>
    <row r="124" spans="1:6" x14ac:dyDescent="0.2">
      <c r="A124" t="s">
        <v>546</v>
      </c>
      <c r="B124" s="4">
        <v>44524</v>
      </c>
      <c r="C124">
        <v>18</v>
      </c>
      <c r="D124" t="s">
        <v>55</v>
      </c>
      <c r="E124">
        <f>_xlfn.XLOOKUP(D124,Worksheet!$C$3:$C$32,Worksheet!$M$3:$M$32)</f>
        <v>106.9</v>
      </c>
      <c r="F124" s="19">
        <f>_xlfn.XLOOKUP(D124,Worksheet!$C$3:$C$32,Worksheet!$S$3:$S$32)</f>
        <v>0.62195121951219512</v>
      </c>
    </row>
    <row r="125" spans="1:6" x14ac:dyDescent="0.2">
      <c r="A125" t="s">
        <v>546</v>
      </c>
      <c r="B125" s="4">
        <v>44527</v>
      </c>
      <c r="C125">
        <v>30.1</v>
      </c>
      <c r="D125" t="s">
        <v>99</v>
      </c>
      <c r="E125">
        <f>_xlfn.XLOOKUP(D125,Worksheet!$C$3:$C$32,Worksheet!$M$3:$M$32)</f>
        <v>107.3</v>
      </c>
      <c r="F125" s="19">
        <f>_xlfn.XLOOKUP(D125,Worksheet!$C$3:$C$32,Worksheet!$S$3:$S$32)</f>
        <v>0.78048780487804881</v>
      </c>
    </row>
    <row r="126" spans="1:6" x14ac:dyDescent="0.2">
      <c r="A126" t="s">
        <v>546</v>
      </c>
      <c r="B126" s="4">
        <v>44530</v>
      </c>
      <c r="C126">
        <v>20.8</v>
      </c>
      <c r="D126" t="s">
        <v>110</v>
      </c>
      <c r="E126">
        <f>_xlfn.XLOOKUP(D126,Worksheet!$C$3:$C$32,Worksheet!$M$3:$M$32)</f>
        <v>110.5</v>
      </c>
      <c r="F126" s="19">
        <f>_xlfn.XLOOKUP(D126,Worksheet!$C$3:$C$32,Worksheet!$S$3:$S$32)</f>
        <v>0.45121951219512196</v>
      </c>
    </row>
    <row r="127" spans="1:6" x14ac:dyDescent="0.2">
      <c r="A127" t="s">
        <v>546</v>
      </c>
      <c r="B127" s="4">
        <v>44533</v>
      </c>
      <c r="C127">
        <v>21.6</v>
      </c>
      <c r="D127" t="s">
        <v>80</v>
      </c>
      <c r="E127">
        <f>_xlfn.XLOOKUP(D127,Worksheet!$C$3:$C$32,Worksheet!$M$3:$M$32)</f>
        <v>111.7</v>
      </c>
      <c r="F127" s="19">
        <f>_xlfn.XLOOKUP(D127,Worksheet!$C$3:$C$32,Worksheet!$S$3:$S$32)</f>
        <v>0.56097560975609762</v>
      </c>
    </row>
    <row r="128" spans="1:6" x14ac:dyDescent="0.2">
      <c r="A128" t="s">
        <v>546</v>
      </c>
      <c r="B128" s="4">
        <v>44534</v>
      </c>
      <c r="C128">
        <v>18.8</v>
      </c>
      <c r="D128" t="s">
        <v>82</v>
      </c>
      <c r="E128">
        <f>_xlfn.XLOOKUP(D128,Worksheet!$C$3:$C$32,Worksheet!$M$3:$M$32)</f>
        <v>113.6</v>
      </c>
      <c r="F128" s="19">
        <f>_xlfn.XLOOKUP(D128,Worksheet!$C$3:$C$32,Worksheet!$S$3:$S$32)</f>
        <v>0.56097560975609762</v>
      </c>
    </row>
    <row r="129" spans="1:6" x14ac:dyDescent="0.2">
      <c r="A129" t="s">
        <v>546</v>
      </c>
      <c r="B129" s="4">
        <v>44537</v>
      </c>
      <c r="C129">
        <v>15.9</v>
      </c>
      <c r="D129" t="s">
        <v>49</v>
      </c>
      <c r="E129">
        <f>_xlfn.XLOOKUP(D129,Worksheet!$C$3:$C$32,Worksheet!$M$3:$M$32)</f>
        <v>109.4</v>
      </c>
      <c r="F129" s="19">
        <f>_xlfn.XLOOKUP(D129,Worksheet!$C$3:$C$32,Worksheet!$S$3:$S$32)</f>
        <v>0.63414634146341464</v>
      </c>
    </row>
    <row r="130" spans="1:6" x14ac:dyDescent="0.2">
      <c r="A130" t="s">
        <v>546</v>
      </c>
      <c r="B130" s="4">
        <v>44538</v>
      </c>
      <c r="C130" t="s">
        <v>91</v>
      </c>
      <c r="D130" t="s">
        <v>76</v>
      </c>
      <c r="E130">
        <f>_xlfn.XLOOKUP(D130,Worksheet!$C$3:$C$32,Worksheet!$M$3:$M$32)</f>
        <v>116.7</v>
      </c>
      <c r="F130" s="19">
        <f>_xlfn.XLOOKUP(D130,Worksheet!$C$3:$C$32,Worksheet!$S$3:$S$32)</f>
        <v>0.24390243902439024</v>
      </c>
    </row>
    <row r="131" spans="1:6" x14ac:dyDescent="0.2">
      <c r="A131" t="s">
        <v>546</v>
      </c>
      <c r="B131" s="4">
        <v>44540</v>
      </c>
      <c r="C131">
        <v>22.2</v>
      </c>
      <c r="D131" t="s">
        <v>78</v>
      </c>
      <c r="E131">
        <f>_xlfn.XLOOKUP(D131,Worksheet!$C$3:$C$32,Worksheet!$M$3:$M$32)</f>
        <v>114.9</v>
      </c>
      <c r="F131" s="19">
        <f>_xlfn.XLOOKUP(D131,Worksheet!$C$3:$C$32,Worksheet!$S$3:$S$32)</f>
        <v>0.52439024390243905</v>
      </c>
    </row>
    <row r="132" spans="1:6" x14ac:dyDescent="0.2">
      <c r="A132" t="s">
        <v>546</v>
      </c>
      <c r="B132" s="4">
        <v>44542</v>
      </c>
      <c r="C132">
        <v>39.1</v>
      </c>
      <c r="D132" t="s">
        <v>89</v>
      </c>
      <c r="E132">
        <f>_xlfn.XLOOKUP(D132,Worksheet!$C$3:$C$32,Worksheet!$M$3:$M$32)</f>
        <v>113.8</v>
      </c>
      <c r="F132" s="19">
        <f>_xlfn.XLOOKUP(D132,Worksheet!$C$3:$C$32,Worksheet!$S$3:$S$32)</f>
        <v>0.28048780487804881</v>
      </c>
    </row>
    <row r="133" spans="1:6" x14ac:dyDescent="0.2">
      <c r="A133" t="s">
        <v>546</v>
      </c>
      <c r="B133" s="4">
        <v>44544</v>
      </c>
      <c r="C133">
        <v>26.8</v>
      </c>
      <c r="D133" t="s">
        <v>92</v>
      </c>
      <c r="E133">
        <f>_xlfn.XLOOKUP(D133,Worksheet!$C$3:$C$32,Worksheet!$M$3:$M$32)</f>
        <v>110.5</v>
      </c>
      <c r="F133" s="19">
        <f>_xlfn.XLOOKUP(D133,Worksheet!$C$3:$C$32,Worksheet!$S$3:$S$32)</f>
        <v>0.58536585365853655</v>
      </c>
    </row>
    <row r="134" spans="1:6" x14ac:dyDescent="0.2">
      <c r="A134" t="s">
        <v>546</v>
      </c>
      <c r="B134" s="4">
        <v>44546</v>
      </c>
      <c r="C134">
        <v>28</v>
      </c>
      <c r="D134" t="s">
        <v>94</v>
      </c>
      <c r="E134">
        <f>_xlfn.XLOOKUP(D134,Worksheet!$C$3:$C$32,Worksheet!$M$3:$M$32)</f>
        <v>110.8</v>
      </c>
      <c r="F134" s="19">
        <f>_xlfn.XLOOKUP(D134,Worksheet!$C$3:$C$32,Worksheet!$S$3:$S$32)</f>
        <v>0.62195121951219512</v>
      </c>
    </row>
    <row r="135" spans="1:6" x14ac:dyDescent="0.2">
      <c r="A135" t="s">
        <v>546</v>
      </c>
      <c r="B135" s="4">
        <v>44548</v>
      </c>
      <c r="C135" t="s">
        <v>91</v>
      </c>
      <c r="D135" t="s">
        <v>104</v>
      </c>
      <c r="E135">
        <f>_xlfn.XLOOKUP(D135,Worksheet!$C$3:$C$32,Worksheet!$M$3:$M$32)</f>
        <v>112.5</v>
      </c>
      <c r="F135" s="19">
        <f>_xlfn.XLOOKUP(D135,Worksheet!$C$3:$C$32,Worksheet!$S$3:$S$32)</f>
        <v>0.26829268292682928</v>
      </c>
    </row>
    <row r="136" spans="1:6" x14ac:dyDescent="0.2">
      <c r="A136" t="s">
        <v>546</v>
      </c>
      <c r="B136" s="4">
        <v>44555</v>
      </c>
      <c r="C136" t="s">
        <v>91</v>
      </c>
      <c r="D136" t="s">
        <v>62</v>
      </c>
      <c r="E136">
        <f>_xlfn.XLOOKUP(D136,Worksheet!$C$3:$C$32,Worksheet!$M$3:$M$32)</f>
        <v>113.3</v>
      </c>
      <c r="F136" s="19">
        <f>_xlfn.XLOOKUP(D136,Worksheet!$C$3:$C$32,Worksheet!$S$3:$S$32)</f>
        <v>0.40243902439024393</v>
      </c>
    </row>
    <row r="137" spans="1:6" x14ac:dyDescent="0.2">
      <c r="A137" t="s">
        <v>546</v>
      </c>
      <c r="B137" s="4">
        <v>44557</v>
      </c>
      <c r="C137" t="s">
        <v>91</v>
      </c>
      <c r="D137" t="s">
        <v>64</v>
      </c>
      <c r="E137">
        <f>_xlfn.XLOOKUP(D137,Worksheet!$C$3:$C$32,Worksheet!$M$3:$M$32)</f>
        <v>110.1</v>
      </c>
      <c r="F137" s="19">
        <f>_xlfn.XLOOKUP(D137,Worksheet!$C$3:$C$32,Worksheet!$S$3:$S$32)</f>
        <v>0.51219512195121952</v>
      </c>
    </row>
    <row r="138" spans="1:6" x14ac:dyDescent="0.2">
      <c r="A138" t="s">
        <v>546</v>
      </c>
      <c r="B138" s="4">
        <v>44560</v>
      </c>
      <c r="C138">
        <v>21.1</v>
      </c>
      <c r="D138" t="s">
        <v>94</v>
      </c>
      <c r="E138">
        <f>_xlfn.XLOOKUP(D138,Worksheet!$C$3:$C$32,Worksheet!$M$3:$M$32)</f>
        <v>110.8</v>
      </c>
      <c r="F138" s="19">
        <f>_xlfn.XLOOKUP(D138,Worksheet!$C$3:$C$32,Worksheet!$S$3:$S$32)</f>
        <v>0.62195121951219512</v>
      </c>
    </row>
    <row r="139" spans="1:6" x14ac:dyDescent="0.2">
      <c r="A139" t="s">
        <v>546</v>
      </c>
      <c r="B139" s="4">
        <v>44562</v>
      </c>
      <c r="C139">
        <v>17.3</v>
      </c>
      <c r="D139" t="s">
        <v>64</v>
      </c>
      <c r="E139">
        <f>_xlfn.XLOOKUP(D139,Worksheet!$C$3:$C$32,Worksheet!$M$3:$M$32)</f>
        <v>110.1</v>
      </c>
      <c r="F139" s="19">
        <f>_xlfn.XLOOKUP(D139,Worksheet!$C$3:$C$32,Worksheet!$S$3:$S$32)</f>
        <v>0.51219512195121952</v>
      </c>
    </row>
    <row r="140" spans="1:6" x14ac:dyDescent="0.2">
      <c r="A140" t="s">
        <v>546</v>
      </c>
      <c r="B140" s="4">
        <v>44564</v>
      </c>
      <c r="C140">
        <v>19.8</v>
      </c>
      <c r="D140" t="s">
        <v>42</v>
      </c>
      <c r="E140">
        <f>_xlfn.XLOOKUP(D140,Worksheet!$C$3:$C$32,Worksheet!$M$3:$M$32)</f>
        <v>109</v>
      </c>
      <c r="F140" s="19">
        <f>_xlfn.XLOOKUP(D140,Worksheet!$C$3:$C$32,Worksheet!$S$3:$S$32)</f>
        <v>0.68292682926829273</v>
      </c>
    </row>
    <row r="141" spans="1:6" x14ac:dyDescent="0.2">
      <c r="A141" t="s">
        <v>546</v>
      </c>
      <c r="B141" s="4">
        <v>44566</v>
      </c>
      <c r="C141">
        <v>32.700000000000003</v>
      </c>
      <c r="D141" t="s">
        <v>108</v>
      </c>
      <c r="E141">
        <f>_xlfn.XLOOKUP(D141,Worksheet!$C$3:$C$32,Worksheet!$M$3:$M$32)</f>
        <v>116.1</v>
      </c>
      <c r="F141" s="19">
        <f>_xlfn.XLOOKUP(D141,Worksheet!$C$3:$C$32,Worksheet!$S$3:$S$32)</f>
        <v>0.3048780487804878</v>
      </c>
    </row>
    <row r="142" spans="1:6" x14ac:dyDescent="0.2">
      <c r="A142" t="s">
        <v>546</v>
      </c>
      <c r="B142" s="4">
        <v>44568</v>
      </c>
      <c r="C142">
        <v>26.2</v>
      </c>
      <c r="D142" t="s">
        <v>126</v>
      </c>
      <c r="E142">
        <f>_xlfn.XLOOKUP(D142,Worksheet!$C$3:$C$32,Worksheet!$M$3:$M$32)</f>
        <v>111.8</v>
      </c>
      <c r="F142" s="19">
        <f>_xlfn.XLOOKUP(D142,Worksheet!$C$3:$C$32,Worksheet!$S$3:$S$32)</f>
        <v>0.62195121951219512</v>
      </c>
    </row>
    <row r="143" spans="1:6" x14ac:dyDescent="0.2">
      <c r="A143" t="s">
        <v>546</v>
      </c>
      <c r="B143" s="4">
        <v>44570</v>
      </c>
      <c r="C143">
        <v>22.4</v>
      </c>
      <c r="D143" t="s">
        <v>102</v>
      </c>
      <c r="E143">
        <f>_xlfn.XLOOKUP(D143,Worksheet!$C$3:$C$32,Worksheet!$M$3:$M$32)</f>
        <v>112.3</v>
      </c>
      <c r="F143" s="19">
        <f>_xlfn.XLOOKUP(D143,Worksheet!$C$3:$C$32,Worksheet!$S$3:$S$32)</f>
        <v>0.41463414634146339</v>
      </c>
    </row>
    <row r="144" spans="1:6" x14ac:dyDescent="0.2">
      <c r="A144" t="s">
        <v>546</v>
      </c>
      <c r="B144" s="4">
        <v>44571</v>
      </c>
      <c r="C144">
        <v>26.1</v>
      </c>
      <c r="D144" t="s">
        <v>96</v>
      </c>
      <c r="E144">
        <f>_xlfn.XLOOKUP(D144,Worksheet!$C$3:$C$32,Worksheet!$M$3:$M$32)</f>
        <v>116.9</v>
      </c>
      <c r="F144" s="19">
        <f>_xlfn.XLOOKUP(D144,Worksheet!$C$3:$C$32,Worksheet!$S$3:$S$32)</f>
        <v>0.32926829268292684</v>
      </c>
    </row>
    <row r="145" spans="1:6" x14ac:dyDescent="0.2">
      <c r="A145" t="s">
        <v>546</v>
      </c>
      <c r="B145" s="4">
        <v>44573</v>
      </c>
      <c r="C145">
        <v>29.5</v>
      </c>
      <c r="D145" t="s">
        <v>82</v>
      </c>
      <c r="E145">
        <f>_xlfn.XLOOKUP(D145,Worksheet!$C$3:$C$32,Worksheet!$M$3:$M$32)</f>
        <v>113.6</v>
      </c>
      <c r="F145" s="19">
        <f>_xlfn.XLOOKUP(D145,Worksheet!$C$3:$C$32,Worksheet!$S$3:$S$32)</f>
        <v>0.56097560975609762</v>
      </c>
    </row>
    <row r="146" spans="1:6" x14ac:dyDescent="0.2">
      <c r="A146" t="s">
        <v>546</v>
      </c>
      <c r="B146" s="4">
        <v>44574</v>
      </c>
      <c r="C146" t="s">
        <v>91</v>
      </c>
      <c r="D146" t="s">
        <v>68</v>
      </c>
      <c r="E146">
        <f>_xlfn.XLOOKUP(D146,Worksheet!$C$3:$C$32,Worksheet!$M$3:$M$32)</f>
        <v>112.8</v>
      </c>
      <c r="F146" s="19">
        <f>_xlfn.XLOOKUP(D146,Worksheet!$C$3:$C$32,Worksheet!$S$3:$S$32)</f>
        <v>0.29268292682926828</v>
      </c>
    </row>
    <row r="147" spans="1:6" x14ac:dyDescent="0.2">
      <c r="A147" t="s">
        <v>546</v>
      </c>
      <c r="B147" s="4">
        <v>44576</v>
      </c>
      <c r="C147">
        <v>10.6</v>
      </c>
      <c r="D147" t="s">
        <v>74</v>
      </c>
      <c r="E147">
        <f>_xlfn.XLOOKUP(D147,Worksheet!$C$3:$C$32,Worksheet!$M$3:$M$32)</f>
        <v>113</v>
      </c>
      <c r="F147" s="19">
        <f>_xlfn.XLOOKUP(D147,Worksheet!$C$3:$C$32,Worksheet!$S$3:$S$32)</f>
        <v>0.43902439024390244</v>
      </c>
    </row>
    <row r="148" spans="1:6" x14ac:dyDescent="0.2">
      <c r="A148" t="s">
        <v>546</v>
      </c>
      <c r="B148" s="4">
        <v>44578</v>
      </c>
      <c r="C148" t="s">
        <v>91</v>
      </c>
      <c r="D148" t="s">
        <v>87</v>
      </c>
      <c r="E148">
        <f>_xlfn.XLOOKUP(D148,Worksheet!$C$3:$C$32,Worksheet!$M$3:$M$32)</f>
        <v>109.7</v>
      </c>
      <c r="F148" s="19">
        <f>_xlfn.XLOOKUP(D148,Worksheet!$C$3:$C$32,Worksheet!$S$3:$S$32)</f>
        <v>0.53658536585365857</v>
      </c>
    </row>
    <row r="149" spans="1:6" x14ac:dyDescent="0.2">
      <c r="A149" t="s">
        <v>546</v>
      </c>
      <c r="B149" s="4">
        <v>44580</v>
      </c>
      <c r="C149" t="s">
        <v>91</v>
      </c>
      <c r="D149" t="s">
        <v>155</v>
      </c>
      <c r="E149">
        <f>_xlfn.XLOOKUP(D149,Worksheet!$C$3:$C$32,Worksheet!$M$3:$M$32)</f>
        <v>114.5</v>
      </c>
      <c r="F149" s="19">
        <f>_xlfn.XLOOKUP(D149,Worksheet!$C$3:$C$32,Worksheet!$S$3:$S$32)</f>
        <v>0.42682926829268292</v>
      </c>
    </row>
    <row r="150" spans="1:6" x14ac:dyDescent="0.2">
      <c r="A150" t="s">
        <v>546</v>
      </c>
      <c r="B150" s="4">
        <v>44582</v>
      </c>
      <c r="C150" t="s">
        <v>91</v>
      </c>
      <c r="D150" t="s">
        <v>102</v>
      </c>
      <c r="E150">
        <f>_xlfn.XLOOKUP(D150,Worksheet!$C$3:$C$32,Worksheet!$M$3:$M$32)</f>
        <v>112.3</v>
      </c>
      <c r="F150" s="19">
        <f>_xlfn.XLOOKUP(D150,Worksheet!$C$3:$C$32,Worksheet!$S$3:$S$32)</f>
        <v>0.41463414634146339</v>
      </c>
    </row>
    <row r="151" spans="1:6" x14ac:dyDescent="0.2">
      <c r="A151" t="s">
        <v>546</v>
      </c>
      <c r="B151" s="4">
        <v>44584</v>
      </c>
      <c r="C151" t="s">
        <v>91</v>
      </c>
      <c r="D151" t="s">
        <v>80</v>
      </c>
      <c r="E151">
        <f>_xlfn.XLOOKUP(D151,Worksheet!$C$3:$C$32,Worksheet!$M$3:$M$32)</f>
        <v>111.7</v>
      </c>
      <c r="F151" s="19">
        <f>_xlfn.XLOOKUP(D151,Worksheet!$C$3:$C$32,Worksheet!$S$3:$S$32)</f>
        <v>0.56097560975609762</v>
      </c>
    </row>
    <row r="152" spans="1:6" x14ac:dyDescent="0.2">
      <c r="A152" t="s">
        <v>546</v>
      </c>
      <c r="B152" s="4">
        <v>44586</v>
      </c>
      <c r="C152" t="s">
        <v>91</v>
      </c>
      <c r="D152" t="s">
        <v>62</v>
      </c>
      <c r="E152">
        <f>_xlfn.XLOOKUP(D152,Worksheet!$C$3:$C$32,Worksheet!$M$3:$M$32)</f>
        <v>113.3</v>
      </c>
      <c r="F152" s="19">
        <f>_xlfn.XLOOKUP(D152,Worksheet!$C$3:$C$32,Worksheet!$S$3:$S$32)</f>
        <v>0.40243902439024393</v>
      </c>
    </row>
    <row r="153" spans="1:6" x14ac:dyDescent="0.2">
      <c r="A153" t="s">
        <v>546</v>
      </c>
      <c r="B153" s="4">
        <v>44587</v>
      </c>
      <c r="C153" t="s">
        <v>91</v>
      </c>
      <c r="D153" t="s">
        <v>34</v>
      </c>
      <c r="E153">
        <f>_xlfn.XLOOKUP(D153,Worksheet!$C$3:$C$32,Worksheet!$M$3:$M$32)</f>
        <v>112.1</v>
      </c>
      <c r="F153" s="19">
        <f>_xlfn.XLOOKUP(D153,Worksheet!$C$3:$C$32,Worksheet!$S$3:$S$32)</f>
        <v>0.58536585365853655</v>
      </c>
    </row>
    <row r="154" spans="1:6" x14ac:dyDescent="0.2">
      <c r="A154" t="s">
        <v>546</v>
      </c>
      <c r="B154" s="4">
        <v>44590</v>
      </c>
      <c r="C154" t="s">
        <v>91</v>
      </c>
      <c r="D154" t="s">
        <v>33</v>
      </c>
      <c r="E154">
        <f>_xlfn.XLOOKUP(D154,Worksheet!$C$3:$C$32,Worksheet!$M$3:$M$32)</f>
        <v>106.9</v>
      </c>
      <c r="F154" s="19">
        <f>_xlfn.XLOOKUP(D154,Worksheet!$C$3:$C$32,Worksheet!$S$3:$S$32)</f>
        <v>0.64634146341463417</v>
      </c>
    </row>
    <row r="155" spans="1:6" x14ac:dyDescent="0.2">
      <c r="A155" t="s">
        <v>546</v>
      </c>
      <c r="B155" s="4">
        <v>44593</v>
      </c>
      <c r="C155" t="s">
        <v>91</v>
      </c>
      <c r="D155" t="s">
        <v>99</v>
      </c>
      <c r="E155">
        <f>_xlfn.XLOOKUP(D155,Worksheet!$C$3:$C$32,Worksheet!$M$3:$M$32)</f>
        <v>107.3</v>
      </c>
      <c r="F155" s="19">
        <f>_xlfn.XLOOKUP(D155,Worksheet!$C$3:$C$32,Worksheet!$S$3:$S$32)</f>
        <v>0.78048780487804881</v>
      </c>
    </row>
    <row r="156" spans="1:6" x14ac:dyDescent="0.2">
      <c r="A156" t="s">
        <v>546</v>
      </c>
      <c r="B156" s="4">
        <v>44594</v>
      </c>
      <c r="C156" t="s">
        <v>91</v>
      </c>
      <c r="D156" t="s">
        <v>66</v>
      </c>
      <c r="E156">
        <f>_xlfn.XLOOKUP(D156,Worksheet!$C$3:$C$32,Worksheet!$M$3:$M$32)</f>
        <v>115.3</v>
      </c>
      <c r="F156" s="19">
        <f>_xlfn.XLOOKUP(D156,Worksheet!$C$3:$C$32,Worksheet!$S$3:$S$32)</f>
        <v>0.36585365853658536</v>
      </c>
    </row>
    <row r="157" spans="1:6" x14ac:dyDescent="0.2">
      <c r="A157" t="s">
        <v>546</v>
      </c>
      <c r="B157" s="4">
        <v>44596</v>
      </c>
      <c r="C157" t="s">
        <v>91</v>
      </c>
      <c r="D157" t="s">
        <v>118</v>
      </c>
      <c r="E157">
        <f>_xlfn.XLOOKUP(D157,Worksheet!$C$3:$C$32,Worksheet!$M$3:$M$32)</f>
        <v>110.5</v>
      </c>
      <c r="F157" s="19">
        <f>_xlfn.XLOOKUP(D157,Worksheet!$C$3:$C$32,Worksheet!$S$3:$S$32)</f>
        <v>0.59756097560975607</v>
      </c>
    </row>
    <row r="158" spans="1:6" x14ac:dyDescent="0.2">
      <c r="A158" t="s">
        <v>546</v>
      </c>
      <c r="B158" s="4">
        <v>44598</v>
      </c>
      <c r="C158" t="s">
        <v>91</v>
      </c>
      <c r="D158" t="s">
        <v>34</v>
      </c>
      <c r="E158">
        <f>_xlfn.XLOOKUP(D158,Worksheet!$C$3:$C$32,Worksheet!$M$3:$M$32)</f>
        <v>112.1</v>
      </c>
      <c r="F158" s="19">
        <f>_xlfn.XLOOKUP(D158,Worksheet!$C$3:$C$32,Worksheet!$S$3:$S$32)</f>
        <v>0.58536585365853655</v>
      </c>
    </row>
    <row r="159" spans="1:6" x14ac:dyDescent="0.2">
      <c r="A159" t="s">
        <v>546</v>
      </c>
      <c r="B159" s="4">
        <v>44600</v>
      </c>
      <c r="C159" t="s">
        <v>91</v>
      </c>
      <c r="D159" t="s">
        <v>55</v>
      </c>
      <c r="E159">
        <f>_xlfn.XLOOKUP(D159,Worksheet!$C$3:$C$32,Worksheet!$M$3:$M$32)</f>
        <v>106.9</v>
      </c>
      <c r="F159" s="19">
        <f>_xlfn.XLOOKUP(D159,Worksheet!$C$3:$C$32,Worksheet!$S$3:$S$32)</f>
        <v>0.62195121951219512</v>
      </c>
    </row>
    <row r="160" spans="1:6" x14ac:dyDescent="0.2">
      <c r="A160" t="s">
        <v>546</v>
      </c>
      <c r="B160" s="4">
        <v>44602</v>
      </c>
      <c r="C160" t="s">
        <v>91</v>
      </c>
      <c r="D160" t="s">
        <v>155</v>
      </c>
      <c r="E160">
        <f>_xlfn.XLOOKUP(D160,Worksheet!$C$3:$C$32,Worksheet!$M$3:$M$32)</f>
        <v>114.5</v>
      </c>
      <c r="F160" s="19">
        <f>_xlfn.XLOOKUP(D160,Worksheet!$C$3:$C$32,Worksheet!$S$3:$S$32)</f>
        <v>0.42682926829268292</v>
      </c>
    </row>
    <row r="161" spans="1:6" x14ac:dyDescent="0.2">
      <c r="A161" t="s">
        <v>546</v>
      </c>
      <c r="B161" s="4">
        <v>44604</v>
      </c>
      <c r="C161" t="s">
        <v>91</v>
      </c>
      <c r="D161" t="s">
        <v>120</v>
      </c>
      <c r="E161">
        <f>_xlfn.XLOOKUP(D161,Worksheet!$C$3:$C$32,Worksheet!$M$3:$M$32)</f>
        <v>109.1</v>
      </c>
      <c r="F161" s="19">
        <f>_xlfn.XLOOKUP(D161,Worksheet!$C$3:$C$32,Worksheet!$S$3:$S$32)</f>
        <v>0.64634146341463417</v>
      </c>
    </row>
    <row r="162" spans="1:6" x14ac:dyDescent="0.2">
      <c r="A162" t="s">
        <v>546</v>
      </c>
      <c r="B162" s="4">
        <v>44606</v>
      </c>
      <c r="C162" t="s">
        <v>91</v>
      </c>
      <c r="D162" t="s">
        <v>66</v>
      </c>
      <c r="E162">
        <f>_xlfn.XLOOKUP(D162,Worksheet!$C$3:$C$32,Worksheet!$M$3:$M$32)</f>
        <v>115.3</v>
      </c>
      <c r="F162" s="19">
        <f>_xlfn.XLOOKUP(D162,Worksheet!$C$3:$C$32,Worksheet!$S$3:$S$32)</f>
        <v>0.36585365853658536</v>
      </c>
    </row>
    <row r="163" spans="1:6" x14ac:dyDescent="0.2">
      <c r="A163" t="s">
        <v>546</v>
      </c>
      <c r="B163" s="4">
        <v>44608</v>
      </c>
      <c r="C163" t="s">
        <v>91</v>
      </c>
      <c r="D163" t="s">
        <v>110</v>
      </c>
      <c r="E163">
        <f>_xlfn.XLOOKUP(D163,Worksheet!$C$3:$C$32,Worksheet!$M$3:$M$32)</f>
        <v>110.5</v>
      </c>
      <c r="F163" s="19">
        <f>_xlfn.XLOOKUP(D163,Worksheet!$C$3:$C$32,Worksheet!$S$3:$S$32)</f>
        <v>0.45121951219512196</v>
      </c>
    </row>
    <row r="164" spans="1:6" x14ac:dyDescent="0.2">
      <c r="A164" t="s">
        <v>546</v>
      </c>
      <c r="B164" s="4">
        <v>44609</v>
      </c>
      <c r="C164" t="s">
        <v>91</v>
      </c>
      <c r="D164" t="s">
        <v>155</v>
      </c>
      <c r="E164">
        <f>_xlfn.XLOOKUP(D164,Worksheet!$C$3:$C$32,Worksheet!$M$3:$M$32)</f>
        <v>114.5</v>
      </c>
      <c r="F164" s="19">
        <f>_xlfn.XLOOKUP(D164,Worksheet!$C$3:$C$32,Worksheet!$S$3:$S$32)</f>
        <v>0.42682926829268292</v>
      </c>
    </row>
    <row r="165" spans="1:6" x14ac:dyDescent="0.2">
      <c r="A165" t="s">
        <v>546</v>
      </c>
      <c r="B165" s="4">
        <v>44616</v>
      </c>
      <c r="C165" t="s">
        <v>91</v>
      </c>
      <c r="D165" t="s">
        <v>55</v>
      </c>
      <c r="E165">
        <f>_xlfn.XLOOKUP(D165,Worksheet!$C$3:$C$32,Worksheet!$M$3:$M$32)</f>
        <v>106.9</v>
      </c>
      <c r="F165" s="19">
        <f>_xlfn.XLOOKUP(D165,Worksheet!$C$3:$C$32,Worksheet!$S$3:$S$32)</f>
        <v>0.62195121951219512</v>
      </c>
    </row>
    <row r="166" spans="1:6" x14ac:dyDescent="0.2">
      <c r="A166" t="s">
        <v>546</v>
      </c>
      <c r="B166" s="4">
        <v>44618</v>
      </c>
      <c r="C166" t="s">
        <v>91</v>
      </c>
      <c r="D166" t="s">
        <v>126</v>
      </c>
      <c r="E166">
        <f>_xlfn.XLOOKUP(D166,Worksheet!$C$3:$C$32,Worksheet!$M$3:$M$32)</f>
        <v>111.8</v>
      </c>
      <c r="F166" s="19">
        <f>_xlfn.XLOOKUP(D166,Worksheet!$C$3:$C$32,Worksheet!$S$3:$S$32)</f>
        <v>0.62195121951219512</v>
      </c>
    </row>
    <row r="167" spans="1:6" x14ac:dyDescent="0.2">
      <c r="A167" t="s">
        <v>546</v>
      </c>
      <c r="B167" s="4">
        <v>44620</v>
      </c>
      <c r="C167" t="s">
        <v>91</v>
      </c>
      <c r="D167" t="s">
        <v>92</v>
      </c>
      <c r="E167">
        <f>_xlfn.XLOOKUP(D167,Worksheet!$C$3:$C$32,Worksheet!$M$3:$M$32)</f>
        <v>110.5</v>
      </c>
      <c r="F167" s="19">
        <f>_xlfn.XLOOKUP(D167,Worksheet!$C$3:$C$32,Worksheet!$S$3:$S$32)</f>
        <v>0.58536585365853655</v>
      </c>
    </row>
    <row r="168" spans="1:6" x14ac:dyDescent="0.2">
      <c r="A168" t="s">
        <v>546</v>
      </c>
      <c r="B168" s="4">
        <v>44621</v>
      </c>
      <c r="C168" t="s">
        <v>91</v>
      </c>
      <c r="D168" t="s">
        <v>92</v>
      </c>
      <c r="E168">
        <f>_xlfn.XLOOKUP(D168,Worksheet!$C$3:$C$32,Worksheet!$M$3:$M$32)</f>
        <v>110.5</v>
      </c>
      <c r="F168" s="19">
        <f>_xlfn.XLOOKUP(D168,Worksheet!$C$3:$C$32,Worksheet!$S$3:$S$32)</f>
        <v>0.58536585365853655</v>
      </c>
    </row>
    <row r="169" spans="1:6" x14ac:dyDescent="0.2">
      <c r="A169" t="s">
        <v>546</v>
      </c>
      <c r="B169" s="4">
        <v>44623</v>
      </c>
      <c r="C169">
        <v>20.399999999999999</v>
      </c>
      <c r="D169" t="s">
        <v>120</v>
      </c>
      <c r="E169">
        <f>_xlfn.XLOOKUP(D169,Worksheet!$C$3:$C$32,Worksheet!$M$3:$M$32)</f>
        <v>109.1</v>
      </c>
      <c r="F169" s="19">
        <f>_xlfn.XLOOKUP(D169,Worksheet!$C$3:$C$32,Worksheet!$S$3:$S$32)</f>
        <v>0.64634146341463417</v>
      </c>
    </row>
    <row r="170" spans="1:6" x14ac:dyDescent="0.2">
      <c r="A170" t="s">
        <v>546</v>
      </c>
      <c r="B170" s="4">
        <v>44626</v>
      </c>
      <c r="C170">
        <v>29.1</v>
      </c>
      <c r="D170" t="s">
        <v>55</v>
      </c>
      <c r="E170">
        <f>_xlfn.XLOOKUP(D170,Worksheet!$C$3:$C$32,Worksheet!$M$3:$M$32)</f>
        <v>106.9</v>
      </c>
      <c r="F170" s="19">
        <f>_xlfn.XLOOKUP(D170,Worksheet!$C$3:$C$32,Worksheet!$S$3:$S$32)</f>
        <v>0.62195121951219512</v>
      </c>
    </row>
    <row r="171" spans="1:6" x14ac:dyDescent="0.2">
      <c r="A171" t="s">
        <v>546</v>
      </c>
      <c r="B171" s="4">
        <v>44628</v>
      </c>
      <c r="C171">
        <v>6.5</v>
      </c>
      <c r="D171" t="s">
        <v>72</v>
      </c>
      <c r="E171">
        <f>_xlfn.XLOOKUP(D171,Worksheet!$C$3:$C$32,Worksheet!$M$3:$M$32)</f>
        <v>113.7</v>
      </c>
      <c r="F171" s="19">
        <f>_xlfn.XLOOKUP(D171,Worksheet!$C$3:$C$32,Worksheet!$S$3:$S$32)</f>
        <v>0.52439024390243905</v>
      </c>
    </row>
    <row r="172" spans="1:6" x14ac:dyDescent="0.2">
      <c r="A172" t="s">
        <v>546</v>
      </c>
      <c r="B172" s="4">
        <v>44630</v>
      </c>
      <c r="C172">
        <v>22.7</v>
      </c>
      <c r="D172" t="s">
        <v>94</v>
      </c>
      <c r="E172">
        <f>_xlfn.XLOOKUP(D172,Worksheet!$C$3:$C$32,Worksheet!$M$3:$M$32)</f>
        <v>110.8</v>
      </c>
      <c r="F172" s="19">
        <f>_xlfn.XLOOKUP(D172,Worksheet!$C$3:$C$32,Worksheet!$S$3:$S$32)</f>
        <v>0.62195121951219512</v>
      </c>
    </row>
    <row r="173" spans="1:6" x14ac:dyDescent="0.2">
      <c r="A173" t="s">
        <v>546</v>
      </c>
      <c r="B173" s="4">
        <v>44633</v>
      </c>
      <c r="C173">
        <v>38.6</v>
      </c>
      <c r="D173" t="s">
        <v>110</v>
      </c>
      <c r="E173">
        <f>_xlfn.XLOOKUP(D173,Worksheet!$C$3:$C$32,Worksheet!$M$3:$M$32)</f>
        <v>110.5</v>
      </c>
      <c r="F173" s="19">
        <f>_xlfn.XLOOKUP(D173,Worksheet!$C$3:$C$32,Worksheet!$S$3:$S$32)</f>
        <v>0.45121951219512196</v>
      </c>
    </row>
    <row r="174" spans="1:6" x14ac:dyDescent="0.2">
      <c r="A174" t="s">
        <v>546</v>
      </c>
      <c r="B174" s="4">
        <v>44635</v>
      </c>
      <c r="C174">
        <v>20.3</v>
      </c>
      <c r="D174" t="s">
        <v>104</v>
      </c>
      <c r="E174">
        <f>_xlfn.XLOOKUP(D174,Worksheet!$C$3:$C$32,Worksheet!$M$3:$M$32)</f>
        <v>112.5</v>
      </c>
      <c r="F174" s="19">
        <f>_xlfn.XLOOKUP(D174,Worksheet!$C$3:$C$32,Worksheet!$S$3:$S$32)</f>
        <v>0.26829268292682928</v>
      </c>
    </row>
    <row r="175" spans="1:6" x14ac:dyDescent="0.2">
      <c r="A175" t="s">
        <v>546</v>
      </c>
      <c r="B175" s="4">
        <v>44636</v>
      </c>
      <c r="C175">
        <v>16.600000000000001</v>
      </c>
      <c r="D175" t="s">
        <v>49</v>
      </c>
      <c r="E175">
        <f>_xlfn.XLOOKUP(D175,Worksheet!$C$3:$C$32,Worksheet!$M$3:$M$32)</f>
        <v>109.4</v>
      </c>
      <c r="F175" s="19">
        <f>_xlfn.XLOOKUP(D175,Worksheet!$C$3:$C$32,Worksheet!$S$3:$S$32)</f>
        <v>0.63414634146341464</v>
      </c>
    </row>
    <row r="176" spans="1:6" x14ac:dyDescent="0.2">
      <c r="A176" t="s">
        <v>546</v>
      </c>
      <c r="B176" s="4">
        <v>44638</v>
      </c>
      <c r="C176">
        <v>28.6</v>
      </c>
      <c r="D176" t="s">
        <v>96</v>
      </c>
      <c r="E176">
        <f>_xlfn.XLOOKUP(D176,Worksheet!$C$3:$C$32,Worksheet!$M$3:$M$32)</f>
        <v>116.9</v>
      </c>
      <c r="F176" s="19">
        <f>_xlfn.XLOOKUP(D176,Worksheet!$C$3:$C$32,Worksheet!$S$3:$S$32)</f>
        <v>0.32926829268292684</v>
      </c>
    </row>
    <row r="177" spans="1:6" x14ac:dyDescent="0.2">
      <c r="A177" t="s">
        <v>546</v>
      </c>
      <c r="B177" s="4">
        <v>44641</v>
      </c>
      <c r="C177">
        <v>31.8</v>
      </c>
      <c r="D177" t="s">
        <v>118</v>
      </c>
      <c r="E177">
        <f>_xlfn.XLOOKUP(D177,Worksheet!$C$3:$C$32,Worksheet!$M$3:$M$32)</f>
        <v>110.5</v>
      </c>
      <c r="F177" s="19">
        <f>_xlfn.XLOOKUP(D177,Worksheet!$C$3:$C$32,Worksheet!$S$3:$S$32)</f>
        <v>0.59756097560975607</v>
      </c>
    </row>
    <row r="178" spans="1:6" x14ac:dyDescent="0.2">
      <c r="A178" t="s">
        <v>546</v>
      </c>
      <c r="B178" s="4">
        <v>44643</v>
      </c>
      <c r="C178">
        <v>27.5</v>
      </c>
      <c r="D178" t="s">
        <v>42</v>
      </c>
      <c r="E178">
        <f>_xlfn.XLOOKUP(D178,Worksheet!$C$3:$C$32,Worksheet!$M$3:$M$32)</f>
        <v>109</v>
      </c>
      <c r="F178" s="19">
        <f>_xlfn.XLOOKUP(D178,Worksheet!$C$3:$C$32,Worksheet!$S$3:$S$32)</f>
        <v>0.68292682926829273</v>
      </c>
    </row>
    <row r="179" spans="1:6" x14ac:dyDescent="0.2">
      <c r="A179" t="s">
        <v>546</v>
      </c>
      <c r="B179" s="4">
        <v>44646</v>
      </c>
      <c r="C179">
        <v>18.3</v>
      </c>
      <c r="D179" t="s">
        <v>120</v>
      </c>
      <c r="E179">
        <f>_xlfn.XLOOKUP(D179,Worksheet!$C$3:$C$32,Worksheet!$M$3:$M$32)</f>
        <v>109.1</v>
      </c>
      <c r="F179" s="19">
        <f>_xlfn.XLOOKUP(D179,Worksheet!$C$3:$C$32,Worksheet!$S$3:$S$32)</f>
        <v>0.64634146341463417</v>
      </c>
    </row>
    <row r="180" spans="1:6" x14ac:dyDescent="0.2">
      <c r="A180" t="s">
        <v>546</v>
      </c>
      <c r="B180" s="4">
        <v>44647</v>
      </c>
      <c r="C180">
        <v>20.7</v>
      </c>
      <c r="D180" t="s">
        <v>72</v>
      </c>
      <c r="E180">
        <f>_xlfn.XLOOKUP(D180,Worksheet!$C$3:$C$32,Worksheet!$M$3:$M$32)</f>
        <v>113.7</v>
      </c>
      <c r="F180" s="19">
        <f>_xlfn.XLOOKUP(D180,Worksheet!$C$3:$C$32,Worksheet!$S$3:$S$32)</f>
        <v>0.52439024390243905</v>
      </c>
    </row>
    <row r="181" spans="1:6" x14ac:dyDescent="0.2">
      <c r="A181" t="s">
        <v>546</v>
      </c>
      <c r="B181" s="4">
        <v>44649</v>
      </c>
      <c r="C181">
        <v>37.6</v>
      </c>
      <c r="D181" t="s">
        <v>89</v>
      </c>
      <c r="E181">
        <f>_xlfn.XLOOKUP(D181,Worksheet!$C$3:$C$32,Worksheet!$M$3:$M$32)</f>
        <v>113.8</v>
      </c>
      <c r="F181" s="19">
        <f>_xlfn.XLOOKUP(D181,Worksheet!$C$3:$C$32,Worksheet!$S$3:$S$32)</f>
        <v>0.28048780487804881</v>
      </c>
    </row>
    <row r="182" spans="1:6" x14ac:dyDescent="0.2">
      <c r="A182" t="s">
        <v>546</v>
      </c>
      <c r="B182" s="4">
        <v>44651</v>
      </c>
      <c r="C182">
        <v>19.2</v>
      </c>
      <c r="D182" t="s">
        <v>126</v>
      </c>
      <c r="E182">
        <f>_xlfn.XLOOKUP(D182,Worksheet!$C$3:$C$32,Worksheet!$M$3:$M$32)</f>
        <v>111.8</v>
      </c>
      <c r="F182" s="19">
        <f>_xlfn.XLOOKUP(D182,Worksheet!$C$3:$C$32,Worksheet!$S$3:$S$32)</f>
        <v>0.62195121951219512</v>
      </c>
    </row>
    <row r="183" spans="1:6" x14ac:dyDescent="0.2">
      <c r="A183" t="s">
        <v>546</v>
      </c>
      <c r="B183" s="4">
        <v>44653</v>
      </c>
      <c r="C183">
        <v>43</v>
      </c>
      <c r="D183" t="s">
        <v>78</v>
      </c>
      <c r="E183">
        <f>_xlfn.XLOOKUP(D183,Worksheet!$C$3:$C$32,Worksheet!$M$3:$M$32)</f>
        <v>114.9</v>
      </c>
      <c r="F183" s="19">
        <f>_xlfn.XLOOKUP(D183,Worksheet!$C$3:$C$32,Worksheet!$S$3:$S$32)</f>
        <v>0.52439024390243905</v>
      </c>
    </row>
    <row r="184" spans="1:6" x14ac:dyDescent="0.2">
      <c r="A184" t="s">
        <v>546</v>
      </c>
      <c r="B184" s="4">
        <v>44656</v>
      </c>
      <c r="C184">
        <v>15.3</v>
      </c>
      <c r="D184" t="s">
        <v>76</v>
      </c>
      <c r="E184">
        <f>_xlfn.XLOOKUP(D184,Worksheet!$C$3:$C$32,Worksheet!$M$3:$M$32)</f>
        <v>116.7</v>
      </c>
      <c r="F184" s="19">
        <f>_xlfn.XLOOKUP(D184,Worksheet!$C$3:$C$32,Worksheet!$S$3:$S$32)</f>
        <v>0.24390243902439024</v>
      </c>
    </row>
    <row r="185" spans="1:6" x14ac:dyDescent="0.2">
      <c r="A185" t="s">
        <v>546</v>
      </c>
      <c r="B185" s="4">
        <v>44657</v>
      </c>
      <c r="C185">
        <v>28.5</v>
      </c>
      <c r="D185" t="s">
        <v>110</v>
      </c>
      <c r="E185">
        <f>_xlfn.XLOOKUP(D185,Worksheet!$C$3:$C$32,Worksheet!$M$3:$M$32)</f>
        <v>110.5</v>
      </c>
      <c r="F185" s="19">
        <f>_xlfn.XLOOKUP(D185,Worksheet!$C$3:$C$32,Worksheet!$S$3:$S$32)</f>
        <v>0.45121951219512196</v>
      </c>
    </row>
    <row r="186" spans="1:6" x14ac:dyDescent="0.2">
      <c r="A186" t="s">
        <v>546</v>
      </c>
      <c r="B186" s="4">
        <v>44659</v>
      </c>
      <c r="C186">
        <v>28.4</v>
      </c>
      <c r="D186" t="s">
        <v>87</v>
      </c>
      <c r="E186">
        <f>_xlfn.XLOOKUP(D186,Worksheet!$C$3:$C$32,Worksheet!$M$3:$M$32)</f>
        <v>109.7</v>
      </c>
      <c r="F186" s="19">
        <f>_xlfn.XLOOKUP(D186,Worksheet!$C$3:$C$32,Worksheet!$S$3:$S$32)</f>
        <v>0.53658536585365857</v>
      </c>
    </row>
    <row r="187" spans="1:6" x14ac:dyDescent="0.2">
      <c r="A187" t="s">
        <v>546</v>
      </c>
      <c r="B187" s="4">
        <v>44661</v>
      </c>
      <c r="C187">
        <v>19.3</v>
      </c>
      <c r="D187" t="s">
        <v>108</v>
      </c>
      <c r="E187">
        <f>_xlfn.XLOOKUP(D187,Worksheet!$C$3:$C$32,Worksheet!$M$3:$M$32)</f>
        <v>116.1</v>
      </c>
      <c r="F187" s="19">
        <f>_xlfn.XLOOKUP(D187,Worksheet!$C$3:$C$32,Worksheet!$S$3:$S$32)</f>
        <v>0.3048780487804878</v>
      </c>
    </row>
    <row r="188" spans="1:6" x14ac:dyDescent="0.2">
      <c r="A188" t="s">
        <v>546</v>
      </c>
      <c r="B188" s="4">
        <v>44668</v>
      </c>
      <c r="C188">
        <v>7.2</v>
      </c>
      <c r="D188" t="s">
        <v>55</v>
      </c>
      <c r="E188">
        <f>_xlfn.XLOOKUP(D188,Worksheet!$C$3:$C$32,Worksheet!$M$3:$M$32)</f>
        <v>106.9</v>
      </c>
      <c r="F188" s="19">
        <f>_xlfn.XLOOKUP(D188,Worksheet!$C$3:$C$32,Worksheet!$S$3:$S$32)</f>
        <v>0.62195121951219512</v>
      </c>
    </row>
    <row r="189" spans="1:6" x14ac:dyDescent="0.2">
      <c r="A189" t="s">
        <v>546</v>
      </c>
      <c r="B189" s="4">
        <v>44671</v>
      </c>
      <c r="C189">
        <v>13.6</v>
      </c>
      <c r="D189" t="s">
        <v>55</v>
      </c>
      <c r="E189">
        <f>_xlfn.XLOOKUP(D189,Worksheet!$C$3:$C$32,Worksheet!$M$3:$M$32)</f>
        <v>106.9</v>
      </c>
      <c r="F189" s="19">
        <f>_xlfn.XLOOKUP(D189,Worksheet!$C$3:$C$32,Worksheet!$S$3:$S$32)</f>
        <v>0.62195121951219512</v>
      </c>
    </row>
    <row r="190" spans="1:6" x14ac:dyDescent="0.2">
      <c r="A190" t="s">
        <v>546</v>
      </c>
      <c r="B190" s="4">
        <v>44674</v>
      </c>
      <c r="C190">
        <v>13.9</v>
      </c>
      <c r="D190" t="s">
        <v>55</v>
      </c>
      <c r="E190">
        <f>_xlfn.XLOOKUP(D190,Worksheet!$C$3:$C$32,Worksheet!$M$3:$M$32)</f>
        <v>106.9</v>
      </c>
      <c r="F190" s="19">
        <f>_xlfn.XLOOKUP(D190,Worksheet!$C$3:$C$32,Worksheet!$S$3:$S$32)</f>
        <v>0.62195121951219512</v>
      </c>
    </row>
    <row r="191" spans="1:6" x14ac:dyDescent="0.2">
      <c r="A191" t="s">
        <v>546</v>
      </c>
      <c r="B191" s="4">
        <v>44676</v>
      </c>
      <c r="C191">
        <v>26.3</v>
      </c>
      <c r="D191" t="s">
        <v>55</v>
      </c>
      <c r="E191">
        <f>_xlfn.XLOOKUP(D191,Worksheet!$C$3:$C$32,Worksheet!$M$3:$M$32)</f>
        <v>106.9</v>
      </c>
      <c r="F191" s="19">
        <f>_xlfn.XLOOKUP(D191,Worksheet!$C$3:$C$32,Worksheet!$S$3:$S$32)</f>
        <v>0.62195121951219512</v>
      </c>
    </row>
    <row r="192" spans="1:6" x14ac:dyDescent="0.2">
      <c r="A192" t="s">
        <v>547</v>
      </c>
      <c r="B192" s="4">
        <v>44488</v>
      </c>
      <c r="C192">
        <v>11.1</v>
      </c>
      <c r="D192" t="s">
        <v>62</v>
      </c>
      <c r="E192">
        <f>_xlfn.XLOOKUP(D192,Worksheet!$C$3:$C$32,Worksheet!$M$3:$M$32)</f>
        <v>113.3</v>
      </c>
      <c r="F192" s="19">
        <f>_xlfn.XLOOKUP(D192,Worksheet!$C$3:$C$32,Worksheet!$S$3:$S$32)</f>
        <v>0.40243902439024393</v>
      </c>
    </row>
    <row r="193" spans="1:6" x14ac:dyDescent="0.2">
      <c r="A193" t="s">
        <v>547</v>
      </c>
      <c r="B193" s="4">
        <v>44490</v>
      </c>
      <c r="C193">
        <v>-2.4</v>
      </c>
      <c r="D193" t="s">
        <v>64</v>
      </c>
      <c r="E193">
        <f>_xlfn.XLOOKUP(D193,Worksheet!$C$3:$C$32,Worksheet!$M$3:$M$32)</f>
        <v>110.1</v>
      </c>
      <c r="F193" s="19">
        <f>_xlfn.XLOOKUP(D193,Worksheet!$C$3:$C$32,Worksheet!$S$3:$S$32)</f>
        <v>0.51219512195121952</v>
      </c>
    </row>
    <row r="194" spans="1:6" x14ac:dyDescent="0.2">
      <c r="A194" t="s">
        <v>547</v>
      </c>
      <c r="B194" s="4">
        <v>44493</v>
      </c>
      <c r="C194">
        <v>17.5</v>
      </c>
      <c r="D194" t="s">
        <v>66</v>
      </c>
      <c r="E194">
        <f>_xlfn.XLOOKUP(D194,Worksheet!$C$3:$C$32,Worksheet!$M$3:$M$32)</f>
        <v>115.3</v>
      </c>
      <c r="F194" s="19">
        <f>_xlfn.XLOOKUP(D194,Worksheet!$C$3:$C$32,Worksheet!$S$3:$S$32)</f>
        <v>0.36585365853658536</v>
      </c>
    </row>
    <row r="195" spans="1:6" x14ac:dyDescent="0.2">
      <c r="A195" t="s">
        <v>547</v>
      </c>
      <c r="B195" s="4">
        <v>44495</v>
      </c>
      <c r="C195">
        <v>8.1</v>
      </c>
      <c r="D195" t="s">
        <v>68</v>
      </c>
      <c r="E195">
        <f>_xlfn.XLOOKUP(D195,Worksheet!$C$3:$C$32,Worksheet!$M$3:$M$32)</f>
        <v>112.8</v>
      </c>
      <c r="F195" s="19">
        <f>_xlfn.XLOOKUP(D195,Worksheet!$C$3:$C$32,Worksheet!$S$3:$S$32)</f>
        <v>0.29268292682926828</v>
      </c>
    </row>
    <row r="196" spans="1:6" x14ac:dyDescent="0.2">
      <c r="A196" t="s">
        <v>547</v>
      </c>
      <c r="B196" s="4">
        <v>44497</v>
      </c>
      <c r="C196">
        <v>1.2</v>
      </c>
      <c r="D196" t="s">
        <v>42</v>
      </c>
      <c r="E196">
        <f>_xlfn.XLOOKUP(D196,Worksheet!$C$3:$C$32,Worksheet!$M$3:$M$32)</f>
        <v>109</v>
      </c>
      <c r="F196" s="19">
        <f>_xlfn.XLOOKUP(D196,Worksheet!$C$3:$C$32,Worksheet!$S$3:$S$32)</f>
        <v>0.68292682926829273</v>
      </c>
    </row>
    <row r="197" spans="1:6" x14ac:dyDescent="0.2">
      <c r="A197" t="s">
        <v>547</v>
      </c>
      <c r="B197" s="4">
        <v>44499</v>
      </c>
      <c r="C197">
        <v>9.4</v>
      </c>
      <c r="D197" t="s">
        <v>68</v>
      </c>
      <c r="E197">
        <f>_xlfn.XLOOKUP(D197,Worksheet!$C$3:$C$32,Worksheet!$M$3:$M$32)</f>
        <v>112.8</v>
      </c>
      <c r="F197" s="19">
        <f>_xlfn.XLOOKUP(D197,Worksheet!$C$3:$C$32,Worksheet!$S$3:$S$32)</f>
        <v>0.29268292682926828</v>
      </c>
    </row>
    <row r="198" spans="1:6" x14ac:dyDescent="0.2">
      <c r="A198" t="s">
        <v>547</v>
      </c>
      <c r="B198" s="4">
        <v>44503</v>
      </c>
      <c r="C198">
        <v>24.1</v>
      </c>
      <c r="D198" t="s">
        <v>72</v>
      </c>
      <c r="E198">
        <f>_xlfn.XLOOKUP(D198,Worksheet!$C$3:$C$32,Worksheet!$M$3:$M$32)</f>
        <v>113.7</v>
      </c>
      <c r="F198" s="19">
        <f>_xlfn.XLOOKUP(D198,Worksheet!$C$3:$C$32,Worksheet!$S$3:$S$32)</f>
        <v>0.52439024390243905</v>
      </c>
    </row>
    <row r="199" spans="1:6" x14ac:dyDescent="0.2">
      <c r="A199" t="s">
        <v>547</v>
      </c>
      <c r="B199" s="4">
        <v>44505</v>
      </c>
      <c r="C199">
        <v>18</v>
      </c>
      <c r="D199" t="s">
        <v>74</v>
      </c>
      <c r="E199">
        <f>_xlfn.XLOOKUP(D199,Worksheet!$C$3:$C$32,Worksheet!$M$3:$M$32)</f>
        <v>113</v>
      </c>
      <c r="F199" s="19">
        <f>_xlfn.XLOOKUP(D199,Worksheet!$C$3:$C$32,Worksheet!$S$3:$S$32)</f>
        <v>0.43902439024390244</v>
      </c>
    </row>
    <row r="200" spans="1:6" x14ac:dyDescent="0.2">
      <c r="A200" t="s">
        <v>547</v>
      </c>
      <c r="B200" s="4">
        <v>44507</v>
      </c>
      <c r="C200">
        <v>19.399999999999999</v>
      </c>
      <c r="D200" t="s">
        <v>76</v>
      </c>
      <c r="E200">
        <f>_xlfn.XLOOKUP(D200,Worksheet!$C$3:$C$32,Worksheet!$M$3:$M$32)</f>
        <v>116.7</v>
      </c>
      <c r="F200" s="19">
        <f>_xlfn.XLOOKUP(D200,Worksheet!$C$3:$C$32,Worksheet!$S$3:$S$32)</f>
        <v>0.24390243902439024</v>
      </c>
    </row>
    <row r="201" spans="1:6" x14ac:dyDescent="0.2">
      <c r="A201" t="s">
        <v>547</v>
      </c>
      <c r="B201" s="4">
        <v>44508</v>
      </c>
      <c r="C201">
        <v>11.7</v>
      </c>
      <c r="D201" t="s">
        <v>78</v>
      </c>
      <c r="E201">
        <f>_xlfn.XLOOKUP(D201,Worksheet!$C$3:$C$32,Worksheet!$M$3:$M$32)</f>
        <v>114.9</v>
      </c>
      <c r="F201" s="19">
        <f>_xlfn.XLOOKUP(D201,Worksheet!$C$3:$C$32,Worksheet!$S$3:$S$32)</f>
        <v>0.52439024390243905</v>
      </c>
    </row>
    <row r="202" spans="1:6" x14ac:dyDescent="0.2">
      <c r="A202" t="s">
        <v>547</v>
      </c>
      <c r="B202" s="4">
        <v>44510</v>
      </c>
      <c r="C202">
        <v>6.6</v>
      </c>
      <c r="D202" t="s">
        <v>80</v>
      </c>
      <c r="E202">
        <f>_xlfn.XLOOKUP(D202,Worksheet!$C$3:$C$32,Worksheet!$M$3:$M$32)</f>
        <v>111.7</v>
      </c>
      <c r="F202" s="19">
        <f>_xlfn.XLOOKUP(D202,Worksheet!$C$3:$C$32,Worksheet!$S$3:$S$32)</f>
        <v>0.56097560975609762</v>
      </c>
    </row>
    <row r="203" spans="1:6" x14ac:dyDescent="0.2">
      <c r="A203" t="s">
        <v>547</v>
      </c>
      <c r="B203" s="4">
        <v>44512</v>
      </c>
      <c r="C203">
        <v>7.5</v>
      </c>
      <c r="D203" t="s">
        <v>82</v>
      </c>
      <c r="E203">
        <f>_xlfn.XLOOKUP(D203,Worksheet!$C$3:$C$32,Worksheet!$M$3:$M$32)</f>
        <v>113.6</v>
      </c>
      <c r="F203" s="19">
        <f>_xlfn.XLOOKUP(D203,Worksheet!$C$3:$C$32,Worksheet!$S$3:$S$32)</f>
        <v>0.56097560975609762</v>
      </c>
    </row>
    <row r="204" spans="1:6" x14ac:dyDescent="0.2">
      <c r="A204" t="s">
        <v>547</v>
      </c>
      <c r="B204" s="4">
        <v>44514</v>
      </c>
      <c r="C204">
        <v>6.6</v>
      </c>
      <c r="D204" t="s">
        <v>72</v>
      </c>
      <c r="E204">
        <f>_xlfn.XLOOKUP(D204,Worksheet!$C$3:$C$32,Worksheet!$M$3:$M$32)</f>
        <v>113.7</v>
      </c>
      <c r="F204" s="19">
        <f>_xlfn.XLOOKUP(D204,Worksheet!$C$3:$C$32,Worksheet!$S$3:$S$32)</f>
        <v>0.52439024390243905</v>
      </c>
    </row>
    <row r="205" spans="1:6" x14ac:dyDescent="0.2">
      <c r="A205" t="s">
        <v>547</v>
      </c>
      <c r="B205" s="4">
        <v>44516</v>
      </c>
      <c r="C205">
        <v>7.6</v>
      </c>
      <c r="D205" t="s">
        <v>85</v>
      </c>
      <c r="E205">
        <f>_xlfn.XLOOKUP(D205,Worksheet!$C$3:$C$32,Worksheet!$M$3:$M$32)</f>
        <v>112.8</v>
      </c>
      <c r="F205" s="19">
        <f>_xlfn.XLOOKUP(D205,Worksheet!$C$3:$C$32,Worksheet!$S$3:$S$32)</f>
        <v>0.53658536585365857</v>
      </c>
    </row>
    <row r="206" spans="1:6" x14ac:dyDescent="0.2">
      <c r="A206" t="s">
        <v>547</v>
      </c>
      <c r="B206" s="4">
        <v>44518</v>
      </c>
      <c r="C206">
        <v>4</v>
      </c>
      <c r="D206" t="s">
        <v>87</v>
      </c>
      <c r="E206">
        <f>_xlfn.XLOOKUP(D206,Worksheet!$C$3:$C$32,Worksheet!$M$3:$M$32)</f>
        <v>109.7</v>
      </c>
      <c r="F206" s="19">
        <f>_xlfn.XLOOKUP(D206,Worksheet!$C$3:$C$32,Worksheet!$S$3:$S$32)</f>
        <v>0.53658536585365857</v>
      </c>
    </row>
    <row r="207" spans="1:6" x14ac:dyDescent="0.2">
      <c r="A207" t="s">
        <v>547</v>
      </c>
      <c r="B207" s="4">
        <v>44519</v>
      </c>
      <c r="C207">
        <v>20.100000000000001</v>
      </c>
      <c r="D207" t="s">
        <v>89</v>
      </c>
      <c r="E207">
        <f>_xlfn.XLOOKUP(D207,Worksheet!$C$3:$C$32,Worksheet!$M$3:$M$32)</f>
        <v>113.8</v>
      </c>
      <c r="F207" s="19">
        <f>_xlfn.XLOOKUP(D207,Worksheet!$C$3:$C$32,Worksheet!$S$3:$S$32)</f>
        <v>0.28048780487804881</v>
      </c>
    </row>
    <row r="208" spans="1:6" x14ac:dyDescent="0.2">
      <c r="A208" t="s">
        <v>547</v>
      </c>
      <c r="B208" s="4">
        <v>44521</v>
      </c>
      <c r="C208">
        <v>24.9</v>
      </c>
      <c r="D208" t="s">
        <v>92</v>
      </c>
      <c r="E208">
        <f>_xlfn.XLOOKUP(D208,Worksheet!$C$3:$C$32,Worksheet!$M$3:$M$32)</f>
        <v>110.5</v>
      </c>
      <c r="F208" s="19">
        <f>_xlfn.XLOOKUP(D208,Worksheet!$C$3:$C$32,Worksheet!$S$3:$S$32)</f>
        <v>0.58536585365853655</v>
      </c>
    </row>
    <row r="209" spans="1:6" x14ac:dyDescent="0.2">
      <c r="A209" t="s">
        <v>547</v>
      </c>
      <c r="B209" s="4">
        <v>44524</v>
      </c>
      <c r="C209">
        <v>11.6</v>
      </c>
      <c r="D209" t="s">
        <v>94</v>
      </c>
      <c r="E209">
        <f>_xlfn.XLOOKUP(D209,Worksheet!$C$3:$C$32,Worksheet!$M$3:$M$32)</f>
        <v>110.8</v>
      </c>
      <c r="F209" s="19">
        <f>_xlfn.XLOOKUP(D209,Worksheet!$C$3:$C$32,Worksheet!$S$3:$S$32)</f>
        <v>0.62195121951219512</v>
      </c>
    </row>
    <row r="210" spans="1:6" x14ac:dyDescent="0.2">
      <c r="A210" t="s">
        <v>547</v>
      </c>
      <c r="B210" s="4">
        <v>44526</v>
      </c>
      <c r="C210">
        <v>9.9</v>
      </c>
      <c r="D210" t="s">
        <v>96</v>
      </c>
      <c r="E210">
        <f>_xlfn.XLOOKUP(D210,Worksheet!$C$3:$C$32,Worksheet!$M$3:$M$32)</f>
        <v>116.9</v>
      </c>
      <c r="F210" s="19">
        <f>_xlfn.XLOOKUP(D210,Worksheet!$C$3:$C$32,Worksheet!$S$3:$S$32)</f>
        <v>0.32926829268292684</v>
      </c>
    </row>
    <row r="211" spans="1:6" x14ac:dyDescent="0.2">
      <c r="A211" t="s">
        <v>547</v>
      </c>
      <c r="B211" s="4">
        <v>44528</v>
      </c>
      <c r="C211">
        <v>10.7</v>
      </c>
      <c r="D211" t="s">
        <v>64</v>
      </c>
      <c r="E211">
        <f>_xlfn.XLOOKUP(D211,Worksheet!$C$3:$C$32,Worksheet!$M$3:$M$32)</f>
        <v>110.1</v>
      </c>
      <c r="F211" s="19">
        <f>_xlfn.XLOOKUP(D211,Worksheet!$C$3:$C$32,Worksheet!$S$3:$S$32)</f>
        <v>0.51219512195121952</v>
      </c>
    </row>
    <row r="212" spans="1:6" x14ac:dyDescent="0.2">
      <c r="A212" t="s">
        <v>547</v>
      </c>
      <c r="B212" s="4">
        <v>44530</v>
      </c>
      <c r="C212">
        <v>22.2</v>
      </c>
      <c r="D212" t="s">
        <v>99</v>
      </c>
      <c r="E212">
        <f>_xlfn.XLOOKUP(D212,Worksheet!$C$3:$C$32,Worksheet!$M$3:$M$32)</f>
        <v>107.3</v>
      </c>
      <c r="F212" s="19">
        <f>_xlfn.XLOOKUP(D212,Worksheet!$C$3:$C$32,Worksheet!$S$3:$S$32)</f>
        <v>0.78048780487804881</v>
      </c>
    </row>
    <row r="213" spans="1:6" x14ac:dyDescent="0.2">
      <c r="A213" t="s">
        <v>547</v>
      </c>
      <c r="B213" s="4">
        <v>44533</v>
      </c>
      <c r="C213">
        <v>5</v>
      </c>
      <c r="D213" t="s">
        <v>99</v>
      </c>
      <c r="E213">
        <f>_xlfn.XLOOKUP(D213,Worksheet!$C$3:$C$32,Worksheet!$M$3:$M$32)</f>
        <v>107.3</v>
      </c>
      <c r="F213" s="19">
        <f>_xlfn.XLOOKUP(D213,Worksheet!$C$3:$C$32,Worksheet!$S$3:$S$32)</f>
        <v>0.78048780487804881</v>
      </c>
    </row>
    <row r="214" spans="1:6" x14ac:dyDescent="0.2">
      <c r="A214" t="s">
        <v>547</v>
      </c>
      <c r="B214" s="4">
        <v>44534</v>
      </c>
      <c r="C214">
        <v>11.7</v>
      </c>
      <c r="D214" t="s">
        <v>102</v>
      </c>
      <c r="E214">
        <f>_xlfn.XLOOKUP(D214,Worksheet!$C$3:$C$32,Worksheet!$M$3:$M$32)</f>
        <v>112.3</v>
      </c>
      <c r="F214" s="19">
        <f>_xlfn.XLOOKUP(D214,Worksheet!$C$3:$C$32,Worksheet!$S$3:$S$32)</f>
        <v>0.41463414634146339</v>
      </c>
    </row>
    <row r="215" spans="1:6" x14ac:dyDescent="0.2">
      <c r="A215" t="s">
        <v>547</v>
      </c>
      <c r="B215" s="4">
        <v>44536</v>
      </c>
      <c r="C215">
        <v>9.6999999999999993</v>
      </c>
      <c r="D215" t="s">
        <v>104</v>
      </c>
      <c r="E215">
        <f>_xlfn.XLOOKUP(D215,Worksheet!$C$3:$C$32,Worksheet!$M$3:$M$32)</f>
        <v>112.5</v>
      </c>
      <c r="F215" s="19">
        <f>_xlfn.XLOOKUP(D215,Worksheet!$C$3:$C$32,Worksheet!$S$3:$S$32)</f>
        <v>0.26829268292682928</v>
      </c>
    </row>
    <row r="216" spans="1:6" x14ac:dyDescent="0.2">
      <c r="A216" t="s">
        <v>547</v>
      </c>
      <c r="B216" s="4">
        <v>44538</v>
      </c>
      <c r="C216">
        <v>16</v>
      </c>
      <c r="D216" t="s">
        <v>96</v>
      </c>
      <c r="E216">
        <f>_xlfn.XLOOKUP(D216,Worksheet!$C$3:$C$32,Worksheet!$M$3:$M$32)</f>
        <v>116.9</v>
      </c>
      <c r="F216" s="19">
        <f>_xlfn.XLOOKUP(D216,Worksheet!$C$3:$C$32,Worksheet!$S$3:$S$32)</f>
        <v>0.32926829268292684</v>
      </c>
    </row>
    <row r="217" spans="1:6" x14ac:dyDescent="0.2">
      <c r="A217" t="s">
        <v>547</v>
      </c>
      <c r="B217" s="4">
        <v>44541</v>
      </c>
      <c r="C217">
        <v>15.9</v>
      </c>
      <c r="D217" t="s">
        <v>94</v>
      </c>
      <c r="E217">
        <f>_xlfn.XLOOKUP(D217,Worksheet!$C$3:$C$32,Worksheet!$M$3:$M$32)</f>
        <v>110.8</v>
      </c>
      <c r="F217" s="19">
        <f>_xlfn.XLOOKUP(D217,Worksheet!$C$3:$C$32,Worksheet!$S$3:$S$32)</f>
        <v>0.62195121951219512</v>
      </c>
    </row>
    <row r="218" spans="1:6" x14ac:dyDescent="0.2">
      <c r="A218" t="s">
        <v>547</v>
      </c>
      <c r="B218" s="4">
        <v>44543</v>
      </c>
      <c r="C218">
        <v>2.5</v>
      </c>
      <c r="D218" t="s">
        <v>108</v>
      </c>
      <c r="E218">
        <f>_xlfn.XLOOKUP(D218,Worksheet!$C$3:$C$32,Worksheet!$M$3:$M$32)</f>
        <v>116.1</v>
      </c>
      <c r="F218" s="19">
        <f>_xlfn.XLOOKUP(D218,Worksheet!$C$3:$C$32,Worksheet!$S$3:$S$32)</f>
        <v>0.3048780487804878</v>
      </c>
    </row>
    <row r="219" spans="1:6" x14ac:dyDescent="0.2">
      <c r="A219" t="s">
        <v>547</v>
      </c>
      <c r="B219" s="4">
        <v>44544</v>
      </c>
      <c r="C219">
        <v>12.7</v>
      </c>
      <c r="D219" t="s">
        <v>110</v>
      </c>
      <c r="E219">
        <f>_xlfn.XLOOKUP(D219,Worksheet!$C$3:$C$32,Worksheet!$M$3:$M$32)</f>
        <v>110.5</v>
      </c>
      <c r="F219" s="19">
        <f>_xlfn.XLOOKUP(D219,Worksheet!$C$3:$C$32,Worksheet!$S$3:$S$32)</f>
        <v>0.45121951219512196</v>
      </c>
    </row>
    <row r="220" spans="1:6" x14ac:dyDescent="0.2">
      <c r="A220" t="s">
        <v>547</v>
      </c>
      <c r="B220" s="4">
        <v>44547</v>
      </c>
      <c r="C220" t="s">
        <v>91</v>
      </c>
      <c r="D220" t="s">
        <v>55</v>
      </c>
      <c r="E220">
        <f>_xlfn.XLOOKUP(D220,Worksheet!$C$3:$C$32,Worksheet!$M$3:$M$32)</f>
        <v>106.9</v>
      </c>
      <c r="F220" s="19">
        <f>_xlfn.XLOOKUP(D220,Worksheet!$C$3:$C$32,Worksheet!$S$3:$S$32)</f>
        <v>0.62195121951219512</v>
      </c>
    </row>
    <row r="221" spans="1:6" x14ac:dyDescent="0.2">
      <c r="A221" t="s">
        <v>547</v>
      </c>
      <c r="B221" s="4">
        <v>44548</v>
      </c>
      <c r="C221" t="s">
        <v>91</v>
      </c>
      <c r="D221" t="s">
        <v>92</v>
      </c>
      <c r="E221">
        <f>_xlfn.XLOOKUP(D221,Worksheet!$C$3:$C$32,Worksheet!$M$3:$M$32)</f>
        <v>110.5</v>
      </c>
      <c r="F221" s="19">
        <f>_xlfn.XLOOKUP(D221,Worksheet!$C$3:$C$32,Worksheet!$S$3:$S$32)</f>
        <v>0.58536585365853655</v>
      </c>
    </row>
    <row r="222" spans="1:6" x14ac:dyDescent="0.2">
      <c r="A222" t="s">
        <v>547</v>
      </c>
      <c r="B222" s="4">
        <v>44550</v>
      </c>
      <c r="C222" t="s">
        <v>91</v>
      </c>
      <c r="D222" t="s">
        <v>66</v>
      </c>
      <c r="E222">
        <f>_xlfn.XLOOKUP(D222,Worksheet!$C$3:$C$32,Worksheet!$M$3:$M$32)</f>
        <v>115.3</v>
      </c>
      <c r="F222" s="19">
        <f>_xlfn.XLOOKUP(D222,Worksheet!$C$3:$C$32,Worksheet!$S$3:$S$32)</f>
        <v>0.36585365853658536</v>
      </c>
    </row>
    <row r="223" spans="1:6" x14ac:dyDescent="0.2">
      <c r="A223" t="s">
        <v>547</v>
      </c>
      <c r="B223" s="4">
        <v>44553</v>
      </c>
      <c r="C223" t="s">
        <v>91</v>
      </c>
      <c r="D223" t="s">
        <v>42</v>
      </c>
      <c r="E223">
        <f>_xlfn.XLOOKUP(D223,Worksheet!$C$3:$C$32,Worksheet!$M$3:$M$32)</f>
        <v>109</v>
      </c>
      <c r="F223" s="19">
        <f>_xlfn.XLOOKUP(D223,Worksheet!$C$3:$C$32,Worksheet!$S$3:$S$32)</f>
        <v>0.68292682926829273</v>
      </c>
    </row>
    <row r="224" spans="1:6" x14ac:dyDescent="0.2">
      <c r="A224" t="s">
        <v>547</v>
      </c>
      <c r="B224" s="4">
        <v>44555</v>
      </c>
      <c r="C224" t="s">
        <v>91</v>
      </c>
      <c r="D224" t="s">
        <v>99</v>
      </c>
      <c r="E224">
        <f>_xlfn.XLOOKUP(D224,Worksheet!$C$3:$C$32,Worksheet!$M$3:$M$32)</f>
        <v>107.3</v>
      </c>
      <c r="F224" s="19">
        <f>_xlfn.XLOOKUP(D224,Worksheet!$C$3:$C$32,Worksheet!$S$3:$S$32)</f>
        <v>0.78048780487804881</v>
      </c>
    </row>
    <row r="225" spans="1:6" x14ac:dyDescent="0.2">
      <c r="A225" t="s">
        <v>547</v>
      </c>
      <c r="B225" s="4">
        <v>44558</v>
      </c>
      <c r="C225" t="s">
        <v>91</v>
      </c>
      <c r="D225" t="s">
        <v>34</v>
      </c>
      <c r="E225">
        <f>_xlfn.XLOOKUP(D225,Worksheet!$C$3:$C$32,Worksheet!$M$3:$M$32)</f>
        <v>112.1</v>
      </c>
      <c r="F225" s="19">
        <f>_xlfn.XLOOKUP(D225,Worksheet!$C$3:$C$32,Worksheet!$S$3:$S$32)</f>
        <v>0.58536585365853655</v>
      </c>
    </row>
    <row r="226" spans="1:6" x14ac:dyDescent="0.2">
      <c r="A226" t="s">
        <v>547</v>
      </c>
      <c r="B226" s="4">
        <v>44562</v>
      </c>
      <c r="C226">
        <v>3.4</v>
      </c>
      <c r="D226" t="s">
        <v>118</v>
      </c>
      <c r="E226">
        <f>_xlfn.XLOOKUP(D226,Worksheet!$C$3:$C$32,Worksheet!$M$3:$M$32)</f>
        <v>110.5</v>
      </c>
      <c r="F226" s="19">
        <f>_xlfn.XLOOKUP(D226,Worksheet!$C$3:$C$32,Worksheet!$S$3:$S$32)</f>
        <v>0.59756097560975607</v>
      </c>
    </row>
    <row r="227" spans="1:6" x14ac:dyDescent="0.2">
      <c r="A227" t="s">
        <v>547</v>
      </c>
      <c r="B227" s="4">
        <v>44564</v>
      </c>
      <c r="C227">
        <v>26.4</v>
      </c>
      <c r="D227" t="s">
        <v>120</v>
      </c>
      <c r="E227">
        <f>_xlfn.XLOOKUP(D227,Worksheet!$C$3:$C$32,Worksheet!$M$3:$M$32)</f>
        <v>109.1</v>
      </c>
      <c r="F227" s="19">
        <f>_xlfn.XLOOKUP(D227,Worksheet!$C$3:$C$32,Worksheet!$S$3:$S$32)</f>
        <v>0.64634146341463417</v>
      </c>
    </row>
    <row r="228" spans="1:6" x14ac:dyDescent="0.2">
      <c r="A228" t="s">
        <v>547</v>
      </c>
      <c r="B228" s="4">
        <v>44566</v>
      </c>
      <c r="C228">
        <v>1.5</v>
      </c>
      <c r="D228" t="s">
        <v>49</v>
      </c>
      <c r="E228">
        <f>_xlfn.XLOOKUP(D228,Worksheet!$C$3:$C$32,Worksheet!$M$3:$M$32)</f>
        <v>109.4</v>
      </c>
      <c r="F228" s="19">
        <f>_xlfn.XLOOKUP(D228,Worksheet!$C$3:$C$32,Worksheet!$S$3:$S$32)</f>
        <v>0.63414634146341464</v>
      </c>
    </row>
    <row r="229" spans="1:6" x14ac:dyDescent="0.2">
      <c r="A229" t="s">
        <v>547</v>
      </c>
      <c r="B229" s="4">
        <v>44567</v>
      </c>
      <c r="C229">
        <v>3.9</v>
      </c>
      <c r="D229" t="s">
        <v>74</v>
      </c>
      <c r="E229">
        <f>_xlfn.XLOOKUP(D229,Worksheet!$C$3:$C$32,Worksheet!$M$3:$M$32)</f>
        <v>113</v>
      </c>
      <c r="F229" s="19">
        <f>_xlfn.XLOOKUP(D229,Worksheet!$C$3:$C$32,Worksheet!$S$3:$S$32)</f>
        <v>0.43902439024390244</v>
      </c>
    </row>
    <row r="230" spans="1:6" x14ac:dyDescent="0.2">
      <c r="A230" t="s">
        <v>547</v>
      </c>
      <c r="B230" s="4">
        <v>44570</v>
      </c>
      <c r="C230">
        <v>9.3000000000000007</v>
      </c>
      <c r="D230" t="s">
        <v>87</v>
      </c>
      <c r="E230">
        <f>_xlfn.XLOOKUP(D230,Worksheet!$C$3:$C$32,Worksheet!$M$3:$M$32)</f>
        <v>109.7</v>
      </c>
      <c r="F230" s="19">
        <f>_xlfn.XLOOKUP(D230,Worksheet!$C$3:$C$32,Worksheet!$S$3:$S$32)</f>
        <v>0.53658536585365857</v>
      </c>
    </row>
    <row r="231" spans="1:6" x14ac:dyDescent="0.2">
      <c r="A231" t="s">
        <v>547</v>
      </c>
      <c r="B231" s="4">
        <v>44572</v>
      </c>
      <c r="C231">
        <v>7.6</v>
      </c>
      <c r="D231" t="s">
        <v>42</v>
      </c>
      <c r="E231">
        <f>_xlfn.XLOOKUP(D231,Worksheet!$C$3:$C$32,Worksheet!$M$3:$M$32)</f>
        <v>109</v>
      </c>
      <c r="F231" s="19">
        <f>_xlfn.XLOOKUP(D231,Worksheet!$C$3:$C$32,Worksheet!$S$3:$S$32)</f>
        <v>0.68292682926829273</v>
      </c>
    </row>
    <row r="232" spans="1:6" x14ac:dyDescent="0.2">
      <c r="A232" t="s">
        <v>547</v>
      </c>
      <c r="B232" s="4">
        <v>44574</v>
      </c>
      <c r="C232">
        <v>3</v>
      </c>
      <c r="D232" t="s">
        <v>126</v>
      </c>
      <c r="E232">
        <f>_xlfn.XLOOKUP(D232,Worksheet!$C$3:$C$32,Worksheet!$M$3:$M$32)</f>
        <v>111.8</v>
      </c>
      <c r="F232" s="19">
        <f>_xlfn.XLOOKUP(D232,Worksheet!$C$3:$C$32,Worksheet!$S$3:$S$32)</f>
        <v>0.62195121951219512</v>
      </c>
    </row>
    <row r="233" spans="1:6" x14ac:dyDescent="0.2">
      <c r="A233" t="s">
        <v>547</v>
      </c>
      <c r="B233" s="4">
        <v>44575</v>
      </c>
      <c r="C233">
        <v>12.9</v>
      </c>
      <c r="D233" t="s">
        <v>82</v>
      </c>
      <c r="E233">
        <f>_xlfn.XLOOKUP(D233,Worksheet!$C$3:$C$32,Worksheet!$M$3:$M$32)</f>
        <v>113.6</v>
      </c>
      <c r="F233" s="19">
        <f>_xlfn.XLOOKUP(D233,Worksheet!$C$3:$C$32,Worksheet!$S$3:$S$32)</f>
        <v>0.56097560975609762</v>
      </c>
    </row>
    <row r="234" spans="1:6" x14ac:dyDescent="0.2">
      <c r="A234" t="s">
        <v>547</v>
      </c>
      <c r="B234" s="4">
        <v>44577</v>
      </c>
      <c r="C234">
        <v>11</v>
      </c>
      <c r="D234" t="s">
        <v>80</v>
      </c>
      <c r="E234">
        <f>_xlfn.XLOOKUP(D234,Worksheet!$C$3:$C$32,Worksheet!$M$3:$M$32)</f>
        <v>111.7</v>
      </c>
      <c r="F234" s="19">
        <f>_xlfn.XLOOKUP(D234,Worksheet!$C$3:$C$32,Worksheet!$S$3:$S$32)</f>
        <v>0.56097560975609762</v>
      </c>
    </row>
    <row r="235" spans="1:6" x14ac:dyDescent="0.2">
      <c r="A235" t="s">
        <v>547</v>
      </c>
      <c r="B235" s="4">
        <v>44579</v>
      </c>
      <c r="C235">
        <v>1.2</v>
      </c>
      <c r="D235" t="s">
        <v>89</v>
      </c>
      <c r="E235">
        <f>_xlfn.XLOOKUP(D235,Worksheet!$C$3:$C$32,Worksheet!$M$3:$M$32)</f>
        <v>113.8</v>
      </c>
      <c r="F235" s="19">
        <f>_xlfn.XLOOKUP(D235,Worksheet!$C$3:$C$32,Worksheet!$S$3:$S$32)</f>
        <v>0.28048780487804881</v>
      </c>
    </row>
    <row r="236" spans="1:6" x14ac:dyDescent="0.2">
      <c r="A236" t="s">
        <v>547</v>
      </c>
      <c r="B236" s="4">
        <v>44581</v>
      </c>
      <c r="C236">
        <v>2.7</v>
      </c>
      <c r="D236" t="s">
        <v>108</v>
      </c>
      <c r="E236">
        <f>_xlfn.XLOOKUP(D236,Worksheet!$C$3:$C$32,Worksheet!$M$3:$M$32)</f>
        <v>116.1</v>
      </c>
      <c r="F236" s="19">
        <f>_xlfn.XLOOKUP(D236,Worksheet!$C$3:$C$32,Worksheet!$S$3:$S$32)</f>
        <v>0.3048780487804878</v>
      </c>
    </row>
    <row r="237" spans="1:6" x14ac:dyDescent="0.2">
      <c r="A237" t="s">
        <v>547</v>
      </c>
      <c r="B237" s="4">
        <v>44582</v>
      </c>
      <c r="C237">
        <v>11.9</v>
      </c>
      <c r="D237" t="s">
        <v>76</v>
      </c>
      <c r="E237">
        <f>_xlfn.XLOOKUP(D237,Worksheet!$C$3:$C$32,Worksheet!$M$3:$M$32)</f>
        <v>116.7</v>
      </c>
      <c r="F237" s="19">
        <f>_xlfn.XLOOKUP(D237,Worksheet!$C$3:$C$32,Worksheet!$S$3:$S$32)</f>
        <v>0.24390243902439024</v>
      </c>
    </row>
    <row r="238" spans="1:6" x14ac:dyDescent="0.2">
      <c r="A238" t="s">
        <v>547</v>
      </c>
      <c r="B238" s="4">
        <v>44584</v>
      </c>
      <c r="C238">
        <v>13.5</v>
      </c>
      <c r="D238" t="s">
        <v>118</v>
      </c>
      <c r="E238">
        <f>_xlfn.XLOOKUP(D238,Worksheet!$C$3:$C$32,Worksheet!$M$3:$M$32)</f>
        <v>110.5</v>
      </c>
      <c r="F238" s="19">
        <f>_xlfn.XLOOKUP(D238,Worksheet!$C$3:$C$32,Worksheet!$S$3:$S$32)</f>
        <v>0.59756097560975607</v>
      </c>
    </row>
    <row r="239" spans="1:6" x14ac:dyDescent="0.2">
      <c r="A239" t="s">
        <v>547</v>
      </c>
      <c r="B239" s="4">
        <v>44586</v>
      </c>
      <c r="C239">
        <v>14.7</v>
      </c>
      <c r="D239" t="s">
        <v>49</v>
      </c>
      <c r="E239">
        <f>_xlfn.XLOOKUP(D239,Worksheet!$C$3:$C$32,Worksheet!$M$3:$M$32)</f>
        <v>109.4</v>
      </c>
      <c r="F239" s="19">
        <f>_xlfn.XLOOKUP(D239,Worksheet!$C$3:$C$32,Worksheet!$S$3:$S$32)</f>
        <v>0.63414634146341464</v>
      </c>
    </row>
    <row r="240" spans="1:6" x14ac:dyDescent="0.2">
      <c r="A240" t="s">
        <v>547</v>
      </c>
      <c r="B240" s="4">
        <v>44588</v>
      </c>
      <c r="C240">
        <v>17</v>
      </c>
      <c r="D240" t="s">
        <v>80</v>
      </c>
      <c r="E240">
        <f>_xlfn.XLOOKUP(D240,Worksheet!$C$3:$C$32,Worksheet!$M$3:$M$32)</f>
        <v>111.7</v>
      </c>
      <c r="F240" s="19">
        <f>_xlfn.XLOOKUP(D240,Worksheet!$C$3:$C$32,Worksheet!$S$3:$S$32)</f>
        <v>0.56097560975609762</v>
      </c>
    </row>
    <row r="241" spans="1:6" x14ac:dyDescent="0.2">
      <c r="A241" t="s">
        <v>547</v>
      </c>
      <c r="B241" s="4">
        <v>44590</v>
      </c>
      <c r="C241">
        <v>13.5</v>
      </c>
      <c r="D241" t="s">
        <v>85</v>
      </c>
      <c r="E241">
        <f>_xlfn.XLOOKUP(D241,Worksheet!$C$3:$C$32,Worksheet!$M$3:$M$32)</f>
        <v>112.8</v>
      </c>
      <c r="F241" s="19">
        <f>_xlfn.XLOOKUP(D241,Worksheet!$C$3:$C$32,Worksheet!$S$3:$S$32)</f>
        <v>0.53658536585365857</v>
      </c>
    </row>
    <row r="242" spans="1:6" x14ac:dyDescent="0.2">
      <c r="A242" t="s">
        <v>547</v>
      </c>
      <c r="B242" s="4">
        <v>44592</v>
      </c>
      <c r="C242">
        <v>0.2</v>
      </c>
      <c r="D242" t="s">
        <v>76</v>
      </c>
      <c r="E242">
        <f>_xlfn.XLOOKUP(D242,Worksheet!$C$3:$C$32,Worksheet!$M$3:$M$32)</f>
        <v>116.7</v>
      </c>
      <c r="F242" s="19">
        <f>_xlfn.XLOOKUP(D242,Worksheet!$C$3:$C$32,Worksheet!$S$3:$S$32)</f>
        <v>0.24390243902439024</v>
      </c>
    </row>
    <row r="243" spans="1:6" x14ac:dyDescent="0.2">
      <c r="A243" t="s">
        <v>547</v>
      </c>
      <c r="B243" s="4">
        <v>44593</v>
      </c>
      <c r="C243">
        <v>25</v>
      </c>
      <c r="D243" t="s">
        <v>102</v>
      </c>
      <c r="E243">
        <f>_xlfn.XLOOKUP(D243,Worksheet!$C$3:$C$32,Worksheet!$M$3:$M$32)</f>
        <v>112.3</v>
      </c>
      <c r="F243" s="19">
        <f>_xlfn.XLOOKUP(D243,Worksheet!$C$3:$C$32,Worksheet!$S$3:$S$32)</f>
        <v>0.41463414634146339</v>
      </c>
    </row>
    <row r="244" spans="1:6" x14ac:dyDescent="0.2">
      <c r="A244" t="s">
        <v>547</v>
      </c>
      <c r="B244" s="4">
        <v>44595</v>
      </c>
      <c r="C244">
        <v>11.1</v>
      </c>
      <c r="D244" t="s">
        <v>66</v>
      </c>
      <c r="E244">
        <f>_xlfn.XLOOKUP(D244,Worksheet!$C$3:$C$32,Worksheet!$M$3:$M$32)</f>
        <v>115.3</v>
      </c>
      <c r="F244" s="19">
        <f>_xlfn.XLOOKUP(D244,Worksheet!$C$3:$C$32,Worksheet!$S$3:$S$32)</f>
        <v>0.36585365853658536</v>
      </c>
    </row>
    <row r="245" spans="1:6" x14ac:dyDescent="0.2">
      <c r="A245" t="s">
        <v>547</v>
      </c>
      <c r="B245" s="4">
        <v>44599</v>
      </c>
      <c r="C245">
        <v>13.6</v>
      </c>
      <c r="D245" t="s">
        <v>68</v>
      </c>
      <c r="E245">
        <f>_xlfn.XLOOKUP(D245,Worksheet!$C$3:$C$32,Worksheet!$M$3:$M$32)</f>
        <v>112.8</v>
      </c>
      <c r="F245" s="19">
        <f>_xlfn.XLOOKUP(D245,Worksheet!$C$3:$C$32,Worksheet!$S$3:$S$32)</f>
        <v>0.29268292682926828</v>
      </c>
    </row>
    <row r="246" spans="1:6" x14ac:dyDescent="0.2">
      <c r="A246" t="s">
        <v>547</v>
      </c>
      <c r="B246" s="4">
        <v>44601</v>
      </c>
      <c r="C246">
        <v>11.8</v>
      </c>
      <c r="D246" t="s">
        <v>118</v>
      </c>
      <c r="E246">
        <f>_xlfn.XLOOKUP(D246,Worksheet!$C$3:$C$32,Worksheet!$M$3:$M$32)</f>
        <v>110.5</v>
      </c>
      <c r="F246" s="19">
        <f>_xlfn.XLOOKUP(D246,Worksheet!$C$3:$C$32,Worksheet!$S$3:$S$32)</f>
        <v>0.59756097560975607</v>
      </c>
    </row>
    <row r="247" spans="1:6" x14ac:dyDescent="0.2">
      <c r="A247" t="s">
        <v>547</v>
      </c>
      <c r="B247" s="4">
        <v>44602</v>
      </c>
      <c r="C247">
        <v>5.5</v>
      </c>
      <c r="D247" t="s">
        <v>110</v>
      </c>
      <c r="E247">
        <f>_xlfn.XLOOKUP(D247,Worksheet!$C$3:$C$32,Worksheet!$M$3:$M$32)</f>
        <v>110.5</v>
      </c>
      <c r="F247" s="19">
        <f>_xlfn.XLOOKUP(D247,Worksheet!$C$3:$C$32,Worksheet!$S$3:$S$32)</f>
        <v>0.45121951219512196</v>
      </c>
    </row>
    <row r="248" spans="1:6" x14ac:dyDescent="0.2">
      <c r="A248" t="s">
        <v>547</v>
      </c>
      <c r="B248" s="4">
        <v>44604</v>
      </c>
      <c r="C248">
        <v>6.9</v>
      </c>
      <c r="D248" t="s">
        <v>62</v>
      </c>
      <c r="E248">
        <f>_xlfn.XLOOKUP(D248,Worksheet!$C$3:$C$32,Worksheet!$M$3:$M$32)</f>
        <v>113.3</v>
      </c>
      <c r="F248" s="19">
        <f>_xlfn.XLOOKUP(D248,Worksheet!$C$3:$C$32,Worksheet!$S$3:$S$32)</f>
        <v>0.40243902439024393</v>
      </c>
    </row>
    <row r="249" spans="1:6" x14ac:dyDescent="0.2">
      <c r="A249" t="s">
        <v>547</v>
      </c>
      <c r="B249" s="4">
        <v>44606</v>
      </c>
      <c r="C249">
        <v>10.1</v>
      </c>
      <c r="D249" t="s">
        <v>64</v>
      </c>
      <c r="E249">
        <f>_xlfn.XLOOKUP(D249,Worksheet!$C$3:$C$32,Worksheet!$M$3:$M$32)</f>
        <v>110.1</v>
      </c>
      <c r="F249" s="19">
        <f>_xlfn.XLOOKUP(D249,Worksheet!$C$3:$C$32,Worksheet!$S$3:$S$32)</f>
        <v>0.51219512195121952</v>
      </c>
    </row>
    <row r="250" spans="1:6" x14ac:dyDescent="0.2">
      <c r="A250" t="s">
        <v>547</v>
      </c>
      <c r="B250" s="4">
        <v>44608</v>
      </c>
      <c r="C250">
        <v>12</v>
      </c>
      <c r="D250" t="s">
        <v>34</v>
      </c>
      <c r="E250">
        <f>_xlfn.XLOOKUP(D250,Worksheet!$C$3:$C$32,Worksheet!$M$3:$M$32)</f>
        <v>112.1</v>
      </c>
      <c r="F250" s="19">
        <f>_xlfn.XLOOKUP(D250,Worksheet!$C$3:$C$32,Worksheet!$S$3:$S$32)</f>
        <v>0.58536585365853655</v>
      </c>
    </row>
    <row r="251" spans="1:6" x14ac:dyDescent="0.2">
      <c r="A251" t="s">
        <v>547</v>
      </c>
      <c r="B251" s="4">
        <v>44616</v>
      </c>
      <c r="C251">
        <v>13</v>
      </c>
      <c r="D251" t="s">
        <v>96</v>
      </c>
      <c r="E251">
        <f>_xlfn.XLOOKUP(D251,Worksheet!$C$3:$C$32,Worksheet!$M$3:$M$32)</f>
        <v>116.9</v>
      </c>
      <c r="F251" s="19">
        <f>_xlfn.XLOOKUP(D251,Worksheet!$C$3:$C$32,Worksheet!$S$3:$S$32)</f>
        <v>0.32926829268292684</v>
      </c>
    </row>
    <row r="252" spans="1:6" x14ac:dyDescent="0.2">
      <c r="A252" t="s">
        <v>547</v>
      </c>
      <c r="B252" s="4">
        <v>44619</v>
      </c>
      <c r="C252">
        <v>0.2</v>
      </c>
      <c r="D252" t="s">
        <v>49</v>
      </c>
      <c r="E252">
        <f>_xlfn.XLOOKUP(D252,Worksheet!$C$3:$C$32,Worksheet!$M$3:$M$32)</f>
        <v>109.4</v>
      </c>
      <c r="F252" s="19">
        <f>_xlfn.XLOOKUP(D252,Worksheet!$C$3:$C$32,Worksheet!$S$3:$S$32)</f>
        <v>0.63414634146341464</v>
      </c>
    </row>
    <row r="253" spans="1:6" x14ac:dyDescent="0.2">
      <c r="A253" t="s">
        <v>547</v>
      </c>
      <c r="B253" s="4">
        <v>44621</v>
      </c>
      <c r="C253">
        <v>5.5</v>
      </c>
      <c r="D253" t="s">
        <v>80</v>
      </c>
      <c r="E253">
        <f>_xlfn.XLOOKUP(D253,Worksheet!$C$3:$C$32,Worksheet!$M$3:$M$32)</f>
        <v>111.7</v>
      </c>
      <c r="F253" s="19">
        <f>_xlfn.XLOOKUP(D253,Worksheet!$C$3:$C$32,Worksheet!$S$3:$S$32)</f>
        <v>0.56097560975609762</v>
      </c>
    </row>
    <row r="254" spans="1:6" x14ac:dyDescent="0.2">
      <c r="A254" t="s">
        <v>547</v>
      </c>
      <c r="B254" s="4">
        <v>44623</v>
      </c>
      <c r="C254">
        <v>20.399999999999999</v>
      </c>
      <c r="D254" t="s">
        <v>49</v>
      </c>
      <c r="E254">
        <f>_xlfn.XLOOKUP(D254,Worksheet!$C$3:$C$32,Worksheet!$M$3:$M$32)</f>
        <v>109.4</v>
      </c>
      <c r="F254" s="19">
        <f>_xlfn.XLOOKUP(D254,Worksheet!$C$3:$C$32,Worksheet!$S$3:$S$32)</f>
        <v>0.63414634146341464</v>
      </c>
    </row>
    <row r="255" spans="1:6" x14ac:dyDescent="0.2">
      <c r="A255" t="s">
        <v>547</v>
      </c>
      <c r="B255" s="4">
        <v>44625</v>
      </c>
      <c r="C255">
        <v>18.5</v>
      </c>
      <c r="D255" t="s">
        <v>62</v>
      </c>
      <c r="E255">
        <f>_xlfn.XLOOKUP(D255,Worksheet!$C$3:$C$32,Worksheet!$M$3:$M$32)</f>
        <v>113.3</v>
      </c>
      <c r="F255" s="19">
        <f>_xlfn.XLOOKUP(D255,Worksheet!$C$3:$C$32,Worksheet!$S$3:$S$32)</f>
        <v>0.40243902439024393</v>
      </c>
    </row>
    <row r="256" spans="1:6" x14ac:dyDescent="0.2">
      <c r="A256" t="s">
        <v>547</v>
      </c>
      <c r="B256" s="4">
        <v>44627</v>
      </c>
      <c r="C256">
        <v>23.3</v>
      </c>
      <c r="D256" t="s">
        <v>34</v>
      </c>
      <c r="E256">
        <f>_xlfn.XLOOKUP(D256,Worksheet!$C$3:$C$32,Worksheet!$M$3:$M$32)</f>
        <v>112.1</v>
      </c>
      <c r="F256" s="19">
        <f>_xlfn.XLOOKUP(D256,Worksheet!$C$3:$C$32,Worksheet!$S$3:$S$32)</f>
        <v>0.58536585365853655</v>
      </c>
    </row>
    <row r="257" spans="1:6" x14ac:dyDescent="0.2">
      <c r="A257" t="s">
        <v>547</v>
      </c>
      <c r="B257" s="4">
        <v>44628</v>
      </c>
      <c r="C257">
        <v>16.399999999999999</v>
      </c>
      <c r="D257" t="s">
        <v>64</v>
      </c>
      <c r="E257">
        <f>_xlfn.XLOOKUP(D257,Worksheet!$C$3:$C$32,Worksheet!$M$3:$M$32)</f>
        <v>110.1</v>
      </c>
      <c r="F257" s="19">
        <f>_xlfn.XLOOKUP(D257,Worksheet!$C$3:$C$32,Worksheet!$S$3:$S$32)</f>
        <v>0.51219512195121952</v>
      </c>
    </row>
    <row r="258" spans="1:6" x14ac:dyDescent="0.2">
      <c r="A258" t="s">
        <v>547</v>
      </c>
      <c r="B258" s="4">
        <v>44630</v>
      </c>
      <c r="C258">
        <v>17.5</v>
      </c>
      <c r="D258" t="s">
        <v>34</v>
      </c>
      <c r="E258">
        <f>_xlfn.XLOOKUP(D258,Worksheet!$C$3:$C$32,Worksheet!$M$3:$M$32)</f>
        <v>112.1</v>
      </c>
      <c r="F258" s="19">
        <f>_xlfn.XLOOKUP(D258,Worksheet!$C$3:$C$32,Worksheet!$S$3:$S$32)</f>
        <v>0.58536585365853655</v>
      </c>
    </row>
    <row r="259" spans="1:6" x14ac:dyDescent="0.2">
      <c r="A259" t="s">
        <v>547</v>
      </c>
      <c r="B259" s="4">
        <v>44632</v>
      </c>
      <c r="C259">
        <v>26.9</v>
      </c>
      <c r="D259" t="s">
        <v>126</v>
      </c>
      <c r="E259">
        <f>_xlfn.XLOOKUP(D259,Worksheet!$C$3:$C$32,Worksheet!$M$3:$M$32)</f>
        <v>111.8</v>
      </c>
      <c r="F259" s="19">
        <f>_xlfn.XLOOKUP(D259,Worksheet!$C$3:$C$32,Worksheet!$S$3:$S$32)</f>
        <v>0.62195121951219512</v>
      </c>
    </row>
    <row r="260" spans="1:6" x14ac:dyDescent="0.2">
      <c r="A260" t="s">
        <v>547</v>
      </c>
      <c r="B260" s="4">
        <v>44634</v>
      </c>
      <c r="C260">
        <v>14.7</v>
      </c>
      <c r="D260" t="s">
        <v>155</v>
      </c>
      <c r="E260">
        <f>_xlfn.XLOOKUP(D260,Worksheet!$C$3:$C$32,Worksheet!$M$3:$M$32)</f>
        <v>114.5</v>
      </c>
      <c r="F260" s="19">
        <f>_xlfn.XLOOKUP(D260,Worksheet!$C$3:$C$32,Worksheet!$S$3:$S$32)</f>
        <v>0.42682926829268292</v>
      </c>
    </row>
    <row r="261" spans="1:6" x14ac:dyDescent="0.2">
      <c r="A261" t="s">
        <v>547</v>
      </c>
      <c r="B261" s="4">
        <v>44636</v>
      </c>
      <c r="C261">
        <v>22.4</v>
      </c>
      <c r="D261" t="s">
        <v>55</v>
      </c>
      <c r="E261">
        <f>_xlfn.XLOOKUP(D261,Worksheet!$C$3:$C$32,Worksheet!$M$3:$M$32)</f>
        <v>106.9</v>
      </c>
      <c r="F261" s="19">
        <f>_xlfn.XLOOKUP(D261,Worksheet!$C$3:$C$32,Worksheet!$S$3:$S$32)</f>
        <v>0.62195121951219512</v>
      </c>
    </row>
    <row r="262" spans="1:6" x14ac:dyDescent="0.2">
      <c r="A262" t="s">
        <v>547</v>
      </c>
      <c r="B262" s="4">
        <v>44640</v>
      </c>
      <c r="C262">
        <v>16.7</v>
      </c>
      <c r="D262" t="s">
        <v>102</v>
      </c>
      <c r="E262">
        <f>_xlfn.XLOOKUP(D262,Worksheet!$C$3:$C$32,Worksheet!$M$3:$M$32)</f>
        <v>112.3</v>
      </c>
      <c r="F262" s="19">
        <f>_xlfn.XLOOKUP(D262,Worksheet!$C$3:$C$32,Worksheet!$S$3:$S$32)</f>
        <v>0.41463414634146339</v>
      </c>
    </row>
    <row r="263" spans="1:6" x14ac:dyDescent="0.2">
      <c r="A263" t="s">
        <v>547</v>
      </c>
      <c r="B263" s="4">
        <v>44642</v>
      </c>
      <c r="C263">
        <v>13.5</v>
      </c>
      <c r="D263" t="s">
        <v>104</v>
      </c>
      <c r="E263">
        <f>_xlfn.XLOOKUP(D263,Worksheet!$C$3:$C$32,Worksheet!$M$3:$M$32)</f>
        <v>112.5</v>
      </c>
      <c r="F263" s="19">
        <f>_xlfn.XLOOKUP(D263,Worksheet!$C$3:$C$32,Worksheet!$S$3:$S$32)</f>
        <v>0.26829268292682928</v>
      </c>
    </row>
    <row r="264" spans="1:6" x14ac:dyDescent="0.2">
      <c r="A264" t="s">
        <v>547</v>
      </c>
      <c r="B264" s="4">
        <v>44643</v>
      </c>
      <c r="C264">
        <v>23.1</v>
      </c>
      <c r="D264" t="s">
        <v>120</v>
      </c>
      <c r="E264">
        <f>_xlfn.XLOOKUP(D264,Worksheet!$C$3:$C$32,Worksheet!$M$3:$M$32)</f>
        <v>109.1</v>
      </c>
      <c r="F264" s="19">
        <f>_xlfn.XLOOKUP(D264,Worksheet!$C$3:$C$32,Worksheet!$S$3:$S$32)</f>
        <v>0.64634146341463417</v>
      </c>
    </row>
    <row r="265" spans="1:6" x14ac:dyDescent="0.2">
      <c r="A265" t="s">
        <v>547</v>
      </c>
      <c r="B265" s="4">
        <v>44645</v>
      </c>
      <c r="C265">
        <v>13</v>
      </c>
      <c r="D265" t="s">
        <v>78</v>
      </c>
      <c r="E265">
        <f>_xlfn.XLOOKUP(D265,Worksheet!$C$3:$C$32,Worksheet!$M$3:$M$32)</f>
        <v>114.9</v>
      </c>
      <c r="F265" s="19">
        <f>_xlfn.XLOOKUP(D265,Worksheet!$C$3:$C$32,Worksheet!$S$3:$S$32)</f>
        <v>0.52439024390243905</v>
      </c>
    </row>
    <row r="266" spans="1:6" x14ac:dyDescent="0.2">
      <c r="A266" t="s">
        <v>547</v>
      </c>
      <c r="B266" s="4">
        <v>44647</v>
      </c>
      <c r="C266">
        <v>13.9</v>
      </c>
      <c r="D266" t="s">
        <v>155</v>
      </c>
      <c r="E266">
        <f>_xlfn.XLOOKUP(D266,Worksheet!$C$3:$C$32,Worksheet!$M$3:$M$32)</f>
        <v>114.5</v>
      </c>
      <c r="F266" s="19">
        <f>_xlfn.XLOOKUP(D266,Worksheet!$C$3:$C$32,Worksheet!$S$3:$S$32)</f>
        <v>0.42682926829268292</v>
      </c>
    </row>
    <row r="267" spans="1:6" x14ac:dyDescent="0.2">
      <c r="A267" t="s">
        <v>547</v>
      </c>
      <c r="B267" s="4">
        <v>44648</v>
      </c>
      <c r="C267">
        <v>18.100000000000001</v>
      </c>
      <c r="D267" t="s">
        <v>42</v>
      </c>
      <c r="E267">
        <f>_xlfn.XLOOKUP(D267,Worksheet!$C$3:$C$32,Worksheet!$M$3:$M$32)</f>
        <v>109</v>
      </c>
      <c r="F267" s="19">
        <f>_xlfn.XLOOKUP(D267,Worksheet!$C$3:$C$32,Worksheet!$S$3:$S$32)</f>
        <v>0.68292682926829273</v>
      </c>
    </row>
    <row r="268" spans="1:6" x14ac:dyDescent="0.2">
      <c r="A268" t="s">
        <v>547</v>
      </c>
      <c r="B268" s="4">
        <v>44650</v>
      </c>
      <c r="C268">
        <v>32</v>
      </c>
      <c r="D268" t="s">
        <v>99</v>
      </c>
      <c r="E268">
        <f>_xlfn.XLOOKUP(D268,Worksheet!$C$3:$C$32,Worksheet!$M$3:$M$32)</f>
        <v>107.3</v>
      </c>
      <c r="F268" s="19">
        <f>_xlfn.XLOOKUP(D268,Worksheet!$C$3:$C$32,Worksheet!$S$3:$S$32)</f>
        <v>0.78048780487804881</v>
      </c>
    </row>
    <row r="269" spans="1:6" x14ac:dyDescent="0.2">
      <c r="A269" t="s">
        <v>547</v>
      </c>
      <c r="B269" s="4">
        <v>44653</v>
      </c>
      <c r="C269">
        <v>19.7</v>
      </c>
      <c r="D269" t="s">
        <v>118</v>
      </c>
      <c r="E269">
        <f>_xlfn.XLOOKUP(D269,Worksheet!$C$3:$C$32,Worksheet!$M$3:$M$32)</f>
        <v>110.5</v>
      </c>
      <c r="F269" s="19">
        <f>_xlfn.XLOOKUP(D269,Worksheet!$C$3:$C$32,Worksheet!$S$3:$S$32)</f>
        <v>0.59756097560975607</v>
      </c>
    </row>
    <row r="270" spans="1:6" x14ac:dyDescent="0.2">
      <c r="A270" t="s">
        <v>547</v>
      </c>
      <c r="B270" s="4">
        <v>44654</v>
      </c>
      <c r="C270">
        <v>14.1</v>
      </c>
      <c r="D270" t="s">
        <v>66</v>
      </c>
      <c r="E270">
        <f>_xlfn.XLOOKUP(D270,Worksheet!$C$3:$C$32,Worksheet!$M$3:$M$32)</f>
        <v>115.3</v>
      </c>
      <c r="F270" s="19">
        <f>_xlfn.XLOOKUP(D270,Worksheet!$C$3:$C$32,Worksheet!$S$3:$S$32)</f>
        <v>0.36585365853658536</v>
      </c>
    </row>
    <row r="271" spans="1:6" x14ac:dyDescent="0.2">
      <c r="A271" t="s">
        <v>547</v>
      </c>
      <c r="B271" s="4">
        <v>44658</v>
      </c>
      <c r="C271">
        <v>15.6</v>
      </c>
      <c r="D271" t="s">
        <v>62</v>
      </c>
      <c r="E271">
        <f>_xlfn.XLOOKUP(D271,Worksheet!$C$3:$C$32,Worksheet!$M$3:$M$32)</f>
        <v>113.3</v>
      </c>
      <c r="F271" s="19">
        <f>_xlfn.XLOOKUP(D271,Worksheet!$C$3:$C$32,Worksheet!$S$3:$S$32)</f>
        <v>0.40243902439024393</v>
      </c>
    </row>
    <row r="272" spans="1:6" x14ac:dyDescent="0.2">
      <c r="A272" t="s">
        <v>547</v>
      </c>
      <c r="B272" s="4">
        <v>44660</v>
      </c>
      <c r="C272">
        <v>10.9</v>
      </c>
      <c r="D272" t="s">
        <v>102</v>
      </c>
      <c r="E272">
        <f>_xlfn.XLOOKUP(D272,Worksheet!$C$3:$C$32,Worksheet!$M$3:$M$32)</f>
        <v>112.3</v>
      </c>
      <c r="F272" s="19">
        <f>_xlfn.XLOOKUP(D272,Worksheet!$C$3:$C$32,Worksheet!$S$3:$S$32)</f>
        <v>0.41463414634146339</v>
      </c>
    </row>
    <row r="273" spans="1:6" x14ac:dyDescent="0.2">
      <c r="A273" t="s">
        <v>547</v>
      </c>
      <c r="B273" s="4">
        <v>44661</v>
      </c>
      <c r="C273">
        <v>14.7</v>
      </c>
      <c r="D273" t="s">
        <v>74</v>
      </c>
      <c r="E273">
        <f>_xlfn.XLOOKUP(D273,Worksheet!$C$3:$C$32,Worksheet!$M$3:$M$32)</f>
        <v>113</v>
      </c>
      <c r="F273" s="19">
        <f>_xlfn.XLOOKUP(D273,Worksheet!$C$3:$C$32,Worksheet!$S$3:$S$32)</f>
        <v>0.43902439024390244</v>
      </c>
    </row>
    <row r="274" spans="1:6" x14ac:dyDescent="0.2">
      <c r="A274" t="s">
        <v>547</v>
      </c>
      <c r="B274" s="4">
        <v>44667</v>
      </c>
      <c r="C274">
        <v>22.3</v>
      </c>
      <c r="D274" t="s">
        <v>34</v>
      </c>
      <c r="E274">
        <f>_xlfn.XLOOKUP(D274,Worksheet!$C$3:$C$32,Worksheet!$M$3:$M$32)</f>
        <v>112.1</v>
      </c>
      <c r="F274" s="19">
        <f>_xlfn.XLOOKUP(D274,Worksheet!$C$3:$C$32,Worksheet!$S$3:$S$32)</f>
        <v>0.58536585365853655</v>
      </c>
    </row>
    <row r="275" spans="1:6" x14ac:dyDescent="0.2">
      <c r="A275" t="s">
        <v>547</v>
      </c>
      <c r="B275" s="4">
        <v>44669</v>
      </c>
      <c r="C275">
        <v>28.8</v>
      </c>
      <c r="D275" t="s">
        <v>34</v>
      </c>
      <c r="E275">
        <f>_xlfn.XLOOKUP(D275,Worksheet!$C$3:$C$32,Worksheet!$M$3:$M$32)</f>
        <v>112.1</v>
      </c>
      <c r="F275" s="19">
        <f>_xlfn.XLOOKUP(D275,Worksheet!$C$3:$C$32,Worksheet!$S$3:$S$32)</f>
        <v>0.58536585365853655</v>
      </c>
    </row>
    <row r="276" spans="1:6" x14ac:dyDescent="0.2">
      <c r="A276" t="s">
        <v>547</v>
      </c>
      <c r="B276" s="4">
        <v>44672</v>
      </c>
      <c r="C276">
        <v>20.8</v>
      </c>
      <c r="D276" t="s">
        <v>34</v>
      </c>
      <c r="E276">
        <f>_xlfn.XLOOKUP(D276,Worksheet!$C$3:$C$32,Worksheet!$M$3:$M$32)</f>
        <v>112.1</v>
      </c>
      <c r="F276" s="19">
        <f>_xlfn.XLOOKUP(D276,Worksheet!$C$3:$C$32,Worksheet!$S$3:$S$32)</f>
        <v>0.58536585365853655</v>
      </c>
    </row>
    <row r="277" spans="1:6" x14ac:dyDescent="0.2">
      <c r="A277" t="s">
        <v>547</v>
      </c>
      <c r="B277" s="4">
        <v>44675</v>
      </c>
      <c r="C277">
        <v>12.1</v>
      </c>
      <c r="D277" t="s">
        <v>34</v>
      </c>
      <c r="E277">
        <f>_xlfn.XLOOKUP(D277,Worksheet!$C$3:$C$32,Worksheet!$M$3:$M$32)</f>
        <v>112.1</v>
      </c>
      <c r="F277" s="19">
        <f>_xlfn.XLOOKUP(D277,Worksheet!$C$3:$C$32,Worksheet!$S$3:$S$32)</f>
        <v>0.58536585365853655</v>
      </c>
    </row>
    <row r="278" spans="1:6" x14ac:dyDescent="0.2">
      <c r="A278" t="s">
        <v>547</v>
      </c>
      <c r="B278" s="4">
        <v>44678</v>
      </c>
      <c r="C278">
        <v>3.3</v>
      </c>
      <c r="D278" t="s">
        <v>34</v>
      </c>
      <c r="E278">
        <f>_xlfn.XLOOKUP(D278,Worksheet!$C$3:$C$32,Worksheet!$M$3:$M$32)</f>
        <v>112.1</v>
      </c>
      <c r="F278" s="19">
        <f>_xlfn.XLOOKUP(D278,Worksheet!$C$3:$C$32,Worksheet!$S$3:$S$32)</f>
        <v>0.58536585365853655</v>
      </c>
    </row>
    <row r="279" spans="1:6" x14ac:dyDescent="0.2">
      <c r="A279" t="s">
        <v>547</v>
      </c>
      <c r="B279" s="4">
        <v>44682</v>
      </c>
      <c r="C279">
        <v>27.9</v>
      </c>
      <c r="D279" t="s">
        <v>42</v>
      </c>
      <c r="E279">
        <f>_xlfn.XLOOKUP(D279,Worksheet!$C$3:$C$32,Worksheet!$M$3:$M$32)</f>
        <v>109</v>
      </c>
      <c r="F279" s="19">
        <f>_xlfn.XLOOKUP(D279,Worksheet!$C$3:$C$32,Worksheet!$S$3:$S$32)</f>
        <v>0.68292682926829273</v>
      </c>
    </row>
    <row r="280" spans="1:6" x14ac:dyDescent="0.2">
      <c r="A280" t="s">
        <v>547</v>
      </c>
      <c r="B280" s="4">
        <v>44684</v>
      </c>
      <c r="C280">
        <v>11.8</v>
      </c>
      <c r="D280" t="s">
        <v>42</v>
      </c>
      <c r="E280">
        <f>_xlfn.XLOOKUP(D280,Worksheet!$C$3:$C$32,Worksheet!$M$3:$M$32)</f>
        <v>109</v>
      </c>
      <c r="F280" s="19">
        <f>_xlfn.XLOOKUP(D280,Worksheet!$C$3:$C$32,Worksheet!$S$3:$S$32)</f>
        <v>0.68292682926829273</v>
      </c>
    </row>
    <row r="281" spans="1:6" x14ac:dyDescent="0.2">
      <c r="A281" t="s">
        <v>547</v>
      </c>
      <c r="B281" s="4">
        <v>44688</v>
      </c>
      <c r="C281">
        <v>19.7</v>
      </c>
      <c r="D281" t="s">
        <v>42</v>
      </c>
      <c r="E281">
        <f>_xlfn.XLOOKUP(D281,Worksheet!$C$3:$C$32,Worksheet!$M$3:$M$32)</f>
        <v>109</v>
      </c>
      <c r="F281" s="19">
        <f>_xlfn.XLOOKUP(D281,Worksheet!$C$3:$C$32,Worksheet!$S$3:$S$32)</f>
        <v>0.68292682926829273</v>
      </c>
    </row>
    <row r="282" spans="1:6" x14ac:dyDescent="0.2">
      <c r="A282" t="s">
        <v>547</v>
      </c>
      <c r="B282" s="4">
        <v>44690</v>
      </c>
      <c r="C282">
        <v>7.7</v>
      </c>
      <c r="D282" t="s">
        <v>42</v>
      </c>
      <c r="E282">
        <f>_xlfn.XLOOKUP(D282,Worksheet!$C$3:$C$32,Worksheet!$M$3:$M$32)</f>
        <v>109</v>
      </c>
      <c r="F282" s="19">
        <f>_xlfn.XLOOKUP(D282,Worksheet!$C$3:$C$32,Worksheet!$S$3:$S$32)</f>
        <v>0.68292682926829273</v>
      </c>
    </row>
    <row r="283" spans="1:6" x14ac:dyDescent="0.2">
      <c r="A283" t="s">
        <v>547</v>
      </c>
      <c r="B283" s="4">
        <v>44692</v>
      </c>
      <c r="C283">
        <v>-1.9</v>
      </c>
      <c r="D283" t="s">
        <v>42</v>
      </c>
      <c r="E283">
        <f>_xlfn.XLOOKUP(D283,Worksheet!$C$3:$C$32,Worksheet!$M$3:$M$32)</f>
        <v>109</v>
      </c>
      <c r="F283" s="19">
        <f>_xlfn.XLOOKUP(D283,Worksheet!$C$3:$C$32,Worksheet!$S$3:$S$32)</f>
        <v>0.68292682926829273</v>
      </c>
    </row>
    <row r="284" spans="1:6" x14ac:dyDescent="0.2">
      <c r="A284" t="s">
        <v>547</v>
      </c>
      <c r="B284" s="4">
        <v>44694</v>
      </c>
      <c r="C284">
        <v>3.7</v>
      </c>
      <c r="D284" t="s">
        <v>42</v>
      </c>
      <c r="E284">
        <f>_xlfn.XLOOKUP(D284,Worksheet!$C$3:$C$32,Worksheet!$M$3:$M$32)</f>
        <v>109</v>
      </c>
      <c r="F284" s="19">
        <f>_xlfn.XLOOKUP(D284,Worksheet!$C$3:$C$32,Worksheet!$S$3:$S$32)</f>
        <v>0.68292682926829273</v>
      </c>
    </row>
    <row r="285" spans="1:6" x14ac:dyDescent="0.2">
      <c r="A285" t="s">
        <v>547</v>
      </c>
      <c r="B285" s="4">
        <v>44699</v>
      </c>
      <c r="C285">
        <v>14.9</v>
      </c>
      <c r="D285" t="s">
        <v>49</v>
      </c>
      <c r="E285">
        <f>_xlfn.XLOOKUP(D285,Worksheet!$C$3:$C$32,Worksheet!$M$3:$M$32)</f>
        <v>109.4</v>
      </c>
      <c r="F285" s="19">
        <f>_xlfn.XLOOKUP(D285,Worksheet!$C$3:$C$32,Worksheet!$S$3:$S$32)</f>
        <v>0.63414634146341464</v>
      </c>
    </row>
    <row r="286" spans="1:6" x14ac:dyDescent="0.2">
      <c r="A286" t="s">
        <v>547</v>
      </c>
      <c r="B286" s="4">
        <v>44701</v>
      </c>
      <c r="C286">
        <v>20.8</v>
      </c>
      <c r="D286" t="s">
        <v>49</v>
      </c>
      <c r="E286">
        <f>_xlfn.XLOOKUP(D286,Worksheet!$C$3:$C$32,Worksheet!$M$3:$M$32)</f>
        <v>109.4</v>
      </c>
      <c r="F286" s="19">
        <f>_xlfn.XLOOKUP(D286,Worksheet!$C$3:$C$32,Worksheet!$S$3:$S$32)</f>
        <v>0.63414634146341464</v>
      </c>
    </row>
    <row r="287" spans="1:6" x14ac:dyDescent="0.2">
      <c r="A287" t="s">
        <v>547</v>
      </c>
      <c r="B287" s="4">
        <v>44703</v>
      </c>
      <c r="C287">
        <v>9</v>
      </c>
      <c r="D287" t="s">
        <v>49</v>
      </c>
      <c r="E287">
        <f>_xlfn.XLOOKUP(D287,Worksheet!$C$3:$C$32,Worksheet!$M$3:$M$32)</f>
        <v>109.4</v>
      </c>
      <c r="F287" s="19">
        <f>_xlfn.XLOOKUP(D287,Worksheet!$C$3:$C$32,Worksheet!$S$3:$S$32)</f>
        <v>0.63414634146341464</v>
      </c>
    </row>
    <row r="288" spans="1:6" x14ac:dyDescent="0.2">
      <c r="A288" t="s">
        <v>547</v>
      </c>
      <c r="B288" s="4">
        <v>44705</v>
      </c>
      <c r="C288">
        <v>9.1</v>
      </c>
      <c r="D288" t="s">
        <v>49</v>
      </c>
      <c r="E288">
        <f>_xlfn.XLOOKUP(D288,Worksheet!$C$3:$C$32,Worksheet!$M$3:$M$32)</f>
        <v>109.4</v>
      </c>
      <c r="F288" s="19">
        <f>_xlfn.XLOOKUP(D288,Worksheet!$C$3:$C$32,Worksheet!$S$3:$S$32)</f>
        <v>0.63414634146341464</v>
      </c>
    </row>
    <row r="289" spans="1:6" x14ac:dyDescent="0.2">
      <c r="A289" t="s">
        <v>547</v>
      </c>
      <c r="B289" s="4">
        <v>44707</v>
      </c>
      <c r="C289">
        <v>15.6</v>
      </c>
      <c r="D289" t="s">
        <v>49</v>
      </c>
      <c r="E289">
        <f>_xlfn.XLOOKUP(D289,Worksheet!$C$3:$C$32,Worksheet!$M$3:$M$32)</f>
        <v>109.4</v>
      </c>
      <c r="F289" s="19">
        <f>_xlfn.XLOOKUP(D289,Worksheet!$C$3:$C$32,Worksheet!$S$3:$S$32)</f>
        <v>0.63414634146341464</v>
      </c>
    </row>
    <row r="290" spans="1:6" x14ac:dyDescent="0.2">
      <c r="A290" t="s">
        <v>547</v>
      </c>
      <c r="B290" s="4">
        <v>44714</v>
      </c>
      <c r="C290">
        <v>2.5</v>
      </c>
      <c r="D290" t="s">
        <v>55</v>
      </c>
      <c r="E290">
        <f>_xlfn.XLOOKUP(D290,Worksheet!$C$3:$C$32,Worksheet!$M$3:$M$32)</f>
        <v>106.9</v>
      </c>
      <c r="F290" s="19">
        <f>_xlfn.XLOOKUP(D290,Worksheet!$C$3:$C$32,Worksheet!$S$3:$S$32)</f>
        <v>0.62195121951219512</v>
      </c>
    </row>
    <row r="291" spans="1:6" x14ac:dyDescent="0.2">
      <c r="A291" t="s">
        <v>547</v>
      </c>
      <c r="B291" s="4">
        <v>44717</v>
      </c>
      <c r="C291">
        <v>10.9</v>
      </c>
      <c r="D291" t="s">
        <v>55</v>
      </c>
      <c r="E291">
        <f>_xlfn.XLOOKUP(D291,Worksheet!$C$3:$C$32,Worksheet!$M$3:$M$32)</f>
        <v>106.9</v>
      </c>
      <c r="F291" s="19">
        <f>_xlfn.XLOOKUP(D291,Worksheet!$C$3:$C$32,Worksheet!$S$3:$S$32)</f>
        <v>0.62195121951219512</v>
      </c>
    </row>
    <row r="292" spans="1:6" x14ac:dyDescent="0.2">
      <c r="A292" t="s">
        <v>547</v>
      </c>
      <c r="B292" s="4">
        <v>44720</v>
      </c>
      <c r="C292">
        <v>4.8</v>
      </c>
      <c r="D292" t="s">
        <v>55</v>
      </c>
      <c r="E292">
        <f>_xlfn.XLOOKUP(D292,Worksheet!$C$3:$C$32,Worksheet!$M$3:$M$32)</f>
        <v>106.9</v>
      </c>
      <c r="F292" s="19">
        <f>_xlfn.XLOOKUP(D292,Worksheet!$C$3:$C$32,Worksheet!$S$3:$S$32)</f>
        <v>0.62195121951219512</v>
      </c>
    </row>
    <row r="293" spans="1:6" x14ac:dyDescent="0.2">
      <c r="A293" t="s">
        <v>547</v>
      </c>
      <c r="B293" s="4">
        <v>44722</v>
      </c>
      <c r="C293">
        <v>7.4</v>
      </c>
      <c r="D293" t="s">
        <v>55</v>
      </c>
      <c r="E293">
        <f>_xlfn.XLOOKUP(D293,Worksheet!$C$3:$C$32,Worksheet!$M$3:$M$32)</f>
        <v>106.9</v>
      </c>
      <c r="F293" s="19">
        <f>_xlfn.XLOOKUP(D293,Worksheet!$C$3:$C$32,Worksheet!$S$3:$S$32)</f>
        <v>0.62195121951219512</v>
      </c>
    </row>
    <row r="294" spans="1:6" x14ac:dyDescent="0.2">
      <c r="A294" t="s">
        <v>547</v>
      </c>
      <c r="B294" s="4">
        <v>44725</v>
      </c>
      <c r="C294">
        <v>8.6</v>
      </c>
      <c r="D294" t="s">
        <v>55</v>
      </c>
      <c r="E294">
        <f>_xlfn.XLOOKUP(D294,Worksheet!$C$3:$C$32,Worksheet!$M$3:$M$32)</f>
        <v>106.9</v>
      </c>
      <c r="F294" s="19">
        <f>_xlfn.XLOOKUP(D294,Worksheet!$C$3:$C$32,Worksheet!$S$3:$S$32)</f>
        <v>0.62195121951219512</v>
      </c>
    </row>
    <row r="295" spans="1:6" x14ac:dyDescent="0.2">
      <c r="A295" t="s">
        <v>547</v>
      </c>
      <c r="B295" s="4">
        <v>44728</v>
      </c>
      <c r="C295">
        <v>10.1</v>
      </c>
      <c r="D295" t="s">
        <v>55</v>
      </c>
      <c r="E295">
        <f>_xlfn.XLOOKUP(D295,Worksheet!$C$3:$C$32,Worksheet!$M$3:$M$32)</f>
        <v>106.9</v>
      </c>
      <c r="F295" s="19">
        <f>_xlfn.XLOOKUP(D295,Worksheet!$C$3:$C$32,Worksheet!$S$3:$S$32)</f>
        <v>0.62195121951219512</v>
      </c>
    </row>
    <row r="296" spans="1:6" x14ac:dyDescent="0.2">
      <c r="A296" t="s">
        <v>548</v>
      </c>
      <c r="B296" s="4">
        <v>44488</v>
      </c>
      <c r="C296">
        <v>17.600000000000001</v>
      </c>
      <c r="D296" t="s">
        <v>126</v>
      </c>
      <c r="E296">
        <f>_xlfn.XLOOKUP(D296,Worksheet!$C$3:$C$32,Worksheet!$M$3:$M$32)</f>
        <v>111.8</v>
      </c>
      <c r="F296" s="19">
        <f>_xlfn.XLOOKUP(D296,Worksheet!$C$3:$C$32,Worksheet!$S$3:$S$32)</f>
        <v>0.62195121951219512</v>
      </c>
    </row>
    <row r="297" spans="1:6" x14ac:dyDescent="0.2">
      <c r="A297" t="s">
        <v>548</v>
      </c>
      <c r="B297" s="4">
        <v>44491</v>
      </c>
      <c r="C297">
        <v>15.6</v>
      </c>
      <c r="D297" t="s">
        <v>94</v>
      </c>
      <c r="E297">
        <f>_xlfn.XLOOKUP(D297,Worksheet!$C$3:$C$32,Worksheet!$M$3:$M$32)</f>
        <v>110.8</v>
      </c>
      <c r="F297" s="19">
        <f>_xlfn.XLOOKUP(D297,Worksheet!$C$3:$C$32,Worksheet!$S$3:$S$32)</f>
        <v>0.62195121951219512</v>
      </c>
    </row>
    <row r="298" spans="1:6" x14ac:dyDescent="0.2">
      <c r="A298" t="s">
        <v>548</v>
      </c>
      <c r="B298" s="4">
        <v>44493</v>
      </c>
      <c r="C298">
        <v>6.4</v>
      </c>
      <c r="D298" t="s">
        <v>72</v>
      </c>
      <c r="E298">
        <f>_xlfn.XLOOKUP(D298,Worksheet!$C$3:$C$32,Worksheet!$M$3:$M$32)</f>
        <v>113.7</v>
      </c>
      <c r="F298" s="19">
        <f>_xlfn.XLOOKUP(D298,Worksheet!$C$3:$C$32,Worksheet!$S$3:$S$32)</f>
        <v>0.52439024390243905</v>
      </c>
    </row>
    <row r="299" spans="1:6" x14ac:dyDescent="0.2">
      <c r="A299" t="s">
        <v>548</v>
      </c>
      <c r="B299" s="4">
        <v>44494</v>
      </c>
      <c r="C299">
        <v>11.9</v>
      </c>
      <c r="D299" t="s">
        <v>155</v>
      </c>
      <c r="E299">
        <f>_xlfn.XLOOKUP(D299,Worksheet!$C$3:$C$32,Worksheet!$M$3:$M$32)</f>
        <v>114.5</v>
      </c>
      <c r="F299" s="19">
        <f>_xlfn.XLOOKUP(D299,Worksheet!$C$3:$C$32,Worksheet!$S$3:$S$32)</f>
        <v>0.42682926829268292</v>
      </c>
    </row>
    <row r="300" spans="1:6" x14ac:dyDescent="0.2">
      <c r="A300" t="s">
        <v>548</v>
      </c>
      <c r="B300" s="4">
        <v>44496</v>
      </c>
      <c r="C300">
        <v>10.7</v>
      </c>
      <c r="D300" t="s">
        <v>120</v>
      </c>
      <c r="E300">
        <f>_xlfn.XLOOKUP(D300,Worksheet!$C$3:$C$32,Worksheet!$M$3:$M$32)</f>
        <v>109.1</v>
      </c>
      <c r="F300" s="19">
        <f>_xlfn.XLOOKUP(D300,Worksheet!$C$3:$C$32,Worksheet!$S$3:$S$32)</f>
        <v>0.64634146341463417</v>
      </c>
    </row>
    <row r="301" spans="1:6" x14ac:dyDescent="0.2">
      <c r="A301" t="s">
        <v>548</v>
      </c>
      <c r="B301" s="4">
        <v>44498</v>
      </c>
      <c r="C301">
        <v>27.7</v>
      </c>
      <c r="D301" t="s">
        <v>108</v>
      </c>
      <c r="E301">
        <f>_xlfn.XLOOKUP(D301,Worksheet!$C$3:$C$32,Worksheet!$M$3:$M$32)</f>
        <v>116.1</v>
      </c>
      <c r="F301" s="19">
        <f>_xlfn.XLOOKUP(D301,Worksheet!$C$3:$C$32,Worksheet!$S$3:$S$32)</f>
        <v>0.3048780487804878</v>
      </c>
    </row>
    <row r="302" spans="1:6" x14ac:dyDescent="0.2">
      <c r="A302" t="s">
        <v>548</v>
      </c>
      <c r="B302" s="4">
        <v>44500</v>
      </c>
      <c r="C302">
        <v>20.100000000000001</v>
      </c>
      <c r="D302" t="s">
        <v>89</v>
      </c>
      <c r="E302">
        <f>_xlfn.XLOOKUP(D302,Worksheet!$C$3:$C$32,Worksheet!$M$3:$M$32)</f>
        <v>113.8</v>
      </c>
      <c r="F302" s="19">
        <f>_xlfn.XLOOKUP(D302,Worksheet!$C$3:$C$32,Worksheet!$S$3:$S$32)</f>
        <v>0.28048780487804881</v>
      </c>
    </row>
    <row r="303" spans="1:6" x14ac:dyDescent="0.2">
      <c r="A303" t="s">
        <v>548</v>
      </c>
      <c r="B303" s="4">
        <v>44503</v>
      </c>
      <c r="C303">
        <v>15</v>
      </c>
      <c r="D303" t="s">
        <v>78</v>
      </c>
      <c r="E303">
        <f>_xlfn.XLOOKUP(D303,Worksheet!$C$3:$C$32,Worksheet!$M$3:$M$32)</f>
        <v>114.9</v>
      </c>
      <c r="F303" s="19">
        <f>_xlfn.XLOOKUP(D303,Worksheet!$C$3:$C$32,Worksheet!$S$3:$S$32)</f>
        <v>0.52439024390243905</v>
      </c>
    </row>
    <row r="304" spans="1:6" x14ac:dyDescent="0.2">
      <c r="A304" t="s">
        <v>548</v>
      </c>
      <c r="B304" s="4">
        <v>44505</v>
      </c>
      <c r="C304">
        <v>9.3000000000000007</v>
      </c>
      <c r="D304" t="s">
        <v>89</v>
      </c>
      <c r="E304">
        <f>_xlfn.XLOOKUP(D304,Worksheet!$C$3:$C$32,Worksheet!$M$3:$M$32)</f>
        <v>113.8</v>
      </c>
      <c r="F304" s="19">
        <f>_xlfn.XLOOKUP(D304,Worksheet!$C$3:$C$32,Worksheet!$S$3:$S$32)</f>
        <v>0.28048780487804881</v>
      </c>
    </row>
    <row r="305" spans="1:6" x14ac:dyDescent="0.2">
      <c r="A305" t="s">
        <v>548</v>
      </c>
      <c r="B305" s="4">
        <v>44507</v>
      </c>
      <c r="C305">
        <v>24.6</v>
      </c>
      <c r="D305" t="s">
        <v>92</v>
      </c>
      <c r="E305">
        <f>_xlfn.XLOOKUP(D305,Worksheet!$C$3:$C$32,Worksheet!$M$3:$M$32)</f>
        <v>110.5</v>
      </c>
      <c r="F305" s="19">
        <f>_xlfn.XLOOKUP(D305,Worksheet!$C$3:$C$32,Worksheet!$S$3:$S$32)</f>
        <v>0.58536585365853655</v>
      </c>
    </row>
    <row r="306" spans="1:6" x14ac:dyDescent="0.2">
      <c r="A306" t="s">
        <v>548</v>
      </c>
      <c r="B306" s="4">
        <v>44508</v>
      </c>
      <c r="C306">
        <v>10.7</v>
      </c>
      <c r="D306" t="s">
        <v>82</v>
      </c>
      <c r="E306">
        <f>_xlfn.XLOOKUP(D306,Worksheet!$C$3:$C$32,Worksheet!$M$3:$M$32)</f>
        <v>113.6</v>
      </c>
      <c r="F306" s="19">
        <f>_xlfn.XLOOKUP(D306,Worksheet!$C$3:$C$32,Worksheet!$S$3:$S$32)</f>
        <v>0.56097560975609762</v>
      </c>
    </row>
    <row r="307" spans="1:6" x14ac:dyDescent="0.2">
      <c r="A307" t="s">
        <v>548</v>
      </c>
      <c r="B307" s="4">
        <v>44510</v>
      </c>
      <c r="C307">
        <v>18.3</v>
      </c>
      <c r="D307" t="s">
        <v>104</v>
      </c>
      <c r="E307">
        <f>_xlfn.XLOOKUP(D307,Worksheet!$C$3:$C$32,Worksheet!$M$3:$M$32)</f>
        <v>112.5</v>
      </c>
      <c r="F307" s="19">
        <f>_xlfn.XLOOKUP(D307,Worksheet!$C$3:$C$32,Worksheet!$S$3:$S$32)</f>
        <v>0.26829268292682928</v>
      </c>
    </row>
    <row r="308" spans="1:6" x14ac:dyDescent="0.2">
      <c r="A308" t="s">
        <v>548</v>
      </c>
      <c r="B308" s="4">
        <v>44512</v>
      </c>
      <c r="C308">
        <v>33.6</v>
      </c>
      <c r="D308" t="s">
        <v>74</v>
      </c>
      <c r="E308">
        <f>_xlfn.XLOOKUP(D308,Worksheet!$C$3:$C$32,Worksheet!$M$3:$M$32)</f>
        <v>113</v>
      </c>
      <c r="F308" s="19">
        <f>_xlfn.XLOOKUP(D308,Worksheet!$C$3:$C$32,Worksheet!$S$3:$S$32)</f>
        <v>0.43902439024390244</v>
      </c>
    </row>
    <row r="309" spans="1:6" x14ac:dyDescent="0.2">
      <c r="A309" t="s">
        <v>548</v>
      </c>
      <c r="B309" s="4">
        <v>44514</v>
      </c>
      <c r="C309">
        <v>16.8</v>
      </c>
      <c r="D309" t="s">
        <v>68</v>
      </c>
      <c r="E309">
        <f>_xlfn.XLOOKUP(D309,Worksheet!$C$3:$C$32,Worksheet!$M$3:$M$32)</f>
        <v>112.8</v>
      </c>
      <c r="F309" s="19">
        <f>_xlfn.XLOOKUP(D309,Worksheet!$C$3:$C$32,Worksheet!$S$3:$S$32)</f>
        <v>0.29268292682926828</v>
      </c>
    </row>
    <row r="310" spans="1:6" x14ac:dyDescent="0.2">
      <c r="A310" t="s">
        <v>548</v>
      </c>
      <c r="B310" s="4">
        <v>44516</v>
      </c>
      <c r="C310">
        <v>14.7</v>
      </c>
      <c r="D310" t="s">
        <v>33</v>
      </c>
      <c r="E310">
        <f>_xlfn.XLOOKUP(D310,Worksheet!$C$3:$C$32,Worksheet!$M$3:$M$32)</f>
        <v>106.9</v>
      </c>
      <c r="F310" s="19">
        <f>_xlfn.XLOOKUP(D310,Worksheet!$C$3:$C$32,Worksheet!$S$3:$S$32)</f>
        <v>0.64634146341463417</v>
      </c>
    </row>
    <row r="311" spans="1:6" x14ac:dyDescent="0.2">
      <c r="A311" t="s">
        <v>548</v>
      </c>
      <c r="B311" s="4">
        <v>44517</v>
      </c>
      <c r="C311">
        <v>25.2</v>
      </c>
      <c r="D311" t="s">
        <v>87</v>
      </c>
      <c r="E311">
        <f>_xlfn.XLOOKUP(D311,Worksheet!$C$3:$C$32,Worksheet!$M$3:$M$32)</f>
        <v>109.7</v>
      </c>
      <c r="F311" s="19">
        <f>_xlfn.XLOOKUP(D311,Worksheet!$C$3:$C$32,Worksheet!$S$3:$S$32)</f>
        <v>0.53658536585365857</v>
      </c>
    </row>
    <row r="312" spans="1:6" x14ac:dyDescent="0.2">
      <c r="A312" t="s">
        <v>548</v>
      </c>
      <c r="B312" s="4">
        <v>44519</v>
      </c>
      <c r="C312">
        <v>26.7</v>
      </c>
      <c r="D312" t="s">
        <v>104</v>
      </c>
      <c r="E312">
        <f>_xlfn.XLOOKUP(D312,Worksheet!$C$3:$C$32,Worksheet!$M$3:$M$32)</f>
        <v>112.5</v>
      </c>
      <c r="F312" s="19">
        <f>_xlfn.XLOOKUP(D312,Worksheet!$C$3:$C$32,Worksheet!$S$3:$S$32)</f>
        <v>0.26829268292682928</v>
      </c>
    </row>
    <row r="313" spans="1:6" x14ac:dyDescent="0.2">
      <c r="A313" t="s">
        <v>548</v>
      </c>
      <c r="B313" s="4">
        <v>44522</v>
      </c>
      <c r="C313">
        <v>18.2</v>
      </c>
      <c r="D313" t="s">
        <v>87</v>
      </c>
      <c r="E313">
        <f>_xlfn.XLOOKUP(D313,Worksheet!$C$3:$C$32,Worksheet!$M$3:$M$32)</f>
        <v>109.7</v>
      </c>
      <c r="F313" s="19">
        <f>_xlfn.XLOOKUP(D313,Worksheet!$C$3:$C$32,Worksheet!$S$3:$S$32)</f>
        <v>0.53658536585365857</v>
      </c>
    </row>
    <row r="314" spans="1:6" x14ac:dyDescent="0.2">
      <c r="A314" t="s">
        <v>548</v>
      </c>
      <c r="B314" s="4">
        <v>44524</v>
      </c>
      <c r="C314">
        <v>19.7</v>
      </c>
      <c r="D314" t="s">
        <v>55</v>
      </c>
      <c r="E314">
        <f>_xlfn.XLOOKUP(D314,Worksheet!$C$3:$C$32,Worksheet!$M$3:$M$32)</f>
        <v>106.9</v>
      </c>
      <c r="F314" s="19">
        <f>_xlfn.XLOOKUP(D314,Worksheet!$C$3:$C$32,Worksheet!$S$3:$S$32)</f>
        <v>0.62195121951219512</v>
      </c>
    </row>
    <row r="315" spans="1:6" x14ac:dyDescent="0.2">
      <c r="A315" t="s">
        <v>548</v>
      </c>
      <c r="B315" s="4">
        <v>44527</v>
      </c>
      <c r="C315">
        <v>11.8</v>
      </c>
      <c r="D315" t="s">
        <v>99</v>
      </c>
      <c r="E315">
        <f>_xlfn.XLOOKUP(D315,Worksheet!$C$3:$C$32,Worksheet!$M$3:$M$32)</f>
        <v>107.3</v>
      </c>
      <c r="F315" s="19">
        <f>_xlfn.XLOOKUP(D315,Worksheet!$C$3:$C$32,Worksheet!$S$3:$S$32)</f>
        <v>0.78048780487804881</v>
      </c>
    </row>
    <row r="316" spans="1:6" x14ac:dyDescent="0.2">
      <c r="A316" t="s">
        <v>548</v>
      </c>
      <c r="B316" s="4">
        <v>44530</v>
      </c>
      <c r="C316">
        <v>31</v>
      </c>
      <c r="D316" t="s">
        <v>110</v>
      </c>
      <c r="E316">
        <f>_xlfn.XLOOKUP(D316,Worksheet!$C$3:$C$32,Worksheet!$M$3:$M$32)</f>
        <v>110.5</v>
      </c>
      <c r="F316" s="19">
        <f>_xlfn.XLOOKUP(D316,Worksheet!$C$3:$C$32,Worksheet!$S$3:$S$32)</f>
        <v>0.45121951219512196</v>
      </c>
    </row>
    <row r="317" spans="1:6" x14ac:dyDescent="0.2">
      <c r="A317" t="s">
        <v>548</v>
      </c>
      <c r="B317" s="4">
        <v>44533</v>
      </c>
      <c r="C317">
        <v>15.5</v>
      </c>
      <c r="D317" t="s">
        <v>80</v>
      </c>
      <c r="E317">
        <f>_xlfn.XLOOKUP(D317,Worksheet!$C$3:$C$32,Worksheet!$M$3:$M$32)</f>
        <v>111.7</v>
      </c>
      <c r="F317" s="19">
        <f>_xlfn.XLOOKUP(D317,Worksheet!$C$3:$C$32,Worksheet!$S$3:$S$32)</f>
        <v>0.56097560975609762</v>
      </c>
    </row>
    <row r="318" spans="1:6" x14ac:dyDescent="0.2">
      <c r="A318" t="s">
        <v>548</v>
      </c>
      <c r="B318" s="4">
        <v>44534</v>
      </c>
      <c r="C318">
        <v>13.4</v>
      </c>
      <c r="D318" t="s">
        <v>82</v>
      </c>
      <c r="E318">
        <f>_xlfn.XLOOKUP(D318,Worksheet!$C$3:$C$32,Worksheet!$M$3:$M$32)</f>
        <v>113.6</v>
      </c>
      <c r="F318" s="19">
        <f>_xlfn.XLOOKUP(D318,Worksheet!$C$3:$C$32,Worksheet!$S$3:$S$32)</f>
        <v>0.56097560975609762</v>
      </c>
    </row>
    <row r="319" spans="1:6" x14ac:dyDescent="0.2">
      <c r="A319" t="s">
        <v>548</v>
      </c>
      <c r="B319" s="4">
        <v>44537</v>
      </c>
      <c r="C319">
        <v>22.3</v>
      </c>
      <c r="D319" t="s">
        <v>49</v>
      </c>
      <c r="E319">
        <f>_xlfn.XLOOKUP(D319,Worksheet!$C$3:$C$32,Worksheet!$M$3:$M$32)</f>
        <v>109.4</v>
      </c>
      <c r="F319" s="19">
        <f>_xlfn.XLOOKUP(D319,Worksheet!$C$3:$C$32,Worksheet!$S$3:$S$32)</f>
        <v>0.63414634146341464</v>
      </c>
    </row>
    <row r="320" spans="1:6" x14ac:dyDescent="0.2">
      <c r="A320" t="s">
        <v>548</v>
      </c>
      <c r="B320" s="4">
        <v>44538</v>
      </c>
      <c r="C320">
        <v>16.3</v>
      </c>
      <c r="D320" t="s">
        <v>76</v>
      </c>
      <c r="E320">
        <f>_xlfn.XLOOKUP(D320,Worksheet!$C$3:$C$32,Worksheet!$M$3:$M$32)</f>
        <v>116.7</v>
      </c>
      <c r="F320" s="19">
        <f>_xlfn.XLOOKUP(D320,Worksheet!$C$3:$C$32,Worksheet!$S$3:$S$32)</f>
        <v>0.24390243902439024</v>
      </c>
    </row>
    <row r="321" spans="1:6" x14ac:dyDescent="0.2">
      <c r="A321" t="s">
        <v>548</v>
      </c>
      <c r="B321" s="4">
        <v>44540</v>
      </c>
      <c r="C321">
        <v>14.1</v>
      </c>
      <c r="D321" t="s">
        <v>78</v>
      </c>
      <c r="E321">
        <f>_xlfn.XLOOKUP(D321,Worksheet!$C$3:$C$32,Worksheet!$M$3:$M$32)</f>
        <v>114.9</v>
      </c>
      <c r="F321" s="19">
        <f>_xlfn.XLOOKUP(D321,Worksheet!$C$3:$C$32,Worksheet!$S$3:$S$32)</f>
        <v>0.52439024390243905</v>
      </c>
    </row>
    <row r="322" spans="1:6" x14ac:dyDescent="0.2">
      <c r="A322" t="s">
        <v>548</v>
      </c>
      <c r="B322" s="4">
        <v>44542</v>
      </c>
      <c r="C322" t="s">
        <v>91</v>
      </c>
      <c r="D322" t="s">
        <v>89</v>
      </c>
      <c r="E322">
        <f>_xlfn.XLOOKUP(D322,Worksheet!$C$3:$C$32,Worksheet!$M$3:$M$32)</f>
        <v>113.8</v>
      </c>
      <c r="F322" s="19">
        <f>_xlfn.XLOOKUP(D322,Worksheet!$C$3:$C$32,Worksheet!$S$3:$S$32)</f>
        <v>0.28048780487804881</v>
      </c>
    </row>
    <row r="323" spans="1:6" x14ac:dyDescent="0.2">
      <c r="A323" t="s">
        <v>548</v>
      </c>
      <c r="B323" s="4">
        <v>44544</v>
      </c>
      <c r="C323" t="s">
        <v>91</v>
      </c>
      <c r="D323" t="s">
        <v>92</v>
      </c>
      <c r="E323">
        <f>_xlfn.XLOOKUP(D323,Worksheet!$C$3:$C$32,Worksheet!$M$3:$M$32)</f>
        <v>110.5</v>
      </c>
      <c r="F323" s="19">
        <f>_xlfn.XLOOKUP(D323,Worksheet!$C$3:$C$32,Worksheet!$S$3:$S$32)</f>
        <v>0.58536585365853655</v>
      </c>
    </row>
    <row r="324" spans="1:6" x14ac:dyDescent="0.2">
      <c r="A324" t="s">
        <v>548</v>
      </c>
      <c r="B324" s="4">
        <v>44546</v>
      </c>
      <c r="C324" t="s">
        <v>91</v>
      </c>
      <c r="D324" t="s">
        <v>94</v>
      </c>
      <c r="E324">
        <f>_xlfn.XLOOKUP(D324,Worksheet!$C$3:$C$32,Worksheet!$M$3:$M$32)</f>
        <v>110.8</v>
      </c>
      <c r="F324" s="19">
        <f>_xlfn.XLOOKUP(D324,Worksheet!$C$3:$C$32,Worksheet!$S$3:$S$32)</f>
        <v>0.62195121951219512</v>
      </c>
    </row>
    <row r="325" spans="1:6" x14ac:dyDescent="0.2">
      <c r="A325" t="s">
        <v>548</v>
      </c>
      <c r="B325" s="4">
        <v>44548</v>
      </c>
      <c r="C325" t="s">
        <v>91</v>
      </c>
      <c r="D325" t="s">
        <v>104</v>
      </c>
      <c r="E325">
        <f>_xlfn.XLOOKUP(D325,Worksheet!$C$3:$C$32,Worksheet!$M$3:$M$32)</f>
        <v>112.5</v>
      </c>
      <c r="F325" s="19">
        <f>_xlfn.XLOOKUP(D325,Worksheet!$C$3:$C$32,Worksheet!$S$3:$S$32)</f>
        <v>0.26829268292682928</v>
      </c>
    </row>
    <row r="326" spans="1:6" x14ac:dyDescent="0.2">
      <c r="A326" t="s">
        <v>548</v>
      </c>
      <c r="B326" s="4">
        <v>44555</v>
      </c>
      <c r="C326">
        <v>28.8</v>
      </c>
      <c r="D326" t="s">
        <v>62</v>
      </c>
      <c r="E326">
        <f>_xlfn.XLOOKUP(D326,Worksheet!$C$3:$C$32,Worksheet!$M$3:$M$32)</f>
        <v>113.3</v>
      </c>
      <c r="F326" s="19">
        <f>_xlfn.XLOOKUP(D326,Worksheet!$C$3:$C$32,Worksheet!$S$3:$S$32)</f>
        <v>0.40243902439024393</v>
      </c>
    </row>
    <row r="327" spans="1:6" x14ac:dyDescent="0.2">
      <c r="A327" t="s">
        <v>548</v>
      </c>
      <c r="B327" s="4">
        <v>44557</v>
      </c>
      <c r="C327">
        <v>37.799999999999997</v>
      </c>
      <c r="D327" t="s">
        <v>64</v>
      </c>
      <c r="E327">
        <f>_xlfn.XLOOKUP(D327,Worksheet!$C$3:$C$32,Worksheet!$M$3:$M$32)</f>
        <v>110.1</v>
      </c>
      <c r="F327" s="19">
        <f>_xlfn.XLOOKUP(D327,Worksheet!$C$3:$C$32,Worksheet!$S$3:$S$32)</f>
        <v>0.51219512195121952</v>
      </c>
    </row>
    <row r="328" spans="1:6" x14ac:dyDescent="0.2">
      <c r="A328" t="s">
        <v>548</v>
      </c>
      <c r="B328" s="4">
        <v>44560</v>
      </c>
      <c r="C328">
        <v>28.2</v>
      </c>
      <c r="D328" t="s">
        <v>94</v>
      </c>
      <c r="E328">
        <f>_xlfn.XLOOKUP(D328,Worksheet!$C$3:$C$32,Worksheet!$M$3:$M$32)</f>
        <v>110.8</v>
      </c>
      <c r="F328" s="19">
        <f>_xlfn.XLOOKUP(D328,Worksheet!$C$3:$C$32,Worksheet!$S$3:$S$32)</f>
        <v>0.62195121951219512</v>
      </c>
    </row>
    <row r="329" spans="1:6" x14ac:dyDescent="0.2">
      <c r="A329" t="s">
        <v>548</v>
      </c>
      <c r="B329" s="4">
        <v>44562</v>
      </c>
      <c r="C329">
        <v>30.7</v>
      </c>
      <c r="D329" t="s">
        <v>64</v>
      </c>
      <c r="E329">
        <f>_xlfn.XLOOKUP(D329,Worksheet!$C$3:$C$32,Worksheet!$M$3:$M$32)</f>
        <v>110.1</v>
      </c>
      <c r="F329" s="19">
        <f>_xlfn.XLOOKUP(D329,Worksheet!$C$3:$C$32,Worksheet!$S$3:$S$32)</f>
        <v>0.51219512195121952</v>
      </c>
    </row>
    <row r="330" spans="1:6" x14ac:dyDescent="0.2">
      <c r="A330" t="s">
        <v>548</v>
      </c>
      <c r="B330" s="4">
        <v>44564</v>
      </c>
      <c r="C330">
        <v>14.7</v>
      </c>
      <c r="D330" t="s">
        <v>42</v>
      </c>
      <c r="E330">
        <f>_xlfn.XLOOKUP(D330,Worksheet!$C$3:$C$32,Worksheet!$M$3:$M$32)</f>
        <v>109</v>
      </c>
      <c r="F330" s="19">
        <f>_xlfn.XLOOKUP(D330,Worksheet!$C$3:$C$32,Worksheet!$S$3:$S$32)</f>
        <v>0.68292682926829273</v>
      </c>
    </row>
    <row r="331" spans="1:6" x14ac:dyDescent="0.2">
      <c r="A331" t="s">
        <v>548</v>
      </c>
      <c r="B331" s="4">
        <v>44566</v>
      </c>
      <c r="C331">
        <v>15.3</v>
      </c>
      <c r="D331" t="s">
        <v>108</v>
      </c>
      <c r="E331">
        <f>_xlfn.XLOOKUP(D331,Worksheet!$C$3:$C$32,Worksheet!$M$3:$M$32)</f>
        <v>116.1</v>
      </c>
      <c r="F331" s="19">
        <f>_xlfn.XLOOKUP(D331,Worksheet!$C$3:$C$32,Worksheet!$S$3:$S$32)</f>
        <v>0.3048780487804878</v>
      </c>
    </row>
    <row r="332" spans="1:6" x14ac:dyDescent="0.2">
      <c r="A332" t="s">
        <v>548</v>
      </c>
      <c r="B332" s="4">
        <v>44568</v>
      </c>
      <c r="C332">
        <v>10.8</v>
      </c>
      <c r="D332" t="s">
        <v>126</v>
      </c>
      <c r="E332">
        <f>_xlfn.XLOOKUP(D332,Worksheet!$C$3:$C$32,Worksheet!$M$3:$M$32)</f>
        <v>111.8</v>
      </c>
      <c r="F332" s="19">
        <f>_xlfn.XLOOKUP(D332,Worksheet!$C$3:$C$32,Worksheet!$S$3:$S$32)</f>
        <v>0.62195121951219512</v>
      </c>
    </row>
    <row r="333" spans="1:6" x14ac:dyDescent="0.2">
      <c r="A333" t="s">
        <v>548</v>
      </c>
      <c r="B333" s="4">
        <v>44570</v>
      </c>
      <c r="C333">
        <v>21.6</v>
      </c>
      <c r="D333" t="s">
        <v>102</v>
      </c>
      <c r="E333">
        <f>_xlfn.XLOOKUP(D333,Worksheet!$C$3:$C$32,Worksheet!$M$3:$M$32)</f>
        <v>112.3</v>
      </c>
      <c r="F333" s="19">
        <f>_xlfn.XLOOKUP(D333,Worksheet!$C$3:$C$32,Worksheet!$S$3:$S$32)</f>
        <v>0.41463414634146339</v>
      </c>
    </row>
    <row r="334" spans="1:6" x14ac:dyDescent="0.2">
      <c r="A334" t="s">
        <v>548</v>
      </c>
      <c r="B334" s="4">
        <v>44571</v>
      </c>
      <c r="C334" t="s">
        <v>91</v>
      </c>
      <c r="D334" t="s">
        <v>96</v>
      </c>
      <c r="E334">
        <f>_xlfn.XLOOKUP(D334,Worksheet!$C$3:$C$32,Worksheet!$M$3:$M$32)</f>
        <v>116.9</v>
      </c>
      <c r="F334" s="19">
        <f>_xlfn.XLOOKUP(D334,Worksheet!$C$3:$C$32,Worksheet!$S$3:$S$32)</f>
        <v>0.32926829268292684</v>
      </c>
    </row>
    <row r="335" spans="1:6" x14ac:dyDescent="0.2">
      <c r="A335" t="s">
        <v>548</v>
      </c>
      <c r="B335" s="4">
        <v>44573</v>
      </c>
      <c r="C335">
        <v>31.7</v>
      </c>
      <c r="D335" t="s">
        <v>82</v>
      </c>
      <c r="E335">
        <f>_xlfn.XLOOKUP(D335,Worksheet!$C$3:$C$32,Worksheet!$M$3:$M$32)</f>
        <v>113.6</v>
      </c>
      <c r="F335" s="19">
        <f>_xlfn.XLOOKUP(D335,Worksheet!$C$3:$C$32,Worksheet!$S$3:$S$32)</f>
        <v>0.56097560975609762</v>
      </c>
    </row>
    <row r="336" spans="1:6" x14ac:dyDescent="0.2">
      <c r="A336" t="s">
        <v>548</v>
      </c>
      <c r="B336" s="4">
        <v>44574</v>
      </c>
      <c r="C336">
        <v>23.5</v>
      </c>
      <c r="D336" t="s">
        <v>68</v>
      </c>
      <c r="E336">
        <f>_xlfn.XLOOKUP(D336,Worksheet!$C$3:$C$32,Worksheet!$M$3:$M$32)</f>
        <v>112.8</v>
      </c>
      <c r="F336" s="19">
        <f>_xlfn.XLOOKUP(D336,Worksheet!$C$3:$C$32,Worksheet!$S$3:$S$32)</f>
        <v>0.29268292682926828</v>
      </c>
    </row>
    <row r="337" spans="1:6" x14ac:dyDescent="0.2">
      <c r="A337" t="s">
        <v>548</v>
      </c>
      <c r="B337" s="4">
        <v>44576</v>
      </c>
      <c r="C337">
        <v>27.5</v>
      </c>
      <c r="D337" t="s">
        <v>74</v>
      </c>
      <c r="E337">
        <f>_xlfn.XLOOKUP(D337,Worksheet!$C$3:$C$32,Worksheet!$M$3:$M$32)</f>
        <v>113</v>
      </c>
      <c r="F337" s="19">
        <f>_xlfn.XLOOKUP(D337,Worksheet!$C$3:$C$32,Worksheet!$S$3:$S$32)</f>
        <v>0.43902439024390244</v>
      </c>
    </row>
    <row r="338" spans="1:6" x14ac:dyDescent="0.2">
      <c r="A338" t="s">
        <v>548</v>
      </c>
      <c r="B338" s="4">
        <v>44578</v>
      </c>
      <c r="C338">
        <v>20.7</v>
      </c>
      <c r="D338" t="s">
        <v>87</v>
      </c>
      <c r="E338">
        <f>_xlfn.XLOOKUP(D338,Worksheet!$C$3:$C$32,Worksheet!$M$3:$M$32)</f>
        <v>109.7</v>
      </c>
      <c r="F338" s="19">
        <f>_xlfn.XLOOKUP(D338,Worksheet!$C$3:$C$32,Worksheet!$S$3:$S$32)</f>
        <v>0.53658536585365857</v>
      </c>
    </row>
    <row r="339" spans="1:6" x14ac:dyDescent="0.2">
      <c r="A339" t="s">
        <v>548</v>
      </c>
      <c r="B339" s="4">
        <v>44580</v>
      </c>
      <c r="C339">
        <v>4.8</v>
      </c>
      <c r="D339" t="s">
        <v>155</v>
      </c>
      <c r="E339">
        <f>_xlfn.XLOOKUP(D339,Worksheet!$C$3:$C$32,Worksheet!$M$3:$M$32)</f>
        <v>114.5</v>
      </c>
      <c r="F339" s="19">
        <f>_xlfn.XLOOKUP(D339,Worksheet!$C$3:$C$32,Worksheet!$S$3:$S$32)</f>
        <v>0.42682926829268292</v>
      </c>
    </row>
    <row r="340" spans="1:6" x14ac:dyDescent="0.2">
      <c r="A340" t="s">
        <v>548</v>
      </c>
      <c r="B340" s="4">
        <v>44582</v>
      </c>
      <c r="C340">
        <v>33</v>
      </c>
      <c r="D340" t="s">
        <v>102</v>
      </c>
      <c r="E340">
        <f>_xlfn.XLOOKUP(D340,Worksheet!$C$3:$C$32,Worksheet!$M$3:$M$32)</f>
        <v>112.3</v>
      </c>
      <c r="F340" s="19">
        <f>_xlfn.XLOOKUP(D340,Worksheet!$C$3:$C$32,Worksheet!$S$3:$S$32)</f>
        <v>0.41463414634146339</v>
      </c>
    </row>
    <row r="341" spans="1:6" x14ac:dyDescent="0.2">
      <c r="A341" t="s">
        <v>548</v>
      </c>
      <c r="B341" s="4">
        <v>44584</v>
      </c>
      <c r="C341">
        <v>10.3</v>
      </c>
      <c r="D341" t="s">
        <v>80</v>
      </c>
      <c r="E341">
        <f>_xlfn.XLOOKUP(D341,Worksheet!$C$3:$C$32,Worksheet!$M$3:$M$32)</f>
        <v>111.7</v>
      </c>
      <c r="F341" s="19">
        <f>_xlfn.XLOOKUP(D341,Worksheet!$C$3:$C$32,Worksheet!$S$3:$S$32)</f>
        <v>0.56097560975609762</v>
      </c>
    </row>
    <row r="342" spans="1:6" x14ac:dyDescent="0.2">
      <c r="A342" t="s">
        <v>548</v>
      </c>
      <c r="B342" s="4">
        <v>44586</v>
      </c>
      <c r="C342">
        <v>29.4</v>
      </c>
      <c r="D342" t="s">
        <v>62</v>
      </c>
      <c r="E342">
        <f>_xlfn.XLOOKUP(D342,Worksheet!$C$3:$C$32,Worksheet!$M$3:$M$32)</f>
        <v>113.3</v>
      </c>
      <c r="F342" s="19">
        <f>_xlfn.XLOOKUP(D342,Worksheet!$C$3:$C$32,Worksheet!$S$3:$S$32)</f>
        <v>0.40243902439024393</v>
      </c>
    </row>
    <row r="343" spans="1:6" x14ac:dyDescent="0.2">
      <c r="A343" t="s">
        <v>548</v>
      </c>
      <c r="B343" s="4">
        <v>44587</v>
      </c>
      <c r="C343" t="s">
        <v>210</v>
      </c>
      <c r="D343" t="s">
        <v>34</v>
      </c>
      <c r="E343">
        <f>_xlfn.XLOOKUP(D343,Worksheet!$C$3:$C$32,Worksheet!$M$3:$M$32)</f>
        <v>112.1</v>
      </c>
      <c r="F343" s="19">
        <f>_xlfn.XLOOKUP(D343,Worksheet!$C$3:$C$32,Worksheet!$S$3:$S$32)</f>
        <v>0.58536585365853655</v>
      </c>
    </row>
    <row r="344" spans="1:6" x14ac:dyDescent="0.2">
      <c r="A344" t="s">
        <v>548</v>
      </c>
      <c r="B344" s="4">
        <v>44590</v>
      </c>
      <c r="C344" t="s">
        <v>358</v>
      </c>
      <c r="D344" t="s">
        <v>33</v>
      </c>
      <c r="E344">
        <f>_xlfn.XLOOKUP(D344,Worksheet!$C$3:$C$32,Worksheet!$M$3:$M$32)</f>
        <v>106.9</v>
      </c>
      <c r="F344" s="19">
        <f>_xlfn.XLOOKUP(D344,Worksheet!$C$3:$C$32,Worksheet!$S$3:$S$32)</f>
        <v>0.64634146341463417</v>
      </c>
    </row>
    <row r="345" spans="1:6" x14ac:dyDescent="0.2">
      <c r="A345" t="s">
        <v>548</v>
      </c>
      <c r="B345" s="4">
        <v>44593</v>
      </c>
      <c r="C345">
        <v>15.8</v>
      </c>
      <c r="D345" t="s">
        <v>99</v>
      </c>
      <c r="E345">
        <f>_xlfn.XLOOKUP(D345,Worksheet!$C$3:$C$32,Worksheet!$M$3:$M$32)</f>
        <v>107.3</v>
      </c>
      <c r="F345" s="19">
        <f>_xlfn.XLOOKUP(D345,Worksheet!$C$3:$C$32,Worksheet!$S$3:$S$32)</f>
        <v>0.78048780487804881</v>
      </c>
    </row>
    <row r="346" spans="1:6" x14ac:dyDescent="0.2">
      <c r="A346" t="s">
        <v>548</v>
      </c>
      <c r="B346" s="4">
        <v>44594</v>
      </c>
      <c r="C346">
        <v>1.1000000000000001</v>
      </c>
      <c r="D346" t="s">
        <v>66</v>
      </c>
      <c r="E346">
        <f>_xlfn.XLOOKUP(D346,Worksheet!$C$3:$C$32,Worksheet!$M$3:$M$32)</f>
        <v>115.3</v>
      </c>
      <c r="F346" s="19">
        <f>_xlfn.XLOOKUP(D346,Worksheet!$C$3:$C$32,Worksheet!$S$3:$S$32)</f>
        <v>0.36585365853658536</v>
      </c>
    </row>
    <row r="347" spans="1:6" x14ac:dyDescent="0.2">
      <c r="A347" t="s">
        <v>548</v>
      </c>
      <c r="B347" s="4">
        <v>44596</v>
      </c>
      <c r="C347" t="s">
        <v>210</v>
      </c>
      <c r="D347" t="s">
        <v>118</v>
      </c>
      <c r="E347">
        <f>_xlfn.XLOOKUP(D347,Worksheet!$C$3:$C$32,Worksheet!$M$3:$M$32)</f>
        <v>110.5</v>
      </c>
      <c r="F347" s="19">
        <f>_xlfn.XLOOKUP(D347,Worksheet!$C$3:$C$32,Worksheet!$S$3:$S$32)</f>
        <v>0.59756097560975607</v>
      </c>
    </row>
    <row r="348" spans="1:6" x14ac:dyDescent="0.2">
      <c r="A348" t="s">
        <v>548</v>
      </c>
      <c r="B348" s="4">
        <v>44598</v>
      </c>
      <c r="C348" t="s">
        <v>358</v>
      </c>
      <c r="D348" t="s">
        <v>34</v>
      </c>
      <c r="E348">
        <f>_xlfn.XLOOKUP(D348,Worksheet!$C$3:$C$32,Worksheet!$M$3:$M$32)</f>
        <v>112.1</v>
      </c>
      <c r="F348" s="19">
        <f>_xlfn.XLOOKUP(D348,Worksheet!$C$3:$C$32,Worksheet!$S$3:$S$32)</f>
        <v>0.58536585365853655</v>
      </c>
    </row>
    <row r="349" spans="1:6" x14ac:dyDescent="0.2">
      <c r="A349" t="s">
        <v>548</v>
      </c>
      <c r="B349" s="4">
        <v>44600</v>
      </c>
      <c r="C349" t="s">
        <v>210</v>
      </c>
      <c r="D349" t="s">
        <v>55</v>
      </c>
      <c r="E349">
        <f>_xlfn.XLOOKUP(D349,Worksheet!$C$3:$C$32,Worksheet!$M$3:$M$32)</f>
        <v>106.9</v>
      </c>
      <c r="F349" s="19">
        <f>_xlfn.XLOOKUP(D349,Worksheet!$C$3:$C$32,Worksheet!$S$3:$S$32)</f>
        <v>0.62195121951219512</v>
      </c>
    </row>
    <row r="350" spans="1:6" x14ac:dyDescent="0.2">
      <c r="A350" t="s">
        <v>548</v>
      </c>
      <c r="B350" s="4">
        <v>44602</v>
      </c>
      <c r="C350" t="s">
        <v>91</v>
      </c>
      <c r="D350" t="s">
        <v>155</v>
      </c>
      <c r="E350">
        <f>_xlfn.XLOOKUP(D350,Worksheet!$C$3:$C$32,Worksheet!$M$3:$M$32)</f>
        <v>114.5</v>
      </c>
      <c r="F350" s="19">
        <f>_xlfn.XLOOKUP(D350,Worksheet!$C$3:$C$32,Worksheet!$S$3:$S$32)</f>
        <v>0.42682926829268292</v>
      </c>
    </row>
    <row r="351" spans="1:6" x14ac:dyDescent="0.2">
      <c r="A351" t="s">
        <v>548</v>
      </c>
      <c r="B351" s="4">
        <v>44603</v>
      </c>
      <c r="C351" t="s">
        <v>91</v>
      </c>
      <c r="D351" t="s">
        <v>68</v>
      </c>
      <c r="E351">
        <f>_xlfn.XLOOKUP(D351,Worksheet!$C$3:$C$32,Worksheet!$M$3:$M$32)</f>
        <v>112.8</v>
      </c>
      <c r="F351" s="19">
        <f>_xlfn.XLOOKUP(D351,Worksheet!$C$3:$C$32,Worksheet!$S$3:$S$32)</f>
        <v>0.29268292682926828</v>
      </c>
    </row>
    <row r="352" spans="1:6" x14ac:dyDescent="0.2">
      <c r="A352" t="s">
        <v>548</v>
      </c>
      <c r="B352" s="4">
        <v>44604</v>
      </c>
      <c r="C352" t="s">
        <v>91</v>
      </c>
      <c r="D352" t="s">
        <v>87</v>
      </c>
      <c r="E352">
        <f>_xlfn.XLOOKUP(D352,Worksheet!$C$3:$C$32,Worksheet!$M$3:$M$32)</f>
        <v>109.7</v>
      </c>
      <c r="F352" s="19">
        <f>_xlfn.XLOOKUP(D352,Worksheet!$C$3:$C$32,Worksheet!$S$3:$S$32)</f>
        <v>0.53658536585365857</v>
      </c>
    </row>
    <row r="353" spans="1:6" x14ac:dyDescent="0.2">
      <c r="A353" t="s">
        <v>548</v>
      </c>
      <c r="B353" s="4">
        <v>44607</v>
      </c>
      <c r="C353" t="s">
        <v>91</v>
      </c>
      <c r="D353" t="s">
        <v>55</v>
      </c>
      <c r="E353">
        <f>_xlfn.XLOOKUP(D353,Worksheet!$C$3:$C$32,Worksheet!$M$3:$M$32)</f>
        <v>106.9</v>
      </c>
      <c r="F353" s="19">
        <f>_xlfn.XLOOKUP(D353,Worksheet!$C$3:$C$32,Worksheet!$S$3:$S$32)</f>
        <v>0.62195121951219512</v>
      </c>
    </row>
    <row r="354" spans="1:6" x14ac:dyDescent="0.2">
      <c r="A354" t="s">
        <v>548</v>
      </c>
      <c r="B354" s="4">
        <v>44609</v>
      </c>
      <c r="C354" t="s">
        <v>91</v>
      </c>
      <c r="D354" t="s">
        <v>126</v>
      </c>
      <c r="E354">
        <f>_xlfn.XLOOKUP(D354,Worksheet!$C$3:$C$32,Worksheet!$M$3:$M$32)</f>
        <v>111.8</v>
      </c>
      <c r="F354" s="19">
        <f>_xlfn.XLOOKUP(D354,Worksheet!$C$3:$C$32,Worksheet!$S$3:$S$32)</f>
        <v>0.62195121951219512</v>
      </c>
    </row>
    <row r="355" spans="1:6" x14ac:dyDescent="0.2">
      <c r="A355" t="s">
        <v>548</v>
      </c>
      <c r="B355" s="4">
        <v>44617</v>
      </c>
      <c r="C355">
        <v>28.6</v>
      </c>
      <c r="D355" t="s">
        <v>80</v>
      </c>
      <c r="E355">
        <f>_xlfn.XLOOKUP(D355,Worksheet!$C$3:$C$32,Worksheet!$M$3:$M$32)</f>
        <v>111.7</v>
      </c>
      <c r="F355" s="19">
        <f>_xlfn.XLOOKUP(D355,Worksheet!$C$3:$C$32,Worksheet!$S$3:$S$32)</f>
        <v>0.56097560975609762</v>
      </c>
    </row>
    <row r="356" spans="1:6" x14ac:dyDescent="0.2">
      <c r="A356" t="s">
        <v>548</v>
      </c>
      <c r="B356" s="4">
        <v>44619</v>
      </c>
      <c r="C356">
        <v>37</v>
      </c>
      <c r="D356" t="s">
        <v>110</v>
      </c>
      <c r="E356">
        <f>_xlfn.XLOOKUP(D356,Worksheet!$C$3:$C$32,Worksheet!$M$3:$M$32)</f>
        <v>110.5</v>
      </c>
      <c r="F356" s="19">
        <f>_xlfn.XLOOKUP(D356,Worksheet!$C$3:$C$32,Worksheet!$S$3:$S$32)</f>
        <v>0.45121951219512196</v>
      </c>
    </row>
    <row r="357" spans="1:6" x14ac:dyDescent="0.2">
      <c r="A357" t="s">
        <v>548</v>
      </c>
      <c r="B357" s="4">
        <v>44622</v>
      </c>
      <c r="C357">
        <v>24.1</v>
      </c>
      <c r="D357" t="s">
        <v>110</v>
      </c>
      <c r="E357">
        <f>_xlfn.XLOOKUP(D357,Worksheet!$C$3:$C$32,Worksheet!$M$3:$M$32)</f>
        <v>110.5</v>
      </c>
      <c r="F357" s="19">
        <f>_xlfn.XLOOKUP(D357,Worksheet!$C$3:$C$32,Worksheet!$S$3:$S$32)</f>
        <v>0.45121951219512196</v>
      </c>
    </row>
    <row r="358" spans="1:6" x14ac:dyDescent="0.2">
      <c r="A358" t="s">
        <v>548</v>
      </c>
      <c r="B358" s="4">
        <v>44624</v>
      </c>
      <c r="C358">
        <v>25</v>
      </c>
      <c r="D358" t="s">
        <v>87</v>
      </c>
      <c r="E358">
        <f>_xlfn.XLOOKUP(D358,Worksheet!$C$3:$C$32,Worksheet!$M$3:$M$32)</f>
        <v>109.7</v>
      </c>
      <c r="F358" s="19">
        <f>_xlfn.XLOOKUP(D358,Worksheet!$C$3:$C$32,Worksheet!$S$3:$S$32)</f>
        <v>0.53658536585365857</v>
      </c>
    </row>
    <row r="359" spans="1:6" x14ac:dyDescent="0.2">
      <c r="A359" t="s">
        <v>548</v>
      </c>
      <c r="B359" s="4">
        <v>44625</v>
      </c>
      <c r="C359" t="s">
        <v>91</v>
      </c>
      <c r="D359" t="s">
        <v>120</v>
      </c>
      <c r="E359">
        <f>_xlfn.XLOOKUP(D359,Worksheet!$C$3:$C$32,Worksheet!$M$3:$M$32)</f>
        <v>109.1</v>
      </c>
      <c r="F359" s="19">
        <f>_xlfn.XLOOKUP(D359,Worksheet!$C$3:$C$32,Worksheet!$S$3:$S$32)</f>
        <v>0.64634146341463417</v>
      </c>
    </row>
    <row r="360" spans="1:6" x14ac:dyDescent="0.2">
      <c r="A360" t="s">
        <v>548</v>
      </c>
      <c r="B360" s="4">
        <v>44627</v>
      </c>
      <c r="C360">
        <v>15.5</v>
      </c>
      <c r="D360" t="s">
        <v>82</v>
      </c>
      <c r="E360">
        <f>_xlfn.XLOOKUP(D360,Worksheet!$C$3:$C$32,Worksheet!$M$3:$M$32)</f>
        <v>113.6</v>
      </c>
      <c r="F360" s="19">
        <f>_xlfn.XLOOKUP(D360,Worksheet!$C$3:$C$32,Worksheet!$S$3:$S$32)</f>
        <v>0.56097560975609762</v>
      </c>
    </row>
    <row r="361" spans="1:6" x14ac:dyDescent="0.2">
      <c r="A361" t="s">
        <v>548</v>
      </c>
      <c r="B361" s="4">
        <v>44630</v>
      </c>
      <c r="C361">
        <v>2.8</v>
      </c>
      <c r="D361" t="s">
        <v>85</v>
      </c>
      <c r="E361">
        <f>_xlfn.XLOOKUP(D361,Worksheet!$C$3:$C$32,Worksheet!$M$3:$M$32)</f>
        <v>112.8</v>
      </c>
      <c r="F361" s="19">
        <f>_xlfn.XLOOKUP(D361,Worksheet!$C$3:$C$32,Worksheet!$S$3:$S$32)</f>
        <v>0.53658536585365857</v>
      </c>
    </row>
    <row r="362" spans="1:6" x14ac:dyDescent="0.2">
      <c r="A362" t="s">
        <v>548</v>
      </c>
      <c r="B362" s="4">
        <v>44633</v>
      </c>
      <c r="C362">
        <v>19.899999999999999</v>
      </c>
      <c r="D362" t="s">
        <v>104</v>
      </c>
      <c r="E362">
        <f>_xlfn.XLOOKUP(D362,Worksheet!$C$3:$C$32,Worksheet!$M$3:$M$32)</f>
        <v>112.5</v>
      </c>
      <c r="F362" s="19">
        <f>_xlfn.XLOOKUP(D362,Worksheet!$C$3:$C$32,Worksheet!$S$3:$S$32)</f>
        <v>0.26829268292682928</v>
      </c>
    </row>
    <row r="363" spans="1:6" x14ac:dyDescent="0.2">
      <c r="A363" t="s">
        <v>548</v>
      </c>
      <c r="B363" s="4">
        <v>44634</v>
      </c>
      <c r="C363">
        <v>25</v>
      </c>
      <c r="D363" t="s">
        <v>34</v>
      </c>
      <c r="E363">
        <f>_xlfn.XLOOKUP(D363,Worksheet!$C$3:$C$32,Worksheet!$M$3:$M$32)</f>
        <v>112.1</v>
      </c>
      <c r="F363" s="19">
        <f>_xlfn.XLOOKUP(D363,Worksheet!$C$3:$C$32,Worksheet!$S$3:$S$32)</f>
        <v>0.58536585365853655</v>
      </c>
    </row>
    <row r="364" spans="1:6" x14ac:dyDescent="0.2">
      <c r="A364" t="s">
        <v>548</v>
      </c>
      <c r="B364" s="4">
        <v>44636</v>
      </c>
      <c r="C364">
        <v>19.7</v>
      </c>
      <c r="D364" t="s">
        <v>87</v>
      </c>
      <c r="E364">
        <f>_xlfn.XLOOKUP(D364,Worksheet!$C$3:$C$32,Worksheet!$M$3:$M$32)</f>
        <v>109.7</v>
      </c>
      <c r="F364" s="19">
        <f>_xlfn.XLOOKUP(D364,Worksheet!$C$3:$C$32,Worksheet!$S$3:$S$32)</f>
        <v>0.53658536585365857</v>
      </c>
    </row>
    <row r="365" spans="1:6" x14ac:dyDescent="0.2">
      <c r="A365" t="s">
        <v>548</v>
      </c>
      <c r="B365" s="4">
        <v>44638</v>
      </c>
      <c r="C365">
        <v>26.6</v>
      </c>
      <c r="D365" t="s">
        <v>49</v>
      </c>
      <c r="E365">
        <f>_xlfn.XLOOKUP(D365,Worksheet!$C$3:$C$32,Worksheet!$M$3:$M$32)</f>
        <v>109.4</v>
      </c>
      <c r="F365" s="19">
        <f>_xlfn.XLOOKUP(D365,Worksheet!$C$3:$C$32,Worksheet!$S$3:$S$32)</f>
        <v>0.63414634146341464</v>
      </c>
    </row>
    <row r="366" spans="1:6" x14ac:dyDescent="0.2">
      <c r="A366" t="s">
        <v>548</v>
      </c>
      <c r="B366" s="4">
        <v>44640</v>
      </c>
      <c r="C366">
        <v>12.1</v>
      </c>
      <c r="D366" t="s">
        <v>92</v>
      </c>
      <c r="E366">
        <f>_xlfn.XLOOKUP(D366,Worksheet!$C$3:$C$32,Worksheet!$M$3:$M$32)</f>
        <v>110.5</v>
      </c>
      <c r="F366" s="19">
        <f>_xlfn.XLOOKUP(D366,Worksheet!$C$3:$C$32,Worksheet!$S$3:$S$32)</f>
        <v>0.58536585365853655</v>
      </c>
    </row>
    <row r="367" spans="1:6" x14ac:dyDescent="0.2">
      <c r="A367" t="s">
        <v>548</v>
      </c>
      <c r="B367" s="4">
        <v>44641</v>
      </c>
      <c r="C367" t="s">
        <v>91</v>
      </c>
      <c r="D367" t="s">
        <v>120</v>
      </c>
      <c r="E367">
        <f>_xlfn.XLOOKUP(D367,Worksheet!$C$3:$C$32,Worksheet!$M$3:$M$32)</f>
        <v>109.1</v>
      </c>
      <c r="F367" s="19">
        <f>_xlfn.XLOOKUP(D367,Worksheet!$C$3:$C$32,Worksheet!$S$3:$S$32)</f>
        <v>0.64634146341463417</v>
      </c>
    </row>
    <row r="368" spans="1:6" x14ac:dyDescent="0.2">
      <c r="A368" t="s">
        <v>548</v>
      </c>
      <c r="B368" s="4">
        <v>44643</v>
      </c>
      <c r="C368">
        <v>18</v>
      </c>
      <c r="D368" t="s">
        <v>62</v>
      </c>
      <c r="E368">
        <f>_xlfn.XLOOKUP(D368,Worksheet!$C$3:$C$32,Worksheet!$M$3:$M$32)</f>
        <v>113.3</v>
      </c>
      <c r="F368" s="19">
        <f>_xlfn.XLOOKUP(D368,Worksheet!$C$3:$C$32,Worksheet!$S$3:$S$32)</f>
        <v>0.40243902439024393</v>
      </c>
    </row>
    <row r="369" spans="1:6" x14ac:dyDescent="0.2">
      <c r="A369" t="s">
        <v>548</v>
      </c>
      <c r="B369" s="4">
        <v>44645</v>
      </c>
      <c r="C369">
        <v>29.4</v>
      </c>
      <c r="D369" t="s">
        <v>64</v>
      </c>
      <c r="E369">
        <f>_xlfn.XLOOKUP(D369,Worksheet!$C$3:$C$32,Worksheet!$M$3:$M$32)</f>
        <v>110.1</v>
      </c>
      <c r="F369" s="19">
        <f>_xlfn.XLOOKUP(D369,Worksheet!$C$3:$C$32,Worksheet!$S$3:$S$32)</f>
        <v>0.51219512195121952</v>
      </c>
    </row>
    <row r="370" spans="1:6" x14ac:dyDescent="0.2">
      <c r="A370" t="s">
        <v>548</v>
      </c>
      <c r="B370" s="4">
        <v>44647</v>
      </c>
      <c r="C370">
        <v>13.7</v>
      </c>
      <c r="D370" t="s">
        <v>99</v>
      </c>
      <c r="E370">
        <f>_xlfn.XLOOKUP(D370,Worksheet!$C$3:$C$32,Worksheet!$M$3:$M$32)</f>
        <v>107.3</v>
      </c>
      <c r="F370" s="19">
        <f>_xlfn.XLOOKUP(D370,Worksheet!$C$3:$C$32,Worksheet!$S$3:$S$32)</f>
        <v>0.78048780487804881</v>
      </c>
    </row>
    <row r="371" spans="1:6" x14ac:dyDescent="0.2">
      <c r="A371" t="s">
        <v>548</v>
      </c>
      <c r="B371" s="4">
        <v>44649</v>
      </c>
      <c r="C371">
        <v>28.2</v>
      </c>
      <c r="D371" t="s">
        <v>126</v>
      </c>
      <c r="E371">
        <f>_xlfn.XLOOKUP(D371,Worksheet!$C$3:$C$32,Worksheet!$M$3:$M$32)</f>
        <v>111.8</v>
      </c>
      <c r="F371" s="19">
        <f>_xlfn.XLOOKUP(D371,Worksheet!$C$3:$C$32,Worksheet!$S$3:$S$32)</f>
        <v>0.62195121951219512</v>
      </c>
    </row>
    <row r="372" spans="1:6" x14ac:dyDescent="0.2">
      <c r="A372" t="s">
        <v>548</v>
      </c>
      <c r="B372" s="4">
        <v>44651</v>
      </c>
      <c r="C372">
        <v>16</v>
      </c>
      <c r="D372" t="s">
        <v>89</v>
      </c>
      <c r="E372">
        <f>_xlfn.XLOOKUP(D372,Worksheet!$C$3:$C$32,Worksheet!$M$3:$M$32)</f>
        <v>113.8</v>
      </c>
      <c r="F372" s="19">
        <f>_xlfn.XLOOKUP(D372,Worksheet!$C$3:$C$32,Worksheet!$S$3:$S$32)</f>
        <v>0.28048780487804881</v>
      </c>
    </row>
    <row r="373" spans="1:6" x14ac:dyDescent="0.2">
      <c r="A373" t="s">
        <v>548</v>
      </c>
      <c r="B373" s="4">
        <v>44653</v>
      </c>
      <c r="C373">
        <v>14.5</v>
      </c>
      <c r="D373" t="s">
        <v>72</v>
      </c>
      <c r="E373">
        <f>_xlfn.XLOOKUP(D373,Worksheet!$C$3:$C$32,Worksheet!$M$3:$M$32)</f>
        <v>113.7</v>
      </c>
      <c r="F373" s="19">
        <f>_xlfn.XLOOKUP(D373,Worksheet!$C$3:$C$32,Worksheet!$S$3:$S$32)</f>
        <v>0.52439024390243905</v>
      </c>
    </row>
    <row r="374" spans="1:6" x14ac:dyDescent="0.2">
      <c r="A374" t="s">
        <v>548</v>
      </c>
      <c r="B374" s="4">
        <v>44654</v>
      </c>
      <c r="C374">
        <v>19.899999999999999</v>
      </c>
      <c r="D374" t="s">
        <v>87</v>
      </c>
      <c r="E374">
        <f>_xlfn.XLOOKUP(D374,Worksheet!$C$3:$C$32,Worksheet!$M$3:$M$32)</f>
        <v>109.7</v>
      </c>
      <c r="F374" s="19">
        <f>_xlfn.XLOOKUP(D374,Worksheet!$C$3:$C$32,Worksheet!$S$3:$S$32)</f>
        <v>0.53658536585365857</v>
      </c>
    </row>
    <row r="375" spans="1:6" x14ac:dyDescent="0.2">
      <c r="A375" t="s">
        <v>548</v>
      </c>
      <c r="B375" s="4">
        <v>44656</v>
      </c>
      <c r="C375">
        <v>12.1</v>
      </c>
      <c r="D375" t="s">
        <v>108</v>
      </c>
      <c r="E375">
        <f>_xlfn.XLOOKUP(D375,Worksheet!$C$3:$C$32,Worksheet!$M$3:$M$32)</f>
        <v>116.1</v>
      </c>
      <c r="F375" s="19">
        <f>_xlfn.XLOOKUP(D375,Worksheet!$C$3:$C$32,Worksheet!$S$3:$S$32)</f>
        <v>0.3048780487804878</v>
      </c>
    </row>
    <row r="376" spans="1:6" x14ac:dyDescent="0.2">
      <c r="A376" t="s">
        <v>548</v>
      </c>
      <c r="B376" s="4">
        <v>44658</v>
      </c>
      <c r="C376">
        <v>14.1</v>
      </c>
      <c r="D376" t="s">
        <v>92</v>
      </c>
      <c r="E376">
        <f>_xlfn.XLOOKUP(D376,Worksheet!$C$3:$C$32,Worksheet!$M$3:$M$32)</f>
        <v>110.5</v>
      </c>
      <c r="F376" s="19">
        <f>_xlfn.XLOOKUP(D376,Worksheet!$C$3:$C$32,Worksheet!$S$3:$S$32)</f>
        <v>0.58536585365853655</v>
      </c>
    </row>
    <row r="377" spans="1:6" x14ac:dyDescent="0.2">
      <c r="A377" t="s">
        <v>548</v>
      </c>
      <c r="B377" s="4">
        <v>44660</v>
      </c>
      <c r="C377">
        <v>19.8</v>
      </c>
      <c r="D377" t="s">
        <v>108</v>
      </c>
      <c r="E377">
        <f>_xlfn.XLOOKUP(D377,Worksheet!$C$3:$C$32,Worksheet!$M$3:$M$32)</f>
        <v>116.1</v>
      </c>
      <c r="F377" s="19">
        <f>_xlfn.XLOOKUP(D377,Worksheet!$C$3:$C$32,Worksheet!$S$3:$S$32)</f>
        <v>0.3048780487804878</v>
      </c>
    </row>
    <row r="378" spans="1:6" x14ac:dyDescent="0.2">
      <c r="A378" t="s">
        <v>548</v>
      </c>
      <c r="B378" s="4">
        <v>44661</v>
      </c>
      <c r="C378" t="s">
        <v>91</v>
      </c>
      <c r="D378" t="s">
        <v>89</v>
      </c>
      <c r="E378">
        <f>_xlfn.XLOOKUP(D378,Worksheet!$C$3:$C$32,Worksheet!$M$3:$M$32)</f>
        <v>113.8</v>
      </c>
      <c r="F378" s="19">
        <f>_xlfn.XLOOKUP(D378,Worksheet!$C$3:$C$32,Worksheet!$S$3:$S$32)</f>
        <v>0.28048780487804881</v>
      </c>
    </row>
    <row r="379" spans="1:6" x14ac:dyDescent="0.2">
      <c r="A379" t="s">
        <v>548</v>
      </c>
      <c r="B379" s="4">
        <v>44667</v>
      </c>
      <c r="C379">
        <v>24.9</v>
      </c>
      <c r="D379" t="s">
        <v>92</v>
      </c>
      <c r="E379">
        <f>_xlfn.XLOOKUP(D379,Worksheet!$C$3:$C$32,Worksheet!$M$3:$M$32)</f>
        <v>110.5</v>
      </c>
      <c r="F379" s="19">
        <f>_xlfn.XLOOKUP(D379,Worksheet!$C$3:$C$32,Worksheet!$S$3:$S$32)</f>
        <v>0.58536585365853655</v>
      </c>
    </row>
    <row r="380" spans="1:6" x14ac:dyDescent="0.2">
      <c r="A380" t="s">
        <v>548</v>
      </c>
      <c r="B380" s="4">
        <v>44669</v>
      </c>
      <c r="C380">
        <v>13.5</v>
      </c>
      <c r="D380" t="s">
        <v>92</v>
      </c>
      <c r="E380">
        <f>_xlfn.XLOOKUP(D380,Worksheet!$C$3:$C$32,Worksheet!$M$3:$M$32)</f>
        <v>110.5</v>
      </c>
      <c r="F380" s="19">
        <f>_xlfn.XLOOKUP(D380,Worksheet!$C$3:$C$32,Worksheet!$S$3:$S$32)</f>
        <v>0.58536585365853655</v>
      </c>
    </row>
    <row r="381" spans="1:6" x14ac:dyDescent="0.2">
      <c r="A381" t="s">
        <v>548</v>
      </c>
      <c r="B381" s="4">
        <v>44671</v>
      </c>
      <c r="C381">
        <v>16.100000000000001</v>
      </c>
      <c r="D381" t="s">
        <v>92</v>
      </c>
      <c r="E381">
        <f>_xlfn.XLOOKUP(D381,Worksheet!$C$3:$C$32,Worksheet!$M$3:$M$32)</f>
        <v>110.5</v>
      </c>
      <c r="F381" s="19">
        <f>_xlfn.XLOOKUP(D381,Worksheet!$C$3:$C$32,Worksheet!$S$3:$S$32)</f>
        <v>0.58536585365853655</v>
      </c>
    </row>
    <row r="382" spans="1:6" x14ac:dyDescent="0.2">
      <c r="A382" t="s">
        <v>548</v>
      </c>
      <c r="B382" s="4">
        <v>44674</v>
      </c>
      <c r="C382">
        <v>18.2</v>
      </c>
      <c r="D382" t="s">
        <v>92</v>
      </c>
      <c r="E382">
        <f>_xlfn.XLOOKUP(D382,Worksheet!$C$3:$C$32,Worksheet!$M$3:$M$32)</f>
        <v>110.5</v>
      </c>
      <c r="F382" s="19">
        <f>_xlfn.XLOOKUP(D382,Worksheet!$C$3:$C$32,Worksheet!$S$3:$S$32)</f>
        <v>0.58536585365853655</v>
      </c>
    </row>
    <row r="383" spans="1:6" x14ac:dyDescent="0.2">
      <c r="A383" t="s">
        <v>548</v>
      </c>
      <c r="B383" s="4">
        <v>44676</v>
      </c>
      <c r="C383">
        <v>10.3</v>
      </c>
      <c r="D383" t="s">
        <v>92</v>
      </c>
      <c r="E383">
        <f>_xlfn.XLOOKUP(D383,Worksheet!$C$3:$C$32,Worksheet!$M$3:$M$32)</f>
        <v>110.5</v>
      </c>
      <c r="F383" s="19">
        <f>_xlfn.XLOOKUP(D383,Worksheet!$C$3:$C$32,Worksheet!$S$3:$S$32)</f>
        <v>0.58536585365853655</v>
      </c>
    </row>
    <row r="384" spans="1:6" x14ac:dyDescent="0.2">
      <c r="A384" t="s">
        <v>548</v>
      </c>
      <c r="B384" s="4">
        <v>44679</v>
      </c>
      <c r="C384">
        <v>24.5</v>
      </c>
      <c r="D384" t="s">
        <v>92</v>
      </c>
      <c r="E384">
        <f>_xlfn.XLOOKUP(D384,Worksheet!$C$3:$C$32,Worksheet!$M$3:$M$32)</f>
        <v>110.5</v>
      </c>
      <c r="F384" s="19">
        <f>_xlfn.XLOOKUP(D384,Worksheet!$C$3:$C$32,Worksheet!$S$3:$S$32)</f>
        <v>0.58536585365853655</v>
      </c>
    </row>
    <row r="385" spans="1:6" x14ac:dyDescent="0.2">
      <c r="A385" t="s">
        <v>548</v>
      </c>
      <c r="B385" s="4">
        <v>44683</v>
      </c>
      <c r="C385">
        <v>9.6999999999999993</v>
      </c>
      <c r="D385" t="s">
        <v>120</v>
      </c>
      <c r="E385">
        <f>_xlfn.XLOOKUP(D385,Worksheet!$C$3:$C$32,Worksheet!$M$3:$M$32)</f>
        <v>109.1</v>
      </c>
      <c r="F385" s="19">
        <f>_xlfn.XLOOKUP(D385,Worksheet!$C$3:$C$32,Worksheet!$S$3:$S$32)</f>
        <v>0.64634146341463417</v>
      </c>
    </row>
    <row r="386" spans="1:6" x14ac:dyDescent="0.2">
      <c r="A386" t="s">
        <v>548</v>
      </c>
      <c r="B386" s="4">
        <v>44685</v>
      </c>
      <c r="C386">
        <v>15.6</v>
      </c>
      <c r="D386" t="s">
        <v>120</v>
      </c>
      <c r="E386">
        <f>_xlfn.XLOOKUP(D386,Worksheet!$C$3:$C$32,Worksheet!$M$3:$M$32)</f>
        <v>109.1</v>
      </c>
      <c r="F386" s="19">
        <f>_xlfn.XLOOKUP(D386,Worksheet!$C$3:$C$32,Worksheet!$S$3:$S$32)</f>
        <v>0.64634146341463417</v>
      </c>
    </row>
    <row r="387" spans="1:6" x14ac:dyDescent="0.2">
      <c r="A387" t="s">
        <v>548</v>
      </c>
      <c r="B387" s="4">
        <v>44687</v>
      </c>
      <c r="C387">
        <v>10</v>
      </c>
      <c r="D387" t="s">
        <v>120</v>
      </c>
      <c r="E387">
        <f>_xlfn.XLOOKUP(D387,Worksheet!$C$3:$C$32,Worksheet!$M$3:$M$32)</f>
        <v>109.1</v>
      </c>
      <c r="F387" s="19">
        <f>_xlfn.XLOOKUP(D387,Worksheet!$C$3:$C$32,Worksheet!$S$3:$S$32)</f>
        <v>0.64634146341463417</v>
      </c>
    </row>
    <row r="388" spans="1:6" x14ac:dyDescent="0.2">
      <c r="A388" t="s">
        <v>548</v>
      </c>
      <c r="B388" s="4">
        <v>44689</v>
      </c>
      <c r="C388">
        <v>24.2</v>
      </c>
      <c r="D388" t="s">
        <v>120</v>
      </c>
      <c r="E388">
        <f>_xlfn.XLOOKUP(D388,Worksheet!$C$3:$C$32,Worksheet!$M$3:$M$32)</f>
        <v>109.1</v>
      </c>
      <c r="F388" s="19">
        <f>_xlfn.XLOOKUP(D388,Worksheet!$C$3:$C$32,Worksheet!$S$3:$S$32)</f>
        <v>0.64634146341463417</v>
      </c>
    </row>
    <row r="389" spans="1:6" x14ac:dyDescent="0.2">
      <c r="A389" t="s">
        <v>548</v>
      </c>
      <c r="B389" s="4">
        <v>44691</v>
      </c>
      <c r="C389">
        <v>7.7</v>
      </c>
      <c r="D389" t="s">
        <v>120</v>
      </c>
      <c r="E389">
        <f>_xlfn.XLOOKUP(D389,Worksheet!$C$3:$C$32,Worksheet!$M$3:$M$32)</f>
        <v>109.1</v>
      </c>
      <c r="F389" s="19">
        <f>_xlfn.XLOOKUP(D389,Worksheet!$C$3:$C$32,Worksheet!$S$3:$S$32)</f>
        <v>0.64634146341463417</v>
      </c>
    </row>
    <row r="390" spans="1:6" x14ac:dyDescent="0.2">
      <c r="A390" t="s">
        <v>548</v>
      </c>
      <c r="B390" s="4">
        <v>44693</v>
      </c>
      <c r="C390">
        <v>10</v>
      </c>
      <c r="D390" t="s">
        <v>120</v>
      </c>
      <c r="E390">
        <f>_xlfn.XLOOKUP(D390,Worksheet!$C$3:$C$32,Worksheet!$M$3:$M$32)</f>
        <v>109.1</v>
      </c>
      <c r="F390" s="19">
        <f>_xlfn.XLOOKUP(D390,Worksheet!$C$3:$C$32,Worksheet!$S$3:$S$32)</f>
        <v>0.64634146341463417</v>
      </c>
    </row>
    <row r="391" spans="1:6" x14ac:dyDescent="0.2">
      <c r="A391" t="s">
        <v>549</v>
      </c>
      <c r="B391" s="4">
        <v>44490</v>
      </c>
      <c r="C391">
        <v>-13</v>
      </c>
      <c r="D391" t="s">
        <v>33</v>
      </c>
      <c r="E391">
        <f>_xlfn.XLOOKUP(D391,Worksheet!$C$3:$C$32,Worksheet!$M$3:$M$32)</f>
        <v>106.9</v>
      </c>
      <c r="F391" s="19">
        <f>_xlfn.XLOOKUP(D391,Worksheet!$C$3:$C$32,Worksheet!$S$3:$S$32)</f>
        <v>0.64634146341463417</v>
      </c>
    </row>
    <row r="392" spans="1:6" x14ac:dyDescent="0.2">
      <c r="A392" t="s">
        <v>549</v>
      </c>
      <c r="B392" s="4">
        <v>44492</v>
      </c>
      <c r="C392">
        <v>-18</v>
      </c>
      <c r="D392" t="s">
        <v>42</v>
      </c>
      <c r="E392">
        <f>_xlfn.XLOOKUP(D392,Worksheet!$C$3:$C$32,Worksheet!$M$3:$M$32)</f>
        <v>109</v>
      </c>
      <c r="F392" s="19">
        <f>_xlfn.XLOOKUP(D392,Worksheet!$C$3:$C$32,Worksheet!$S$3:$S$32)</f>
        <v>0.68292682926829273</v>
      </c>
    </row>
    <row r="393" spans="1:6" x14ac:dyDescent="0.2">
      <c r="A393" t="s">
        <v>549</v>
      </c>
      <c r="B393" s="4">
        <v>44494</v>
      </c>
      <c r="C393">
        <v>14</v>
      </c>
      <c r="D393" t="s">
        <v>96</v>
      </c>
      <c r="E393">
        <f>_xlfn.XLOOKUP(D393,Worksheet!$C$3:$C$32,Worksheet!$M$3:$M$32)</f>
        <v>116.9</v>
      </c>
      <c r="F393" s="19">
        <f>_xlfn.XLOOKUP(D393,Worksheet!$C$3:$C$32,Worksheet!$S$3:$S$32)</f>
        <v>0.32926829268292684</v>
      </c>
    </row>
    <row r="394" spans="1:6" x14ac:dyDescent="0.2">
      <c r="A394" t="s">
        <v>549</v>
      </c>
      <c r="B394" s="4">
        <v>44496</v>
      </c>
      <c r="C394">
        <v>-8</v>
      </c>
      <c r="D394" t="s">
        <v>87</v>
      </c>
      <c r="E394">
        <f>_xlfn.XLOOKUP(D394,Worksheet!$C$3:$C$32,Worksheet!$M$3:$M$32)</f>
        <v>109.7</v>
      </c>
      <c r="F394" s="19">
        <f>_xlfn.XLOOKUP(D394,Worksheet!$C$3:$C$32,Worksheet!$S$3:$S$32)</f>
        <v>0.53658536585365857</v>
      </c>
    </row>
    <row r="395" spans="1:6" x14ac:dyDescent="0.2">
      <c r="A395" t="s">
        <v>549</v>
      </c>
      <c r="B395" s="4">
        <v>44498</v>
      </c>
      <c r="C395">
        <v>-16</v>
      </c>
      <c r="D395" t="s">
        <v>96</v>
      </c>
      <c r="E395">
        <f>_xlfn.XLOOKUP(D395,Worksheet!$C$3:$C$32,Worksheet!$M$3:$M$32)</f>
        <v>116.9</v>
      </c>
      <c r="F395" s="19">
        <f>_xlfn.XLOOKUP(D395,Worksheet!$C$3:$C$32,Worksheet!$S$3:$S$32)</f>
        <v>0.32926829268292684</v>
      </c>
    </row>
    <row r="396" spans="1:6" x14ac:dyDescent="0.2">
      <c r="A396" t="s">
        <v>549</v>
      </c>
      <c r="B396" s="4">
        <v>44501</v>
      </c>
      <c r="C396">
        <v>-13</v>
      </c>
      <c r="D396" t="s">
        <v>68</v>
      </c>
      <c r="E396">
        <f>_xlfn.XLOOKUP(D396,Worksheet!$C$3:$C$32,Worksheet!$M$3:$M$32)</f>
        <v>112.8</v>
      </c>
      <c r="F396" s="19">
        <f>_xlfn.XLOOKUP(D396,Worksheet!$C$3:$C$32,Worksheet!$S$3:$S$32)</f>
        <v>0.29268292682926828</v>
      </c>
    </row>
    <row r="397" spans="1:6" x14ac:dyDescent="0.2">
      <c r="A397" t="s">
        <v>549</v>
      </c>
      <c r="B397" s="4">
        <v>44503</v>
      </c>
      <c r="C397">
        <v>10</v>
      </c>
      <c r="D397" t="s">
        <v>80</v>
      </c>
      <c r="E397">
        <f>_xlfn.XLOOKUP(D397,Worksheet!$C$3:$C$32,Worksheet!$M$3:$M$32)</f>
        <v>111.7</v>
      </c>
      <c r="F397" s="19">
        <f>_xlfn.XLOOKUP(D397,Worksheet!$C$3:$C$32,Worksheet!$S$3:$S$32)</f>
        <v>0.56097560975609762</v>
      </c>
    </row>
    <row r="398" spans="1:6" x14ac:dyDescent="0.2">
      <c r="A398" t="s">
        <v>549</v>
      </c>
      <c r="B398" s="4">
        <v>44505</v>
      </c>
      <c r="C398">
        <v>11</v>
      </c>
      <c r="D398" t="s">
        <v>80</v>
      </c>
      <c r="E398">
        <f>_xlfn.XLOOKUP(D398,Worksheet!$C$3:$C$32,Worksheet!$M$3:$M$32)</f>
        <v>111.7</v>
      </c>
      <c r="F398" s="19">
        <f>_xlfn.XLOOKUP(D398,Worksheet!$C$3:$C$32,Worksheet!$S$3:$S$32)</f>
        <v>0.56097560975609762</v>
      </c>
    </row>
    <row r="399" spans="1:6" x14ac:dyDescent="0.2">
      <c r="A399" t="s">
        <v>549</v>
      </c>
      <c r="B399" s="4">
        <v>44507</v>
      </c>
      <c r="C399">
        <v>7</v>
      </c>
      <c r="D399" t="s">
        <v>72</v>
      </c>
      <c r="E399">
        <f>_xlfn.XLOOKUP(D399,Worksheet!$C$3:$C$32,Worksheet!$M$3:$M$32)</f>
        <v>113.7</v>
      </c>
      <c r="F399" s="19">
        <f>_xlfn.XLOOKUP(D399,Worksheet!$C$3:$C$32,Worksheet!$S$3:$S$32)</f>
        <v>0.52439024390243905</v>
      </c>
    </row>
    <row r="400" spans="1:6" x14ac:dyDescent="0.2">
      <c r="A400" t="s">
        <v>549</v>
      </c>
      <c r="B400" s="4">
        <v>44509</v>
      </c>
      <c r="C400">
        <v>-1</v>
      </c>
      <c r="D400" t="s">
        <v>96</v>
      </c>
      <c r="E400">
        <f>_xlfn.XLOOKUP(D400,Worksheet!$C$3:$C$32,Worksheet!$M$3:$M$32)</f>
        <v>116.9</v>
      </c>
      <c r="F400" s="19">
        <f>_xlfn.XLOOKUP(D400,Worksheet!$C$3:$C$32,Worksheet!$S$3:$S$32)</f>
        <v>0.32926829268292684</v>
      </c>
    </row>
    <row r="401" spans="1:6" x14ac:dyDescent="0.2">
      <c r="A401" t="s">
        <v>549</v>
      </c>
      <c r="B401" s="4">
        <v>44511</v>
      </c>
      <c r="C401">
        <v>7</v>
      </c>
      <c r="D401" t="s">
        <v>120</v>
      </c>
      <c r="E401">
        <f>_xlfn.XLOOKUP(D401,Worksheet!$C$3:$C$32,Worksheet!$M$3:$M$32)</f>
        <v>109.1</v>
      </c>
      <c r="F401" s="19">
        <f>_xlfn.XLOOKUP(D401,Worksheet!$C$3:$C$32,Worksheet!$S$3:$S$32)</f>
        <v>0.64634146341463417</v>
      </c>
    </row>
    <row r="402" spans="1:6" x14ac:dyDescent="0.2">
      <c r="A402" t="s">
        <v>549</v>
      </c>
      <c r="B402" s="4">
        <v>44513</v>
      </c>
      <c r="C402">
        <v>5</v>
      </c>
      <c r="D402" t="s">
        <v>80</v>
      </c>
      <c r="E402">
        <f>_xlfn.XLOOKUP(D402,Worksheet!$C$3:$C$32,Worksheet!$M$3:$M$32)</f>
        <v>111.7</v>
      </c>
      <c r="F402" s="19">
        <f>_xlfn.XLOOKUP(D402,Worksheet!$C$3:$C$32,Worksheet!$S$3:$S$32)</f>
        <v>0.56097560975609762</v>
      </c>
    </row>
    <row r="403" spans="1:6" x14ac:dyDescent="0.2">
      <c r="A403" t="s">
        <v>549</v>
      </c>
      <c r="B403" s="4">
        <v>44514</v>
      </c>
      <c r="C403">
        <v>-2</v>
      </c>
      <c r="D403" t="s">
        <v>82</v>
      </c>
      <c r="E403">
        <f>_xlfn.XLOOKUP(D403,Worksheet!$C$3:$C$32,Worksheet!$M$3:$M$32)</f>
        <v>113.6</v>
      </c>
      <c r="F403" s="19">
        <f>_xlfn.XLOOKUP(D403,Worksheet!$C$3:$C$32,Worksheet!$S$3:$S$32)</f>
        <v>0.56097560975609762</v>
      </c>
    </row>
    <row r="404" spans="1:6" x14ac:dyDescent="0.2">
      <c r="A404" t="s">
        <v>549</v>
      </c>
      <c r="B404" s="4">
        <v>44516</v>
      </c>
      <c r="C404">
        <v>-3</v>
      </c>
      <c r="D404" t="s">
        <v>102</v>
      </c>
      <c r="E404">
        <f>_xlfn.XLOOKUP(D404,Worksheet!$C$3:$C$32,Worksheet!$M$3:$M$32)</f>
        <v>112.3</v>
      </c>
      <c r="F404" s="19">
        <f>_xlfn.XLOOKUP(D404,Worksheet!$C$3:$C$32,Worksheet!$S$3:$S$32)</f>
        <v>0.41463414634146339</v>
      </c>
    </row>
    <row r="405" spans="1:6" x14ac:dyDescent="0.2">
      <c r="A405" t="s">
        <v>549</v>
      </c>
      <c r="B405" s="4">
        <v>44518</v>
      </c>
      <c r="C405">
        <v>-10</v>
      </c>
      <c r="D405" t="s">
        <v>42</v>
      </c>
      <c r="E405">
        <f>_xlfn.XLOOKUP(D405,Worksheet!$C$3:$C$32,Worksheet!$M$3:$M$32)</f>
        <v>109</v>
      </c>
      <c r="F405" s="19">
        <f>_xlfn.XLOOKUP(D405,Worksheet!$C$3:$C$32,Worksheet!$S$3:$S$32)</f>
        <v>0.68292682926829273</v>
      </c>
    </row>
    <row r="406" spans="1:6" x14ac:dyDescent="0.2">
      <c r="A406" t="s">
        <v>549</v>
      </c>
      <c r="B406" s="4">
        <v>44519</v>
      </c>
      <c r="C406">
        <v>-22</v>
      </c>
      <c r="D406" t="s">
        <v>74</v>
      </c>
      <c r="E406">
        <f>_xlfn.XLOOKUP(D406,Worksheet!$C$3:$C$32,Worksheet!$M$3:$M$32)</f>
        <v>113</v>
      </c>
      <c r="F406" s="19">
        <f>_xlfn.XLOOKUP(D406,Worksheet!$C$3:$C$32,Worksheet!$S$3:$S$32)</f>
        <v>0.43902439024390244</v>
      </c>
    </row>
    <row r="407" spans="1:6" x14ac:dyDescent="0.2">
      <c r="A407" t="s">
        <v>549</v>
      </c>
      <c r="B407" s="4">
        <v>44521</v>
      </c>
      <c r="C407">
        <v>5</v>
      </c>
      <c r="D407" t="s">
        <v>49</v>
      </c>
      <c r="E407">
        <f>_xlfn.XLOOKUP(D407,Worksheet!$C$3:$C$32,Worksheet!$M$3:$M$32)</f>
        <v>109.4</v>
      </c>
      <c r="F407" s="19">
        <f>_xlfn.XLOOKUP(D407,Worksheet!$C$3:$C$32,Worksheet!$S$3:$S$32)</f>
        <v>0.63414634146341464</v>
      </c>
    </row>
    <row r="408" spans="1:6" x14ac:dyDescent="0.2">
      <c r="A408" t="s">
        <v>549</v>
      </c>
      <c r="B408" s="4">
        <v>44523</v>
      </c>
      <c r="C408">
        <v>5</v>
      </c>
      <c r="D408" t="s">
        <v>49</v>
      </c>
      <c r="E408">
        <f>_xlfn.XLOOKUP(D408,Worksheet!$C$3:$C$32,Worksheet!$M$3:$M$32)</f>
        <v>109.4</v>
      </c>
      <c r="F408" s="19">
        <f>_xlfn.XLOOKUP(D408,Worksheet!$C$3:$C$32,Worksheet!$S$3:$S$32)</f>
        <v>0.63414634146341464</v>
      </c>
    </row>
    <row r="409" spans="1:6" x14ac:dyDescent="0.2">
      <c r="A409" t="s">
        <v>549</v>
      </c>
      <c r="B409" s="4">
        <v>44526</v>
      </c>
      <c r="C409">
        <v>17</v>
      </c>
      <c r="D409" t="s">
        <v>89</v>
      </c>
      <c r="E409">
        <f>_xlfn.XLOOKUP(D409,Worksheet!$C$3:$C$32,Worksheet!$M$3:$M$32)</f>
        <v>113.8</v>
      </c>
      <c r="F409" s="19">
        <f>_xlfn.XLOOKUP(D409,Worksheet!$C$3:$C$32,Worksheet!$S$3:$S$32)</f>
        <v>0.28048780487804881</v>
      </c>
    </row>
    <row r="410" spans="1:6" x14ac:dyDescent="0.2">
      <c r="A410" t="s">
        <v>549</v>
      </c>
      <c r="B410" s="4">
        <v>44528</v>
      </c>
      <c r="C410">
        <v>4</v>
      </c>
      <c r="D410" t="s">
        <v>33</v>
      </c>
      <c r="E410">
        <f>_xlfn.XLOOKUP(D410,Worksheet!$C$3:$C$32,Worksheet!$M$3:$M$32)</f>
        <v>106.9</v>
      </c>
      <c r="F410" s="19">
        <f>_xlfn.XLOOKUP(D410,Worksheet!$C$3:$C$32,Worksheet!$S$3:$S$32)</f>
        <v>0.64634146341463417</v>
      </c>
    </row>
    <row r="411" spans="1:6" x14ac:dyDescent="0.2">
      <c r="A411" t="s">
        <v>549</v>
      </c>
      <c r="B411" s="4">
        <v>44529</v>
      </c>
      <c r="C411">
        <v>-17</v>
      </c>
      <c r="D411" t="s">
        <v>74</v>
      </c>
      <c r="E411">
        <f>_xlfn.XLOOKUP(D411,Worksheet!$C$3:$C$32,Worksheet!$M$3:$M$32)</f>
        <v>113</v>
      </c>
      <c r="F411" s="19">
        <f>_xlfn.XLOOKUP(D411,Worksheet!$C$3:$C$32,Worksheet!$S$3:$S$32)</f>
        <v>0.43902439024390244</v>
      </c>
    </row>
    <row r="412" spans="1:6" x14ac:dyDescent="0.2">
      <c r="A412" t="s">
        <v>549</v>
      </c>
      <c r="B412" s="4">
        <v>44531</v>
      </c>
      <c r="C412">
        <v>-9</v>
      </c>
      <c r="D412" t="s">
        <v>66</v>
      </c>
      <c r="E412">
        <f>_xlfn.XLOOKUP(D412,Worksheet!$C$3:$C$32,Worksheet!$M$3:$M$32)</f>
        <v>115.3</v>
      </c>
      <c r="F412" s="19">
        <f>_xlfn.XLOOKUP(D412,Worksheet!$C$3:$C$32,Worksheet!$S$3:$S$32)</f>
        <v>0.36585365853658536</v>
      </c>
    </row>
    <row r="413" spans="1:6" x14ac:dyDescent="0.2">
      <c r="A413" t="s">
        <v>549</v>
      </c>
      <c r="B413" s="4">
        <v>44533</v>
      </c>
      <c r="C413">
        <v>13</v>
      </c>
      <c r="D413" t="s">
        <v>62</v>
      </c>
      <c r="E413">
        <f>_xlfn.XLOOKUP(D413,Worksheet!$C$3:$C$32,Worksheet!$M$3:$M$32)</f>
        <v>113.3</v>
      </c>
      <c r="F413" s="19">
        <f>_xlfn.XLOOKUP(D413,Worksheet!$C$3:$C$32,Worksheet!$S$3:$S$32)</f>
        <v>0.40243902439024393</v>
      </c>
    </row>
    <row r="414" spans="1:6" x14ac:dyDescent="0.2">
      <c r="A414" t="s">
        <v>549</v>
      </c>
      <c r="B414" s="4">
        <v>44534</v>
      </c>
      <c r="C414">
        <v>6</v>
      </c>
      <c r="D414" t="s">
        <v>66</v>
      </c>
      <c r="E414">
        <f>_xlfn.XLOOKUP(D414,Worksheet!$C$3:$C$32,Worksheet!$M$3:$M$32)</f>
        <v>115.3</v>
      </c>
      <c r="F414" s="19">
        <f>_xlfn.XLOOKUP(D414,Worksheet!$C$3:$C$32,Worksheet!$S$3:$S$32)</f>
        <v>0.36585365853658536</v>
      </c>
    </row>
    <row r="415" spans="1:6" x14ac:dyDescent="0.2">
      <c r="A415" t="s">
        <v>549</v>
      </c>
      <c r="B415" s="4">
        <v>44536</v>
      </c>
      <c r="C415">
        <v>8</v>
      </c>
      <c r="D415" t="s">
        <v>96</v>
      </c>
      <c r="E415">
        <f>_xlfn.XLOOKUP(D415,Worksheet!$C$3:$C$32,Worksheet!$M$3:$M$32)</f>
        <v>116.9</v>
      </c>
      <c r="F415" s="19">
        <f>_xlfn.XLOOKUP(D415,Worksheet!$C$3:$C$32,Worksheet!$S$3:$S$32)</f>
        <v>0.32926829268292684</v>
      </c>
    </row>
    <row r="416" spans="1:6" x14ac:dyDescent="0.2">
      <c r="A416" t="s">
        <v>549</v>
      </c>
      <c r="B416" s="4">
        <v>44538</v>
      </c>
      <c r="C416">
        <v>-8</v>
      </c>
      <c r="D416" t="s">
        <v>55</v>
      </c>
      <c r="E416">
        <f>_xlfn.XLOOKUP(D416,Worksheet!$C$3:$C$32,Worksheet!$M$3:$M$32)</f>
        <v>106.9</v>
      </c>
      <c r="F416" s="19">
        <f>_xlfn.XLOOKUP(D416,Worksheet!$C$3:$C$32,Worksheet!$S$3:$S$32)</f>
        <v>0.62195121951219512</v>
      </c>
    </row>
    <row r="417" spans="1:6" x14ac:dyDescent="0.2">
      <c r="A417" t="s">
        <v>549</v>
      </c>
      <c r="B417" s="4">
        <v>44541</v>
      </c>
      <c r="C417">
        <v>-11</v>
      </c>
      <c r="D417" t="s">
        <v>104</v>
      </c>
      <c r="E417">
        <f>_xlfn.XLOOKUP(D417,Worksheet!$C$3:$C$32,Worksheet!$M$3:$M$32)</f>
        <v>112.5</v>
      </c>
      <c r="F417" s="19">
        <f>_xlfn.XLOOKUP(D417,Worksheet!$C$3:$C$32,Worksheet!$S$3:$S$32)</f>
        <v>0.26829268292682928</v>
      </c>
    </row>
    <row r="418" spans="1:6" x14ac:dyDescent="0.2">
      <c r="A418" t="s">
        <v>549</v>
      </c>
      <c r="B418" s="4">
        <v>44543</v>
      </c>
      <c r="C418">
        <v>9</v>
      </c>
      <c r="D418" t="s">
        <v>99</v>
      </c>
      <c r="E418">
        <f>_xlfn.XLOOKUP(D418,Worksheet!$C$3:$C$32,Worksheet!$M$3:$M$32)</f>
        <v>107.3</v>
      </c>
      <c r="F418" s="19">
        <f>_xlfn.XLOOKUP(D418,Worksheet!$C$3:$C$32,Worksheet!$S$3:$S$32)</f>
        <v>0.78048780487804881</v>
      </c>
    </row>
    <row r="419" spans="1:6" x14ac:dyDescent="0.2">
      <c r="A419" t="s">
        <v>549</v>
      </c>
      <c r="B419" s="4">
        <v>44545</v>
      </c>
      <c r="C419">
        <v>-15</v>
      </c>
      <c r="D419" t="s">
        <v>118</v>
      </c>
      <c r="E419">
        <f>_xlfn.XLOOKUP(D419,Worksheet!$C$3:$C$32,Worksheet!$M$3:$M$32)</f>
        <v>110.5</v>
      </c>
      <c r="F419" s="19">
        <f>_xlfn.XLOOKUP(D419,Worksheet!$C$3:$C$32,Worksheet!$S$3:$S$32)</f>
        <v>0.59756097560975607</v>
      </c>
    </row>
    <row r="420" spans="1:6" x14ac:dyDescent="0.2">
      <c r="A420" t="s">
        <v>549</v>
      </c>
      <c r="B420" s="4">
        <v>44548</v>
      </c>
      <c r="C420">
        <v>-2</v>
      </c>
      <c r="D420" t="s">
        <v>68</v>
      </c>
      <c r="E420">
        <f>_xlfn.XLOOKUP(D420,Worksheet!$C$3:$C$32,Worksheet!$M$3:$M$32)</f>
        <v>112.8</v>
      </c>
      <c r="F420" s="19">
        <f>_xlfn.XLOOKUP(D420,Worksheet!$C$3:$C$32,Worksheet!$S$3:$S$32)</f>
        <v>0.29268292682926828</v>
      </c>
    </row>
    <row r="421" spans="1:6" x14ac:dyDescent="0.2">
      <c r="A421" t="s">
        <v>549</v>
      </c>
      <c r="B421" s="4">
        <v>44550</v>
      </c>
      <c r="C421">
        <v>-16</v>
      </c>
      <c r="D421" t="s">
        <v>102</v>
      </c>
      <c r="E421">
        <f>_xlfn.XLOOKUP(D421,Worksheet!$C$3:$C$32,Worksheet!$M$3:$M$32)</f>
        <v>112.3</v>
      </c>
      <c r="F421" s="19">
        <f>_xlfn.XLOOKUP(D421,Worksheet!$C$3:$C$32,Worksheet!$S$3:$S$32)</f>
        <v>0.41463414634146339</v>
      </c>
    </row>
    <row r="422" spans="1:6" x14ac:dyDescent="0.2">
      <c r="A422" t="s">
        <v>549</v>
      </c>
      <c r="B422" s="4">
        <v>44552</v>
      </c>
      <c r="C422">
        <v>3</v>
      </c>
      <c r="D422" t="s">
        <v>66</v>
      </c>
      <c r="E422">
        <f>_xlfn.XLOOKUP(D422,Worksheet!$C$3:$C$32,Worksheet!$M$3:$M$32)</f>
        <v>115.3</v>
      </c>
      <c r="F422" s="19">
        <f>_xlfn.XLOOKUP(D422,Worksheet!$C$3:$C$32,Worksheet!$S$3:$S$32)</f>
        <v>0.36585365853658536</v>
      </c>
    </row>
    <row r="423" spans="1:6" x14ac:dyDescent="0.2">
      <c r="A423" t="s">
        <v>549</v>
      </c>
      <c r="B423" s="4">
        <v>44556</v>
      </c>
      <c r="C423">
        <v>-4</v>
      </c>
      <c r="D423" t="s">
        <v>34</v>
      </c>
      <c r="E423">
        <f>_xlfn.XLOOKUP(D423,Worksheet!$C$3:$C$32,Worksheet!$M$3:$M$32)</f>
        <v>112.1</v>
      </c>
      <c r="F423" s="19">
        <f>_xlfn.XLOOKUP(D423,Worksheet!$C$3:$C$32,Worksheet!$S$3:$S$32)</f>
        <v>0.58536585365853655</v>
      </c>
    </row>
    <row r="424" spans="1:6" x14ac:dyDescent="0.2">
      <c r="A424" t="s">
        <v>549</v>
      </c>
      <c r="B424" s="4">
        <v>44557</v>
      </c>
      <c r="C424">
        <v>-10</v>
      </c>
      <c r="D424" t="s">
        <v>85</v>
      </c>
      <c r="E424">
        <f>_xlfn.XLOOKUP(D424,Worksheet!$C$3:$C$32,Worksheet!$M$3:$M$32)</f>
        <v>112.8</v>
      </c>
      <c r="F424" s="19">
        <f>_xlfn.XLOOKUP(D424,Worksheet!$C$3:$C$32,Worksheet!$S$3:$S$32)</f>
        <v>0.53658536585365857</v>
      </c>
    </row>
    <row r="425" spans="1:6" x14ac:dyDescent="0.2">
      <c r="A425" t="s">
        <v>549</v>
      </c>
      <c r="B425" s="4">
        <v>44559</v>
      </c>
      <c r="C425">
        <v>19</v>
      </c>
      <c r="D425" t="s">
        <v>55</v>
      </c>
      <c r="E425">
        <f>_xlfn.XLOOKUP(D425,Worksheet!$C$3:$C$32,Worksheet!$M$3:$M$32)</f>
        <v>106.9</v>
      </c>
      <c r="F425" s="19">
        <f>_xlfn.XLOOKUP(D425,Worksheet!$C$3:$C$32,Worksheet!$S$3:$S$32)</f>
        <v>0.62195121951219512</v>
      </c>
    </row>
    <row r="426" spans="1:6" x14ac:dyDescent="0.2">
      <c r="A426" t="s">
        <v>549</v>
      </c>
      <c r="B426" s="4">
        <v>44561</v>
      </c>
      <c r="C426" t="s">
        <v>91</v>
      </c>
      <c r="D426" t="s">
        <v>92</v>
      </c>
      <c r="E426">
        <f>_xlfn.XLOOKUP(D426,Worksheet!$C$3:$C$32,Worksheet!$M$3:$M$32)</f>
        <v>110.5</v>
      </c>
      <c r="F426" s="19">
        <f>_xlfn.XLOOKUP(D426,Worksheet!$C$3:$C$32,Worksheet!$S$3:$S$32)</f>
        <v>0.58536585365853655</v>
      </c>
    </row>
    <row r="427" spans="1:6" x14ac:dyDescent="0.2">
      <c r="A427" t="s">
        <v>549</v>
      </c>
      <c r="B427" s="4">
        <v>44562</v>
      </c>
      <c r="C427" t="s">
        <v>91</v>
      </c>
      <c r="D427" t="s">
        <v>85</v>
      </c>
      <c r="E427">
        <f>_xlfn.XLOOKUP(D427,Worksheet!$C$3:$C$32,Worksheet!$M$3:$M$32)</f>
        <v>112.8</v>
      </c>
      <c r="F427" s="19">
        <f>_xlfn.XLOOKUP(D427,Worksheet!$C$3:$C$32,Worksheet!$S$3:$S$32)</f>
        <v>0.53658536585365857</v>
      </c>
    </row>
    <row r="428" spans="1:6" x14ac:dyDescent="0.2">
      <c r="A428" t="s">
        <v>549</v>
      </c>
      <c r="B428" s="4">
        <v>44564</v>
      </c>
      <c r="C428" t="s">
        <v>91</v>
      </c>
      <c r="D428" t="s">
        <v>80</v>
      </c>
      <c r="E428">
        <f>_xlfn.XLOOKUP(D428,Worksheet!$C$3:$C$32,Worksheet!$M$3:$M$32)</f>
        <v>111.7</v>
      </c>
      <c r="F428" s="19">
        <f>_xlfn.XLOOKUP(D428,Worksheet!$C$3:$C$32,Worksheet!$S$3:$S$32)</f>
        <v>0.56097560975609762</v>
      </c>
    </row>
    <row r="429" spans="1:6" x14ac:dyDescent="0.2">
      <c r="A429" t="s">
        <v>549</v>
      </c>
      <c r="B429" s="4">
        <v>44567</v>
      </c>
      <c r="C429" t="s">
        <v>91</v>
      </c>
      <c r="D429" t="s">
        <v>99</v>
      </c>
      <c r="E429">
        <f>_xlfn.XLOOKUP(D429,Worksheet!$C$3:$C$32,Worksheet!$M$3:$M$32)</f>
        <v>107.3</v>
      </c>
      <c r="F429" s="19">
        <f>_xlfn.XLOOKUP(D429,Worksheet!$C$3:$C$32,Worksheet!$S$3:$S$32)</f>
        <v>0.78048780487804881</v>
      </c>
    </row>
    <row r="430" spans="1:6" x14ac:dyDescent="0.2">
      <c r="A430" t="s">
        <v>549</v>
      </c>
      <c r="B430" s="4">
        <v>44569</v>
      </c>
      <c r="C430">
        <v>-5</v>
      </c>
      <c r="D430" t="s">
        <v>42</v>
      </c>
      <c r="E430">
        <f>_xlfn.XLOOKUP(D430,Worksheet!$C$3:$C$32,Worksheet!$M$3:$M$32)</f>
        <v>109</v>
      </c>
      <c r="F430" s="19">
        <f>_xlfn.XLOOKUP(D430,Worksheet!$C$3:$C$32,Worksheet!$S$3:$S$32)</f>
        <v>0.68292682926829273</v>
      </c>
    </row>
    <row r="431" spans="1:6" x14ac:dyDescent="0.2">
      <c r="A431" t="s">
        <v>549</v>
      </c>
      <c r="B431" s="4">
        <v>44570</v>
      </c>
      <c r="C431">
        <v>8</v>
      </c>
      <c r="D431" t="s">
        <v>78</v>
      </c>
      <c r="E431">
        <f>_xlfn.XLOOKUP(D431,Worksheet!$C$3:$C$32,Worksheet!$M$3:$M$32)</f>
        <v>114.9</v>
      </c>
      <c r="F431" s="19">
        <f>_xlfn.XLOOKUP(D431,Worksheet!$C$3:$C$32,Worksheet!$S$3:$S$32)</f>
        <v>0.52439024390243905</v>
      </c>
    </row>
    <row r="432" spans="1:6" x14ac:dyDescent="0.2">
      <c r="A432" t="s">
        <v>549</v>
      </c>
      <c r="B432" s="4">
        <v>44572</v>
      </c>
      <c r="C432">
        <v>-20</v>
      </c>
      <c r="D432" t="s">
        <v>34</v>
      </c>
      <c r="E432">
        <f>_xlfn.XLOOKUP(D432,Worksheet!$C$3:$C$32,Worksheet!$M$3:$M$32)</f>
        <v>112.1</v>
      </c>
      <c r="F432" s="19">
        <f>_xlfn.XLOOKUP(D432,Worksheet!$C$3:$C$32,Worksheet!$S$3:$S$32)</f>
        <v>0.58536585365853655</v>
      </c>
    </row>
    <row r="433" spans="1:6" x14ac:dyDescent="0.2">
      <c r="A433" t="s">
        <v>549</v>
      </c>
      <c r="B433" s="4">
        <v>44574</v>
      </c>
      <c r="C433">
        <v>-12</v>
      </c>
      <c r="D433" t="s">
        <v>74</v>
      </c>
      <c r="E433">
        <f>_xlfn.XLOOKUP(D433,Worksheet!$C$3:$C$32,Worksheet!$M$3:$M$32)</f>
        <v>113</v>
      </c>
      <c r="F433" s="19">
        <f>_xlfn.XLOOKUP(D433,Worksheet!$C$3:$C$32,Worksheet!$S$3:$S$32)</f>
        <v>0.43902439024390244</v>
      </c>
    </row>
    <row r="434" spans="1:6" x14ac:dyDescent="0.2">
      <c r="A434" t="s">
        <v>549</v>
      </c>
      <c r="B434" s="4">
        <v>44576</v>
      </c>
      <c r="C434">
        <v>-3</v>
      </c>
      <c r="D434" t="s">
        <v>102</v>
      </c>
      <c r="E434">
        <f>_xlfn.XLOOKUP(D434,Worksheet!$C$3:$C$32,Worksheet!$M$3:$M$32)</f>
        <v>112.3</v>
      </c>
      <c r="F434" s="19">
        <f>_xlfn.XLOOKUP(D434,Worksheet!$C$3:$C$32,Worksheet!$S$3:$S$32)</f>
        <v>0.41463414634146339</v>
      </c>
    </row>
    <row r="435" spans="1:6" x14ac:dyDescent="0.2">
      <c r="A435" t="s">
        <v>549</v>
      </c>
      <c r="B435" s="4">
        <v>44578</v>
      </c>
      <c r="C435">
        <v>3</v>
      </c>
      <c r="D435" t="s">
        <v>108</v>
      </c>
      <c r="E435">
        <f>_xlfn.XLOOKUP(D435,Worksheet!$C$3:$C$32,Worksheet!$M$3:$M$32)</f>
        <v>116.1</v>
      </c>
      <c r="F435" s="19">
        <f>_xlfn.XLOOKUP(D435,Worksheet!$C$3:$C$32,Worksheet!$S$3:$S$32)</f>
        <v>0.3048780487804878</v>
      </c>
    </row>
    <row r="436" spans="1:6" x14ac:dyDescent="0.2">
      <c r="A436" t="s">
        <v>549</v>
      </c>
      <c r="B436" s="4">
        <v>44580</v>
      </c>
      <c r="C436">
        <v>-17</v>
      </c>
      <c r="D436" t="s">
        <v>34</v>
      </c>
      <c r="E436">
        <f>_xlfn.XLOOKUP(D436,Worksheet!$C$3:$C$32,Worksheet!$M$3:$M$32)</f>
        <v>112.1</v>
      </c>
      <c r="F436" s="19">
        <f>_xlfn.XLOOKUP(D436,Worksheet!$C$3:$C$32,Worksheet!$S$3:$S$32)</f>
        <v>0.58536585365853655</v>
      </c>
    </row>
    <row r="437" spans="1:6" x14ac:dyDescent="0.2">
      <c r="A437" t="s">
        <v>549</v>
      </c>
      <c r="B437" s="4">
        <v>44582</v>
      </c>
      <c r="C437">
        <v>0</v>
      </c>
      <c r="D437" t="s">
        <v>94</v>
      </c>
      <c r="E437">
        <f>_xlfn.XLOOKUP(D437,Worksheet!$C$3:$C$32,Worksheet!$M$3:$M$32)</f>
        <v>110.8</v>
      </c>
      <c r="F437" s="19">
        <f>_xlfn.XLOOKUP(D437,Worksheet!$C$3:$C$32,Worksheet!$S$3:$S$32)</f>
        <v>0.62195121951219512</v>
      </c>
    </row>
    <row r="438" spans="1:6" x14ac:dyDescent="0.2">
      <c r="A438" t="s">
        <v>549</v>
      </c>
      <c r="B438" s="4">
        <v>44584</v>
      </c>
      <c r="C438">
        <v>-1</v>
      </c>
      <c r="D438" t="s">
        <v>110</v>
      </c>
      <c r="E438">
        <f>_xlfn.XLOOKUP(D438,Worksheet!$C$3:$C$32,Worksheet!$M$3:$M$32)</f>
        <v>110.5</v>
      </c>
      <c r="F438" s="19">
        <f>_xlfn.XLOOKUP(D438,Worksheet!$C$3:$C$32,Worksheet!$S$3:$S$32)</f>
        <v>0.45121951219512196</v>
      </c>
    </row>
    <row r="439" spans="1:6" x14ac:dyDescent="0.2">
      <c r="A439" t="s">
        <v>549</v>
      </c>
      <c r="B439" s="4">
        <v>44586</v>
      </c>
      <c r="C439">
        <v>-19</v>
      </c>
      <c r="D439" t="s">
        <v>155</v>
      </c>
      <c r="E439">
        <f>_xlfn.XLOOKUP(D439,Worksheet!$C$3:$C$32,Worksheet!$M$3:$M$32)</f>
        <v>114.5</v>
      </c>
      <c r="F439" s="19">
        <f>_xlfn.XLOOKUP(D439,Worksheet!$C$3:$C$32,Worksheet!$S$3:$S$32)</f>
        <v>0.42682926829268292</v>
      </c>
    </row>
    <row r="440" spans="1:6" x14ac:dyDescent="0.2">
      <c r="A440" t="s">
        <v>549</v>
      </c>
      <c r="B440" s="4">
        <v>44587</v>
      </c>
      <c r="C440">
        <v>7</v>
      </c>
      <c r="D440" t="s">
        <v>104</v>
      </c>
      <c r="E440">
        <f>_xlfn.XLOOKUP(D440,Worksheet!$C$3:$C$32,Worksheet!$M$3:$M$32)</f>
        <v>112.5</v>
      </c>
      <c r="F440" s="19">
        <f>_xlfn.XLOOKUP(D440,Worksheet!$C$3:$C$32,Worksheet!$S$3:$S$32)</f>
        <v>0.26829268292682928</v>
      </c>
    </row>
    <row r="441" spans="1:6" x14ac:dyDescent="0.2">
      <c r="A441" t="s">
        <v>549</v>
      </c>
      <c r="B441" s="4">
        <v>44589</v>
      </c>
      <c r="C441">
        <v>-22</v>
      </c>
      <c r="D441" t="s">
        <v>120</v>
      </c>
      <c r="E441">
        <f>_xlfn.XLOOKUP(D441,Worksheet!$C$3:$C$32,Worksheet!$M$3:$M$32)</f>
        <v>109.1</v>
      </c>
      <c r="F441" s="19">
        <f>_xlfn.XLOOKUP(D441,Worksheet!$C$3:$C$32,Worksheet!$S$3:$S$32)</f>
        <v>0.64634146341463417</v>
      </c>
    </row>
    <row r="442" spans="1:6" x14ac:dyDescent="0.2">
      <c r="A442" t="s">
        <v>549</v>
      </c>
      <c r="B442" s="4">
        <v>44591</v>
      </c>
      <c r="C442">
        <v>3</v>
      </c>
      <c r="D442" t="s">
        <v>72</v>
      </c>
      <c r="E442">
        <f>_xlfn.XLOOKUP(D442,Worksheet!$C$3:$C$32,Worksheet!$M$3:$M$32)</f>
        <v>113.7</v>
      </c>
      <c r="F442" s="19">
        <f>_xlfn.XLOOKUP(D442,Worksheet!$C$3:$C$32,Worksheet!$S$3:$S$32)</f>
        <v>0.52439024390243905</v>
      </c>
    </row>
    <row r="443" spans="1:6" x14ac:dyDescent="0.2">
      <c r="A443" t="s">
        <v>549</v>
      </c>
      <c r="B443" s="4">
        <v>44592</v>
      </c>
      <c r="C443" t="s">
        <v>91</v>
      </c>
      <c r="D443" t="s">
        <v>108</v>
      </c>
      <c r="E443">
        <f>_xlfn.XLOOKUP(D443,Worksheet!$C$3:$C$32,Worksheet!$M$3:$M$32)</f>
        <v>116.1</v>
      </c>
      <c r="F443" s="19">
        <f>_xlfn.XLOOKUP(D443,Worksheet!$C$3:$C$32,Worksheet!$S$3:$S$32)</f>
        <v>0.3048780487804878</v>
      </c>
    </row>
    <row r="444" spans="1:6" x14ac:dyDescent="0.2">
      <c r="A444" t="s">
        <v>549</v>
      </c>
      <c r="B444" s="4">
        <v>44595</v>
      </c>
      <c r="C444" t="s">
        <v>91</v>
      </c>
      <c r="D444" t="s">
        <v>62</v>
      </c>
      <c r="E444">
        <f>_xlfn.XLOOKUP(D444,Worksheet!$C$3:$C$32,Worksheet!$M$3:$M$32)</f>
        <v>113.3</v>
      </c>
      <c r="F444" s="19">
        <f>_xlfn.XLOOKUP(D444,Worksheet!$C$3:$C$32,Worksheet!$S$3:$S$32)</f>
        <v>0.40243902439024393</v>
      </c>
    </row>
    <row r="445" spans="1:6" x14ac:dyDescent="0.2">
      <c r="A445" t="s">
        <v>549</v>
      </c>
      <c r="B445" s="4">
        <v>44598</v>
      </c>
      <c r="C445">
        <v>-18</v>
      </c>
      <c r="D445" t="s">
        <v>126</v>
      </c>
      <c r="E445">
        <f>_xlfn.XLOOKUP(D445,Worksheet!$C$3:$C$32,Worksheet!$M$3:$M$32)</f>
        <v>111.8</v>
      </c>
      <c r="F445" s="19">
        <f>_xlfn.XLOOKUP(D445,Worksheet!$C$3:$C$32,Worksheet!$S$3:$S$32)</f>
        <v>0.62195121951219512</v>
      </c>
    </row>
    <row r="446" spans="1:6" x14ac:dyDescent="0.2">
      <c r="A446" t="s">
        <v>549</v>
      </c>
      <c r="B446" s="4">
        <v>44600</v>
      </c>
      <c r="C446">
        <v>-16</v>
      </c>
      <c r="D446" t="s">
        <v>42</v>
      </c>
      <c r="E446">
        <f>_xlfn.XLOOKUP(D446,Worksheet!$C$3:$C$32,Worksheet!$M$3:$M$32)</f>
        <v>109</v>
      </c>
      <c r="F446" s="19">
        <f>_xlfn.XLOOKUP(D446,Worksheet!$C$3:$C$32,Worksheet!$S$3:$S$32)</f>
        <v>0.68292682926829273</v>
      </c>
    </row>
    <row r="447" spans="1:6" x14ac:dyDescent="0.2">
      <c r="A447" t="s">
        <v>549</v>
      </c>
      <c r="B447" s="4">
        <v>44602</v>
      </c>
      <c r="C447">
        <v>-17</v>
      </c>
      <c r="D447" t="s">
        <v>49</v>
      </c>
      <c r="E447">
        <f>_xlfn.XLOOKUP(D447,Worksheet!$C$3:$C$32,Worksheet!$M$3:$M$32)</f>
        <v>109.4</v>
      </c>
      <c r="F447" s="19">
        <f>_xlfn.XLOOKUP(D447,Worksheet!$C$3:$C$32,Worksheet!$S$3:$S$32)</f>
        <v>0.63414634146341464</v>
      </c>
    </row>
    <row r="448" spans="1:6" x14ac:dyDescent="0.2">
      <c r="A448" t="s">
        <v>549</v>
      </c>
      <c r="B448" s="4">
        <v>44604</v>
      </c>
      <c r="C448">
        <v>-10</v>
      </c>
      <c r="D448" t="s">
        <v>49</v>
      </c>
      <c r="E448">
        <f>_xlfn.XLOOKUP(D448,Worksheet!$C$3:$C$32,Worksheet!$M$3:$M$32)</f>
        <v>109.4</v>
      </c>
      <c r="F448" s="19">
        <f>_xlfn.XLOOKUP(D448,Worksheet!$C$3:$C$32,Worksheet!$S$3:$S$32)</f>
        <v>0.63414634146341464</v>
      </c>
    </row>
    <row r="449" spans="1:6" x14ac:dyDescent="0.2">
      <c r="A449" t="s">
        <v>549</v>
      </c>
      <c r="B449" s="4">
        <v>44606</v>
      </c>
      <c r="C449">
        <v>13</v>
      </c>
      <c r="D449" t="s">
        <v>33</v>
      </c>
      <c r="E449">
        <f>_xlfn.XLOOKUP(D449,Worksheet!$C$3:$C$32,Worksheet!$M$3:$M$32)</f>
        <v>106.9</v>
      </c>
      <c r="F449" s="19">
        <f>_xlfn.XLOOKUP(D449,Worksheet!$C$3:$C$32,Worksheet!$S$3:$S$32)</f>
        <v>0.64634146341463417</v>
      </c>
    </row>
    <row r="450" spans="1:6" x14ac:dyDescent="0.2">
      <c r="A450" t="s">
        <v>549</v>
      </c>
      <c r="B450" s="4">
        <v>44607</v>
      </c>
      <c r="C450">
        <v>-7</v>
      </c>
      <c r="D450" t="s">
        <v>99</v>
      </c>
      <c r="E450">
        <f>_xlfn.XLOOKUP(D450,Worksheet!$C$3:$C$32,Worksheet!$M$3:$M$32)</f>
        <v>107.3</v>
      </c>
      <c r="F450" s="19">
        <f>_xlfn.XLOOKUP(D450,Worksheet!$C$3:$C$32,Worksheet!$S$3:$S$32)</f>
        <v>0.78048780487804881</v>
      </c>
    </row>
    <row r="451" spans="1:6" x14ac:dyDescent="0.2">
      <c r="A451" t="s">
        <v>549</v>
      </c>
      <c r="B451" s="4">
        <v>44609</v>
      </c>
      <c r="C451">
        <v>10</v>
      </c>
      <c r="D451" t="s">
        <v>76</v>
      </c>
      <c r="E451">
        <f>_xlfn.XLOOKUP(D451,Worksheet!$C$3:$C$32,Worksheet!$M$3:$M$32)</f>
        <v>116.7</v>
      </c>
      <c r="F451" s="19">
        <f>_xlfn.XLOOKUP(D451,Worksheet!$C$3:$C$32,Worksheet!$S$3:$S$32)</f>
        <v>0.24390243902439024</v>
      </c>
    </row>
    <row r="452" spans="1:6" x14ac:dyDescent="0.2">
      <c r="A452" t="s">
        <v>549</v>
      </c>
      <c r="B452" s="4">
        <v>44617</v>
      </c>
      <c r="C452">
        <v>3</v>
      </c>
      <c r="D452" t="s">
        <v>62</v>
      </c>
      <c r="E452">
        <f>_xlfn.XLOOKUP(D452,Worksheet!$C$3:$C$32,Worksheet!$M$3:$M$32)</f>
        <v>113.3</v>
      </c>
      <c r="F452" s="19">
        <f>_xlfn.XLOOKUP(D452,Worksheet!$C$3:$C$32,Worksheet!$S$3:$S$32)</f>
        <v>0.40243902439024393</v>
      </c>
    </row>
    <row r="453" spans="1:6" x14ac:dyDescent="0.2">
      <c r="A453" t="s">
        <v>549</v>
      </c>
      <c r="B453" s="4">
        <v>44619</v>
      </c>
      <c r="C453">
        <v>16</v>
      </c>
      <c r="D453" t="s">
        <v>76</v>
      </c>
      <c r="E453">
        <f>_xlfn.XLOOKUP(D453,Worksheet!$C$3:$C$32,Worksheet!$M$3:$M$32)</f>
        <v>116.7</v>
      </c>
      <c r="F453" s="19">
        <f>_xlfn.XLOOKUP(D453,Worksheet!$C$3:$C$32,Worksheet!$S$3:$S$32)</f>
        <v>0.24390243902439024</v>
      </c>
    </row>
    <row r="454" spans="1:6" x14ac:dyDescent="0.2">
      <c r="A454" t="s">
        <v>549</v>
      </c>
      <c r="B454" s="4">
        <v>44621</v>
      </c>
      <c r="C454">
        <v>13</v>
      </c>
      <c r="D454" t="s">
        <v>76</v>
      </c>
      <c r="E454">
        <f>_xlfn.XLOOKUP(D454,Worksheet!$C$3:$C$32,Worksheet!$M$3:$M$32)</f>
        <v>116.7</v>
      </c>
      <c r="F454" s="19">
        <f>_xlfn.XLOOKUP(D454,Worksheet!$C$3:$C$32,Worksheet!$S$3:$S$32)</f>
        <v>0.24390243902439024</v>
      </c>
    </row>
    <row r="455" spans="1:6" x14ac:dyDescent="0.2">
      <c r="A455" t="s">
        <v>549</v>
      </c>
      <c r="B455" s="4">
        <v>44623</v>
      </c>
      <c r="C455">
        <v>34</v>
      </c>
      <c r="D455" t="s">
        <v>62</v>
      </c>
      <c r="E455">
        <f>_xlfn.XLOOKUP(D455,Worksheet!$C$3:$C$32,Worksheet!$M$3:$M$32)</f>
        <v>113.3</v>
      </c>
      <c r="F455" s="19">
        <f>_xlfn.XLOOKUP(D455,Worksheet!$C$3:$C$32,Worksheet!$S$3:$S$32)</f>
        <v>0.40243902439024393</v>
      </c>
    </row>
    <row r="456" spans="1:6" x14ac:dyDescent="0.2">
      <c r="A456" t="s">
        <v>549</v>
      </c>
      <c r="B456" s="4">
        <v>44626</v>
      </c>
      <c r="C456">
        <v>-2</v>
      </c>
      <c r="D456" t="s">
        <v>110</v>
      </c>
      <c r="E456">
        <f>_xlfn.XLOOKUP(D456,Worksheet!$C$3:$C$32,Worksheet!$M$3:$M$32)</f>
        <v>110.5</v>
      </c>
      <c r="F456" s="19">
        <f>_xlfn.XLOOKUP(D456,Worksheet!$C$3:$C$32,Worksheet!$S$3:$S$32)</f>
        <v>0.45121951219512196</v>
      </c>
    </row>
    <row r="457" spans="1:6" x14ac:dyDescent="0.2">
      <c r="A457" t="s">
        <v>549</v>
      </c>
      <c r="B457" s="4">
        <v>44628</v>
      </c>
      <c r="C457">
        <v>-16</v>
      </c>
      <c r="D457" t="s">
        <v>33</v>
      </c>
      <c r="E457">
        <f>_xlfn.XLOOKUP(D457,Worksheet!$C$3:$C$32,Worksheet!$M$3:$M$32)</f>
        <v>106.9</v>
      </c>
      <c r="F457" s="19">
        <f>_xlfn.XLOOKUP(D457,Worksheet!$C$3:$C$32,Worksheet!$S$3:$S$32)</f>
        <v>0.64634146341463417</v>
      </c>
    </row>
    <row r="458" spans="1:6" x14ac:dyDescent="0.2">
      <c r="A458" t="s">
        <v>549</v>
      </c>
      <c r="B458" s="4">
        <v>44629</v>
      </c>
      <c r="C458">
        <v>-14</v>
      </c>
      <c r="D458" t="s">
        <v>155</v>
      </c>
      <c r="E458">
        <f>_xlfn.XLOOKUP(D458,Worksheet!$C$3:$C$32,Worksheet!$M$3:$M$32)</f>
        <v>114.5</v>
      </c>
      <c r="F458" s="19">
        <f>_xlfn.XLOOKUP(D458,Worksheet!$C$3:$C$32,Worksheet!$S$3:$S$32)</f>
        <v>0.42682926829268292</v>
      </c>
    </row>
    <row r="459" spans="1:6" x14ac:dyDescent="0.2">
      <c r="A459" t="s">
        <v>549</v>
      </c>
      <c r="B459" s="4">
        <v>44631</v>
      </c>
      <c r="C459">
        <v>8</v>
      </c>
      <c r="D459" t="s">
        <v>78</v>
      </c>
      <c r="E459">
        <f>_xlfn.XLOOKUP(D459,Worksheet!$C$3:$C$32,Worksheet!$M$3:$M$32)</f>
        <v>114.9</v>
      </c>
      <c r="F459" s="19">
        <f>_xlfn.XLOOKUP(D459,Worksheet!$C$3:$C$32,Worksheet!$S$3:$S$32)</f>
        <v>0.52439024390243905</v>
      </c>
    </row>
    <row r="460" spans="1:6" x14ac:dyDescent="0.2">
      <c r="A460" t="s">
        <v>549</v>
      </c>
      <c r="B460" s="4">
        <v>44633</v>
      </c>
      <c r="C460">
        <v>10</v>
      </c>
      <c r="D460" t="s">
        <v>89</v>
      </c>
      <c r="E460">
        <f>_xlfn.XLOOKUP(D460,Worksheet!$C$3:$C$32,Worksheet!$M$3:$M$32)</f>
        <v>113.8</v>
      </c>
      <c r="F460" s="19">
        <f>_xlfn.XLOOKUP(D460,Worksheet!$C$3:$C$32,Worksheet!$S$3:$S$32)</f>
        <v>0.28048780487804881</v>
      </c>
    </row>
    <row r="461" spans="1:6" x14ac:dyDescent="0.2">
      <c r="A461" t="s">
        <v>549</v>
      </c>
      <c r="B461" s="4">
        <v>44634</v>
      </c>
      <c r="C461">
        <v>1</v>
      </c>
      <c r="D461" t="s">
        <v>87</v>
      </c>
      <c r="E461">
        <f>_xlfn.XLOOKUP(D461,Worksheet!$C$3:$C$32,Worksheet!$M$3:$M$32)</f>
        <v>109.7</v>
      </c>
      <c r="F461" s="19">
        <f>_xlfn.XLOOKUP(D461,Worksheet!$C$3:$C$32,Worksheet!$S$3:$S$32)</f>
        <v>0.53658536585365857</v>
      </c>
    </row>
    <row r="462" spans="1:6" x14ac:dyDescent="0.2">
      <c r="A462" t="s">
        <v>549</v>
      </c>
      <c r="B462" s="4">
        <v>44636</v>
      </c>
      <c r="C462">
        <v>-13</v>
      </c>
      <c r="D462" t="s">
        <v>92</v>
      </c>
      <c r="E462">
        <f>_xlfn.XLOOKUP(D462,Worksheet!$C$3:$C$32,Worksheet!$M$3:$M$32)</f>
        <v>110.5</v>
      </c>
      <c r="F462" s="19">
        <f>_xlfn.XLOOKUP(D462,Worksheet!$C$3:$C$32,Worksheet!$S$3:$S$32)</f>
        <v>0.58536585365853655</v>
      </c>
    </row>
    <row r="463" spans="1:6" x14ac:dyDescent="0.2">
      <c r="A463" t="s">
        <v>549</v>
      </c>
      <c r="B463" s="4">
        <v>44638</v>
      </c>
      <c r="C463">
        <v>-13</v>
      </c>
      <c r="D463" t="s">
        <v>118</v>
      </c>
      <c r="E463">
        <f>_xlfn.XLOOKUP(D463,Worksheet!$C$3:$C$32,Worksheet!$M$3:$M$32)</f>
        <v>110.5</v>
      </c>
      <c r="F463" s="19">
        <f>_xlfn.XLOOKUP(D463,Worksheet!$C$3:$C$32,Worksheet!$S$3:$S$32)</f>
        <v>0.59756097560975607</v>
      </c>
    </row>
    <row r="464" spans="1:6" x14ac:dyDescent="0.2">
      <c r="A464" t="s">
        <v>549</v>
      </c>
      <c r="B464" s="4">
        <v>44642</v>
      </c>
      <c r="C464">
        <v>-10</v>
      </c>
      <c r="D464" t="s">
        <v>34</v>
      </c>
      <c r="E464">
        <f>_xlfn.XLOOKUP(D464,Worksheet!$C$3:$C$32,Worksheet!$M$3:$M$32)</f>
        <v>112.1</v>
      </c>
      <c r="F464" s="19">
        <f>_xlfn.XLOOKUP(D464,Worksheet!$C$3:$C$32,Worksheet!$S$3:$S$32)</f>
        <v>0.58536585365853655</v>
      </c>
    </row>
    <row r="465" spans="1:6" x14ac:dyDescent="0.2">
      <c r="A465" t="s">
        <v>549</v>
      </c>
      <c r="B465" s="4">
        <v>44645</v>
      </c>
      <c r="C465">
        <v>-19</v>
      </c>
      <c r="D465" t="s">
        <v>94</v>
      </c>
      <c r="E465">
        <f>_xlfn.XLOOKUP(D465,Worksheet!$C$3:$C$32,Worksheet!$M$3:$M$32)</f>
        <v>110.8</v>
      </c>
      <c r="F465" s="19">
        <f>_xlfn.XLOOKUP(D465,Worksheet!$C$3:$C$32,Worksheet!$S$3:$S$32)</f>
        <v>0.62195121951219512</v>
      </c>
    </row>
    <row r="466" spans="1:6" x14ac:dyDescent="0.2">
      <c r="A466" t="s">
        <v>549</v>
      </c>
      <c r="B466" s="4">
        <v>44649</v>
      </c>
      <c r="C466">
        <v>-21</v>
      </c>
      <c r="D466" t="s">
        <v>118</v>
      </c>
      <c r="E466">
        <f>_xlfn.XLOOKUP(D466,Worksheet!$C$3:$C$32,Worksheet!$M$3:$M$32)</f>
        <v>110.5</v>
      </c>
      <c r="F466" s="19">
        <f>_xlfn.XLOOKUP(D466,Worksheet!$C$3:$C$32,Worksheet!$S$3:$S$32)</f>
        <v>0.59756097560975607</v>
      </c>
    </row>
    <row r="467" spans="1:6" x14ac:dyDescent="0.2">
      <c r="A467" t="s">
        <v>549</v>
      </c>
      <c r="B467" s="4">
        <v>44651</v>
      </c>
      <c r="C467">
        <v>5</v>
      </c>
      <c r="D467" t="s">
        <v>82</v>
      </c>
      <c r="E467">
        <f>_xlfn.XLOOKUP(D467,Worksheet!$C$3:$C$32,Worksheet!$M$3:$M$32)</f>
        <v>113.6</v>
      </c>
      <c r="F467" s="19">
        <f>_xlfn.XLOOKUP(D467,Worksheet!$C$3:$C$32,Worksheet!$S$3:$S$32)</f>
        <v>0.56097560975609762</v>
      </c>
    </row>
    <row r="468" spans="1:6" x14ac:dyDescent="0.2">
      <c r="A468" t="s">
        <v>549</v>
      </c>
      <c r="B468" s="4">
        <v>44652</v>
      </c>
      <c r="C468">
        <v>22</v>
      </c>
      <c r="D468" t="s">
        <v>126</v>
      </c>
      <c r="E468">
        <f>_xlfn.XLOOKUP(D468,Worksheet!$C$3:$C$32,Worksheet!$M$3:$M$32)</f>
        <v>111.8</v>
      </c>
      <c r="F468" s="19">
        <f>_xlfn.XLOOKUP(D468,Worksheet!$C$3:$C$32,Worksheet!$S$3:$S$32)</f>
        <v>0.62195121951219512</v>
      </c>
    </row>
    <row r="469" spans="1:6" x14ac:dyDescent="0.2">
      <c r="A469" t="s">
        <v>549</v>
      </c>
      <c r="B469" s="4">
        <v>44654</v>
      </c>
      <c r="C469">
        <v>3</v>
      </c>
      <c r="D469" t="s">
        <v>74</v>
      </c>
      <c r="E469">
        <f>_xlfn.XLOOKUP(D469,Worksheet!$C$3:$C$32,Worksheet!$M$3:$M$32)</f>
        <v>113</v>
      </c>
      <c r="F469" s="19">
        <f>_xlfn.XLOOKUP(D469,Worksheet!$C$3:$C$32,Worksheet!$S$3:$S$32)</f>
        <v>0.43902439024390244</v>
      </c>
    </row>
    <row r="470" spans="1:6" x14ac:dyDescent="0.2">
      <c r="A470" t="s">
        <v>549</v>
      </c>
      <c r="B470" s="4">
        <v>44657</v>
      </c>
      <c r="C470">
        <v>14</v>
      </c>
      <c r="D470" t="s">
        <v>99</v>
      </c>
      <c r="E470">
        <f>_xlfn.XLOOKUP(D470,Worksheet!$C$3:$C$32,Worksheet!$M$3:$M$32)</f>
        <v>107.3</v>
      </c>
      <c r="F470" s="19">
        <f>_xlfn.XLOOKUP(D470,Worksheet!$C$3:$C$32,Worksheet!$S$3:$S$32)</f>
        <v>0.78048780487804881</v>
      </c>
    </row>
    <row r="471" spans="1:6" x14ac:dyDescent="0.2">
      <c r="A471" t="s">
        <v>549</v>
      </c>
      <c r="B471" s="4">
        <v>44660</v>
      </c>
      <c r="C471">
        <v>9</v>
      </c>
      <c r="D471" t="s">
        <v>66</v>
      </c>
      <c r="E471">
        <f>_xlfn.XLOOKUP(D471,Worksheet!$C$3:$C$32,Worksheet!$M$3:$M$32)</f>
        <v>115.3</v>
      </c>
      <c r="F471" s="19">
        <f>_xlfn.XLOOKUP(D471,Worksheet!$C$3:$C$32,Worksheet!$S$3:$S$32)</f>
        <v>0.36585365853658536</v>
      </c>
    </row>
    <row r="472" spans="1:6" x14ac:dyDescent="0.2">
      <c r="A472" t="s">
        <v>549</v>
      </c>
      <c r="B472" s="4">
        <v>44661</v>
      </c>
      <c r="C472">
        <v>18</v>
      </c>
      <c r="D472" t="s">
        <v>68</v>
      </c>
      <c r="E472">
        <f>_xlfn.XLOOKUP(D472,Worksheet!$C$3:$C$32,Worksheet!$M$3:$M$32)</f>
        <v>112.8</v>
      </c>
      <c r="F472" s="19">
        <f>_xlfn.XLOOKUP(D472,Worksheet!$C$3:$C$32,Worksheet!$S$3:$S$32)</f>
        <v>0.29268292682926828</v>
      </c>
    </row>
    <row r="473" spans="1:6" x14ac:dyDescent="0.2">
      <c r="A473" t="s">
        <v>550</v>
      </c>
      <c r="B473" s="4">
        <v>44488</v>
      </c>
      <c r="C473">
        <v>5.0999999999999996</v>
      </c>
      <c r="D473" t="s">
        <v>62</v>
      </c>
      <c r="E473">
        <f>_xlfn.XLOOKUP(D473,Worksheet!$C$3:$C$32,Worksheet!$M$3:$M$32)</f>
        <v>113.3</v>
      </c>
      <c r="F473" s="19">
        <f>_xlfn.XLOOKUP(D473,Worksheet!$C$3:$C$32,Worksheet!$S$3:$S$32)</f>
        <v>0.40243902439024393</v>
      </c>
    </row>
    <row r="474" spans="1:6" x14ac:dyDescent="0.2">
      <c r="A474" t="s">
        <v>550</v>
      </c>
      <c r="B474" s="4">
        <v>44490</v>
      </c>
      <c r="C474">
        <v>10.8</v>
      </c>
      <c r="D474" t="s">
        <v>64</v>
      </c>
      <c r="E474">
        <f>_xlfn.XLOOKUP(D474,Worksheet!$C$3:$C$32,Worksheet!$M$3:$M$32)</f>
        <v>110.1</v>
      </c>
      <c r="F474" s="19">
        <f>_xlfn.XLOOKUP(D474,Worksheet!$C$3:$C$32,Worksheet!$S$3:$S$32)</f>
        <v>0.51219512195121952</v>
      </c>
    </row>
    <row r="475" spans="1:6" x14ac:dyDescent="0.2">
      <c r="A475" t="s">
        <v>550</v>
      </c>
      <c r="B475" s="4">
        <v>44493</v>
      </c>
      <c r="C475">
        <v>13</v>
      </c>
      <c r="D475" t="s">
        <v>66</v>
      </c>
      <c r="E475">
        <f>_xlfn.XLOOKUP(D475,Worksheet!$C$3:$C$32,Worksheet!$M$3:$M$32)</f>
        <v>115.3</v>
      </c>
      <c r="F475" s="19">
        <f>_xlfn.XLOOKUP(D475,Worksheet!$C$3:$C$32,Worksheet!$S$3:$S$32)</f>
        <v>0.36585365853658536</v>
      </c>
    </row>
    <row r="476" spans="1:6" x14ac:dyDescent="0.2">
      <c r="A476" t="s">
        <v>550</v>
      </c>
      <c r="B476" s="4">
        <v>44495</v>
      </c>
      <c r="C476">
        <v>12.4</v>
      </c>
      <c r="D476" t="s">
        <v>68</v>
      </c>
      <c r="E476">
        <f>_xlfn.XLOOKUP(D476,Worksheet!$C$3:$C$32,Worksheet!$M$3:$M$32)</f>
        <v>112.8</v>
      </c>
      <c r="F476" s="19">
        <f>_xlfn.XLOOKUP(D476,Worksheet!$C$3:$C$32,Worksheet!$S$3:$S$32)</f>
        <v>0.29268292682926828</v>
      </c>
    </row>
    <row r="477" spans="1:6" x14ac:dyDescent="0.2">
      <c r="A477" t="s">
        <v>550</v>
      </c>
      <c r="B477" s="4">
        <v>44497</v>
      </c>
      <c r="C477">
        <v>10.9</v>
      </c>
      <c r="D477" t="s">
        <v>42</v>
      </c>
      <c r="E477">
        <f>_xlfn.XLOOKUP(D477,Worksheet!$C$3:$C$32,Worksheet!$M$3:$M$32)</f>
        <v>109</v>
      </c>
      <c r="F477" s="19">
        <f>_xlfn.XLOOKUP(D477,Worksheet!$C$3:$C$32,Worksheet!$S$3:$S$32)</f>
        <v>0.68292682926829273</v>
      </c>
    </row>
    <row r="478" spans="1:6" x14ac:dyDescent="0.2">
      <c r="A478" t="s">
        <v>550</v>
      </c>
      <c r="B478" s="4">
        <v>44499</v>
      </c>
      <c r="C478">
        <v>17.2</v>
      </c>
      <c r="D478" t="s">
        <v>68</v>
      </c>
      <c r="E478">
        <f>_xlfn.XLOOKUP(D478,Worksheet!$C$3:$C$32,Worksheet!$M$3:$M$32)</f>
        <v>112.8</v>
      </c>
      <c r="F478" s="19">
        <f>_xlfn.XLOOKUP(D478,Worksheet!$C$3:$C$32,Worksheet!$S$3:$S$32)</f>
        <v>0.29268292682926828</v>
      </c>
    </row>
    <row r="479" spans="1:6" x14ac:dyDescent="0.2">
      <c r="A479" t="s">
        <v>550</v>
      </c>
      <c r="B479" s="4">
        <v>44503</v>
      </c>
      <c r="C479">
        <v>7.7</v>
      </c>
      <c r="D479" t="s">
        <v>72</v>
      </c>
      <c r="E479">
        <f>_xlfn.XLOOKUP(D479,Worksheet!$C$3:$C$32,Worksheet!$M$3:$M$32)</f>
        <v>113.7</v>
      </c>
      <c r="F479" s="19">
        <f>_xlfn.XLOOKUP(D479,Worksheet!$C$3:$C$32,Worksheet!$S$3:$S$32)</f>
        <v>0.52439024390243905</v>
      </c>
    </row>
    <row r="480" spans="1:6" x14ac:dyDescent="0.2">
      <c r="A480" t="s">
        <v>550</v>
      </c>
      <c r="B480" s="4">
        <v>44505</v>
      </c>
      <c r="C480">
        <v>13.3</v>
      </c>
      <c r="D480" t="s">
        <v>74</v>
      </c>
      <c r="E480">
        <f>_xlfn.XLOOKUP(D480,Worksheet!$C$3:$C$32,Worksheet!$M$3:$M$32)</f>
        <v>113</v>
      </c>
      <c r="F480" s="19">
        <f>_xlfn.XLOOKUP(D480,Worksheet!$C$3:$C$32,Worksheet!$S$3:$S$32)</f>
        <v>0.43902439024390244</v>
      </c>
    </row>
    <row r="481" spans="1:6" x14ac:dyDescent="0.2">
      <c r="A481" t="s">
        <v>550</v>
      </c>
      <c r="B481" s="4">
        <v>44507</v>
      </c>
      <c r="C481">
        <v>5.9</v>
      </c>
      <c r="D481" t="s">
        <v>76</v>
      </c>
      <c r="E481">
        <f>_xlfn.XLOOKUP(D481,Worksheet!$C$3:$C$32,Worksheet!$M$3:$M$32)</f>
        <v>116.7</v>
      </c>
      <c r="F481" s="19">
        <f>_xlfn.XLOOKUP(D481,Worksheet!$C$3:$C$32,Worksheet!$S$3:$S$32)</f>
        <v>0.24390243902439024</v>
      </c>
    </row>
    <row r="482" spans="1:6" x14ac:dyDescent="0.2">
      <c r="A482" t="s">
        <v>550</v>
      </c>
      <c r="B482" s="4">
        <v>44508</v>
      </c>
      <c r="C482">
        <v>7</v>
      </c>
      <c r="D482" t="s">
        <v>78</v>
      </c>
      <c r="E482">
        <f>_xlfn.XLOOKUP(D482,Worksheet!$C$3:$C$32,Worksheet!$M$3:$M$32)</f>
        <v>114.9</v>
      </c>
      <c r="F482" s="19">
        <f>_xlfn.XLOOKUP(D482,Worksheet!$C$3:$C$32,Worksheet!$S$3:$S$32)</f>
        <v>0.52439024390243905</v>
      </c>
    </row>
    <row r="483" spans="1:6" x14ac:dyDescent="0.2">
      <c r="A483" t="s">
        <v>550</v>
      </c>
      <c r="B483" s="4">
        <v>44510</v>
      </c>
      <c r="C483">
        <v>10.7</v>
      </c>
      <c r="D483" t="s">
        <v>80</v>
      </c>
      <c r="E483">
        <f>_xlfn.XLOOKUP(D483,Worksheet!$C$3:$C$32,Worksheet!$M$3:$M$32)</f>
        <v>111.7</v>
      </c>
      <c r="F483" s="19">
        <f>_xlfn.XLOOKUP(D483,Worksheet!$C$3:$C$32,Worksheet!$S$3:$S$32)</f>
        <v>0.56097560975609762</v>
      </c>
    </row>
    <row r="484" spans="1:6" x14ac:dyDescent="0.2">
      <c r="A484" t="s">
        <v>550</v>
      </c>
      <c r="B484" s="4">
        <v>44512</v>
      </c>
      <c r="C484">
        <v>12.2</v>
      </c>
      <c r="D484" t="s">
        <v>82</v>
      </c>
      <c r="E484">
        <f>_xlfn.XLOOKUP(D484,Worksheet!$C$3:$C$32,Worksheet!$M$3:$M$32)</f>
        <v>113.6</v>
      </c>
      <c r="F484" s="19">
        <f>_xlfn.XLOOKUP(D484,Worksheet!$C$3:$C$32,Worksheet!$S$3:$S$32)</f>
        <v>0.56097560975609762</v>
      </c>
    </row>
    <row r="485" spans="1:6" x14ac:dyDescent="0.2">
      <c r="A485" t="s">
        <v>550</v>
      </c>
      <c r="B485" s="4">
        <v>44514</v>
      </c>
      <c r="C485">
        <v>11.3</v>
      </c>
      <c r="D485" t="s">
        <v>72</v>
      </c>
      <c r="E485">
        <f>_xlfn.XLOOKUP(D485,Worksheet!$C$3:$C$32,Worksheet!$M$3:$M$32)</f>
        <v>113.7</v>
      </c>
      <c r="F485" s="19">
        <f>_xlfn.XLOOKUP(D485,Worksheet!$C$3:$C$32,Worksheet!$S$3:$S$32)</f>
        <v>0.52439024390243905</v>
      </c>
    </row>
    <row r="486" spans="1:6" x14ac:dyDescent="0.2">
      <c r="A486" t="s">
        <v>550</v>
      </c>
      <c r="B486" s="4">
        <v>44516</v>
      </c>
      <c r="C486">
        <v>13</v>
      </c>
      <c r="D486" t="s">
        <v>85</v>
      </c>
      <c r="E486">
        <f>_xlfn.XLOOKUP(D486,Worksheet!$C$3:$C$32,Worksheet!$M$3:$M$32)</f>
        <v>112.8</v>
      </c>
      <c r="F486" s="19">
        <f>_xlfn.XLOOKUP(D486,Worksheet!$C$3:$C$32,Worksheet!$S$3:$S$32)</f>
        <v>0.53658536585365857</v>
      </c>
    </row>
    <row r="487" spans="1:6" x14ac:dyDescent="0.2">
      <c r="A487" t="s">
        <v>550</v>
      </c>
      <c r="B487" s="4">
        <v>44518</v>
      </c>
      <c r="C487">
        <v>12.8</v>
      </c>
      <c r="D487" t="s">
        <v>87</v>
      </c>
      <c r="E487">
        <f>_xlfn.XLOOKUP(D487,Worksheet!$C$3:$C$32,Worksheet!$M$3:$M$32)</f>
        <v>109.7</v>
      </c>
      <c r="F487" s="19">
        <f>_xlfn.XLOOKUP(D487,Worksheet!$C$3:$C$32,Worksheet!$S$3:$S$32)</f>
        <v>0.53658536585365857</v>
      </c>
    </row>
    <row r="488" spans="1:6" x14ac:dyDescent="0.2">
      <c r="A488" t="s">
        <v>550</v>
      </c>
      <c r="B488" s="4">
        <v>44519</v>
      </c>
      <c r="C488" t="s">
        <v>91</v>
      </c>
      <c r="D488" t="s">
        <v>89</v>
      </c>
      <c r="E488">
        <f>_xlfn.XLOOKUP(D488,Worksheet!$C$3:$C$32,Worksheet!$M$3:$M$32)</f>
        <v>113.8</v>
      </c>
      <c r="F488" s="19">
        <f>_xlfn.XLOOKUP(D488,Worksheet!$C$3:$C$32,Worksheet!$S$3:$S$32)</f>
        <v>0.28048780487804881</v>
      </c>
    </row>
    <row r="489" spans="1:6" x14ac:dyDescent="0.2">
      <c r="A489" t="s">
        <v>550</v>
      </c>
      <c r="B489" s="4">
        <v>44521</v>
      </c>
      <c r="C489">
        <v>11.4</v>
      </c>
      <c r="D489" t="s">
        <v>92</v>
      </c>
      <c r="E489">
        <f>_xlfn.XLOOKUP(D489,Worksheet!$C$3:$C$32,Worksheet!$M$3:$M$32)</f>
        <v>110.5</v>
      </c>
      <c r="F489" s="19">
        <f>_xlfn.XLOOKUP(D489,Worksheet!$C$3:$C$32,Worksheet!$S$3:$S$32)</f>
        <v>0.58536585365853655</v>
      </c>
    </row>
    <row r="490" spans="1:6" x14ac:dyDescent="0.2">
      <c r="A490" t="s">
        <v>550</v>
      </c>
      <c r="B490" s="4">
        <v>44524</v>
      </c>
      <c r="C490">
        <v>10.7</v>
      </c>
      <c r="D490" t="s">
        <v>94</v>
      </c>
      <c r="E490">
        <f>_xlfn.XLOOKUP(D490,Worksheet!$C$3:$C$32,Worksheet!$M$3:$M$32)</f>
        <v>110.8</v>
      </c>
      <c r="F490" s="19">
        <f>_xlfn.XLOOKUP(D490,Worksheet!$C$3:$C$32,Worksheet!$S$3:$S$32)</f>
        <v>0.62195121951219512</v>
      </c>
    </row>
    <row r="491" spans="1:6" x14ac:dyDescent="0.2">
      <c r="A491" t="s">
        <v>550</v>
      </c>
      <c r="B491" s="4">
        <v>44526</v>
      </c>
      <c r="C491">
        <v>16.100000000000001</v>
      </c>
      <c r="D491" t="s">
        <v>96</v>
      </c>
      <c r="E491">
        <f>_xlfn.XLOOKUP(D491,Worksheet!$C$3:$C$32,Worksheet!$M$3:$M$32)</f>
        <v>116.9</v>
      </c>
      <c r="F491" s="19">
        <f>_xlfn.XLOOKUP(D491,Worksheet!$C$3:$C$32,Worksheet!$S$3:$S$32)</f>
        <v>0.32926829268292684</v>
      </c>
    </row>
    <row r="492" spans="1:6" x14ac:dyDescent="0.2">
      <c r="A492" t="s">
        <v>550</v>
      </c>
      <c r="B492" s="4">
        <v>44528</v>
      </c>
      <c r="C492">
        <v>6</v>
      </c>
      <c r="D492" t="s">
        <v>64</v>
      </c>
      <c r="E492">
        <f>_xlfn.XLOOKUP(D492,Worksheet!$C$3:$C$32,Worksheet!$M$3:$M$32)</f>
        <v>110.1</v>
      </c>
      <c r="F492" s="19">
        <f>_xlfn.XLOOKUP(D492,Worksheet!$C$3:$C$32,Worksheet!$S$3:$S$32)</f>
        <v>0.51219512195121952</v>
      </c>
    </row>
    <row r="493" spans="1:6" x14ac:dyDescent="0.2">
      <c r="A493" t="s">
        <v>550</v>
      </c>
      <c r="B493" s="4">
        <v>44530</v>
      </c>
      <c r="C493">
        <v>6.5</v>
      </c>
      <c r="D493" t="s">
        <v>99</v>
      </c>
      <c r="E493">
        <f>_xlfn.XLOOKUP(D493,Worksheet!$C$3:$C$32,Worksheet!$M$3:$M$32)</f>
        <v>107.3</v>
      </c>
      <c r="F493" s="19">
        <f>_xlfn.XLOOKUP(D493,Worksheet!$C$3:$C$32,Worksheet!$S$3:$S$32)</f>
        <v>0.78048780487804881</v>
      </c>
    </row>
    <row r="494" spans="1:6" x14ac:dyDescent="0.2">
      <c r="A494" t="s">
        <v>550</v>
      </c>
      <c r="B494" s="4">
        <v>44533</v>
      </c>
      <c r="C494">
        <v>20.7</v>
      </c>
      <c r="D494" t="s">
        <v>99</v>
      </c>
      <c r="E494">
        <f>_xlfn.XLOOKUP(D494,Worksheet!$C$3:$C$32,Worksheet!$M$3:$M$32)</f>
        <v>107.3</v>
      </c>
      <c r="F494" s="19">
        <f>_xlfn.XLOOKUP(D494,Worksheet!$C$3:$C$32,Worksheet!$S$3:$S$32)</f>
        <v>0.78048780487804881</v>
      </c>
    </row>
    <row r="495" spans="1:6" x14ac:dyDescent="0.2">
      <c r="A495" t="s">
        <v>550</v>
      </c>
      <c r="B495" s="4">
        <v>44534</v>
      </c>
      <c r="C495">
        <v>11.7</v>
      </c>
      <c r="D495" t="s">
        <v>102</v>
      </c>
      <c r="E495">
        <f>_xlfn.XLOOKUP(D495,Worksheet!$C$3:$C$32,Worksheet!$M$3:$M$32)</f>
        <v>112.3</v>
      </c>
      <c r="F495" s="19">
        <f>_xlfn.XLOOKUP(D495,Worksheet!$C$3:$C$32,Worksheet!$S$3:$S$32)</f>
        <v>0.41463414634146339</v>
      </c>
    </row>
    <row r="496" spans="1:6" x14ac:dyDescent="0.2">
      <c r="A496" t="s">
        <v>550</v>
      </c>
      <c r="B496" s="4">
        <v>44536</v>
      </c>
      <c r="C496">
        <v>9.1</v>
      </c>
      <c r="D496" t="s">
        <v>104</v>
      </c>
      <c r="E496">
        <f>_xlfn.XLOOKUP(D496,Worksheet!$C$3:$C$32,Worksheet!$M$3:$M$32)</f>
        <v>112.5</v>
      </c>
      <c r="F496" s="19">
        <f>_xlfn.XLOOKUP(D496,Worksheet!$C$3:$C$32,Worksheet!$S$3:$S$32)</f>
        <v>0.26829268292682928</v>
      </c>
    </row>
    <row r="497" spans="1:6" x14ac:dyDescent="0.2">
      <c r="A497" t="s">
        <v>550</v>
      </c>
      <c r="B497" s="4">
        <v>44538</v>
      </c>
      <c r="C497">
        <v>8</v>
      </c>
      <c r="D497" t="s">
        <v>96</v>
      </c>
      <c r="E497">
        <f>_xlfn.XLOOKUP(D497,Worksheet!$C$3:$C$32,Worksheet!$M$3:$M$32)</f>
        <v>116.9</v>
      </c>
      <c r="F497" s="19">
        <f>_xlfn.XLOOKUP(D497,Worksheet!$C$3:$C$32,Worksheet!$S$3:$S$32)</f>
        <v>0.32926829268292684</v>
      </c>
    </row>
    <row r="498" spans="1:6" x14ac:dyDescent="0.2">
      <c r="A498" t="s">
        <v>550</v>
      </c>
      <c r="B498" s="4">
        <v>44541</v>
      </c>
      <c r="C498">
        <v>6.2</v>
      </c>
      <c r="D498" t="s">
        <v>94</v>
      </c>
      <c r="E498">
        <f>_xlfn.XLOOKUP(D498,Worksheet!$C$3:$C$32,Worksheet!$M$3:$M$32)</f>
        <v>110.8</v>
      </c>
      <c r="F498" s="19">
        <f>_xlfn.XLOOKUP(D498,Worksheet!$C$3:$C$32,Worksheet!$S$3:$S$32)</f>
        <v>0.62195121951219512</v>
      </c>
    </row>
    <row r="499" spans="1:6" x14ac:dyDescent="0.2">
      <c r="A499" t="s">
        <v>550</v>
      </c>
      <c r="B499" s="4">
        <v>44543</v>
      </c>
      <c r="C499">
        <v>12.8</v>
      </c>
      <c r="D499" t="s">
        <v>108</v>
      </c>
      <c r="E499">
        <f>_xlfn.XLOOKUP(D499,Worksheet!$C$3:$C$32,Worksheet!$M$3:$M$32)</f>
        <v>116.1</v>
      </c>
      <c r="F499" s="19">
        <f>_xlfn.XLOOKUP(D499,Worksheet!$C$3:$C$32,Worksheet!$S$3:$S$32)</f>
        <v>0.3048780487804878</v>
      </c>
    </row>
    <row r="500" spans="1:6" x14ac:dyDescent="0.2">
      <c r="A500" t="s">
        <v>550</v>
      </c>
      <c r="B500" s="4">
        <v>44544</v>
      </c>
      <c r="C500">
        <v>12.5</v>
      </c>
      <c r="D500" t="s">
        <v>110</v>
      </c>
      <c r="E500">
        <f>_xlfn.XLOOKUP(D500,Worksheet!$C$3:$C$32,Worksheet!$M$3:$M$32)</f>
        <v>110.5</v>
      </c>
      <c r="F500" s="19">
        <f>_xlfn.XLOOKUP(D500,Worksheet!$C$3:$C$32,Worksheet!$S$3:$S$32)</f>
        <v>0.45121951219512196</v>
      </c>
    </row>
    <row r="501" spans="1:6" x14ac:dyDescent="0.2">
      <c r="A501" t="s">
        <v>550</v>
      </c>
      <c r="B501" s="4">
        <v>44547</v>
      </c>
      <c r="C501">
        <v>6.4</v>
      </c>
      <c r="D501" t="s">
        <v>55</v>
      </c>
      <c r="E501">
        <f>_xlfn.XLOOKUP(D501,Worksheet!$C$3:$C$32,Worksheet!$M$3:$M$32)</f>
        <v>106.9</v>
      </c>
      <c r="F501" s="19">
        <f>_xlfn.XLOOKUP(D501,Worksheet!$C$3:$C$32,Worksheet!$S$3:$S$32)</f>
        <v>0.62195121951219512</v>
      </c>
    </row>
    <row r="502" spans="1:6" x14ac:dyDescent="0.2">
      <c r="A502" t="s">
        <v>550</v>
      </c>
      <c r="B502" s="4">
        <v>44548</v>
      </c>
      <c r="C502" t="s">
        <v>91</v>
      </c>
      <c r="D502" t="s">
        <v>92</v>
      </c>
      <c r="E502">
        <f>_xlfn.XLOOKUP(D502,Worksheet!$C$3:$C$32,Worksheet!$M$3:$M$32)</f>
        <v>110.5</v>
      </c>
      <c r="F502" s="19">
        <f>_xlfn.XLOOKUP(D502,Worksheet!$C$3:$C$32,Worksheet!$S$3:$S$32)</f>
        <v>0.58536585365853655</v>
      </c>
    </row>
    <row r="503" spans="1:6" x14ac:dyDescent="0.2">
      <c r="A503" t="s">
        <v>550</v>
      </c>
      <c r="B503" s="4">
        <v>44550</v>
      </c>
      <c r="C503">
        <v>18.600000000000001</v>
      </c>
      <c r="D503" t="s">
        <v>66</v>
      </c>
      <c r="E503">
        <f>_xlfn.XLOOKUP(D503,Worksheet!$C$3:$C$32,Worksheet!$M$3:$M$32)</f>
        <v>115.3</v>
      </c>
      <c r="F503" s="19">
        <f>_xlfn.XLOOKUP(D503,Worksheet!$C$3:$C$32,Worksheet!$S$3:$S$32)</f>
        <v>0.36585365853658536</v>
      </c>
    </row>
    <row r="504" spans="1:6" x14ac:dyDescent="0.2">
      <c r="A504" t="s">
        <v>550</v>
      </c>
      <c r="B504" s="4">
        <v>44553</v>
      </c>
      <c r="C504">
        <v>9.3000000000000007</v>
      </c>
      <c r="D504" t="s">
        <v>42</v>
      </c>
      <c r="E504">
        <f>_xlfn.XLOOKUP(D504,Worksheet!$C$3:$C$32,Worksheet!$M$3:$M$32)</f>
        <v>109</v>
      </c>
      <c r="F504" s="19">
        <f>_xlfn.XLOOKUP(D504,Worksheet!$C$3:$C$32,Worksheet!$S$3:$S$32)</f>
        <v>0.68292682926829273</v>
      </c>
    </row>
    <row r="505" spans="1:6" x14ac:dyDescent="0.2">
      <c r="A505" t="s">
        <v>550</v>
      </c>
      <c r="B505" s="4">
        <v>44555</v>
      </c>
      <c r="C505">
        <v>15.2</v>
      </c>
      <c r="D505" t="s">
        <v>99</v>
      </c>
      <c r="E505">
        <f>_xlfn.XLOOKUP(D505,Worksheet!$C$3:$C$32,Worksheet!$M$3:$M$32)</f>
        <v>107.3</v>
      </c>
      <c r="F505" s="19">
        <f>_xlfn.XLOOKUP(D505,Worksheet!$C$3:$C$32,Worksheet!$S$3:$S$32)</f>
        <v>0.78048780487804881</v>
      </c>
    </row>
    <row r="506" spans="1:6" x14ac:dyDescent="0.2">
      <c r="A506" t="s">
        <v>550</v>
      </c>
      <c r="B506" s="4">
        <v>44558</v>
      </c>
      <c r="C506" t="s">
        <v>91</v>
      </c>
      <c r="D506" t="s">
        <v>34</v>
      </c>
      <c r="E506">
        <f>_xlfn.XLOOKUP(D506,Worksheet!$C$3:$C$32,Worksheet!$M$3:$M$32)</f>
        <v>112.1</v>
      </c>
      <c r="F506" s="19">
        <f>_xlfn.XLOOKUP(D506,Worksheet!$C$3:$C$32,Worksheet!$S$3:$S$32)</f>
        <v>0.58536585365853655</v>
      </c>
    </row>
    <row r="507" spans="1:6" x14ac:dyDescent="0.2">
      <c r="A507" t="s">
        <v>550</v>
      </c>
      <c r="B507" s="4">
        <v>44562</v>
      </c>
      <c r="C507" t="s">
        <v>91</v>
      </c>
      <c r="D507" t="s">
        <v>118</v>
      </c>
      <c r="E507">
        <f>_xlfn.XLOOKUP(D507,Worksheet!$C$3:$C$32,Worksheet!$M$3:$M$32)</f>
        <v>110.5</v>
      </c>
      <c r="F507" s="19">
        <f>_xlfn.XLOOKUP(D507,Worksheet!$C$3:$C$32,Worksheet!$S$3:$S$32)</f>
        <v>0.59756097560975607</v>
      </c>
    </row>
    <row r="508" spans="1:6" x14ac:dyDescent="0.2">
      <c r="A508" t="s">
        <v>550</v>
      </c>
      <c r="B508" s="4">
        <v>44564</v>
      </c>
      <c r="C508">
        <v>14.8</v>
      </c>
      <c r="D508" t="s">
        <v>120</v>
      </c>
      <c r="E508">
        <f>_xlfn.XLOOKUP(D508,Worksheet!$C$3:$C$32,Worksheet!$M$3:$M$32)</f>
        <v>109.1</v>
      </c>
      <c r="F508" s="19">
        <f>_xlfn.XLOOKUP(D508,Worksheet!$C$3:$C$32,Worksheet!$S$3:$S$32)</f>
        <v>0.64634146341463417</v>
      </c>
    </row>
    <row r="509" spans="1:6" x14ac:dyDescent="0.2">
      <c r="A509" t="s">
        <v>550</v>
      </c>
      <c r="B509" s="4">
        <v>44566</v>
      </c>
      <c r="C509">
        <v>0.2</v>
      </c>
      <c r="D509" t="s">
        <v>49</v>
      </c>
      <c r="E509">
        <f>_xlfn.XLOOKUP(D509,Worksheet!$C$3:$C$32,Worksheet!$M$3:$M$32)</f>
        <v>109.4</v>
      </c>
      <c r="F509" s="19">
        <f>_xlfn.XLOOKUP(D509,Worksheet!$C$3:$C$32,Worksheet!$S$3:$S$32)</f>
        <v>0.63414634146341464</v>
      </c>
    </row>
    <row r="510" spans="1:6" x14ac:dyDescent="0.2">
      <c r="A510" t="s">
        <v>550</v>
      </c>
      <c r="B510" s="4">
        <v>44567</v>
      </c>
      <c r="C510" t="s">
        <v>91</v>
      </c>
      <c r="D510" t="s">
        <v>74</v>
      </c>
      <c r="E510">
        <f>_xlfn.XLOOKUP(D510,Worksheet!$C$3:$C$32,Worksheet!$M$3:$M$32)</f>
        <v>113</v>
      </c>
      <c r="F510" s="19">
        <f>_xlfn.XLOOKUP(D510,Worksheet!$C$3:$C$32,Worksheet!$S$3:$S$32)</f>
        <v>0.43902439024390244</v>
      </c>
    </row>
    <row r="511" spans="1:6" x14ac:dyDescent="0.2">
      <c r="A511" t="s">
        <v>550</v>
      </c>
      <c r="B511" s="4">
        <v>44570</v>
      </c>
      <c r="C511">
        <v>-0.4</v>
      </c>
      <c r="D511" t="s">
        <v>87</v>
      </c>
      <c r="E511">
        <f>_xlfn.XLOOKUP(D511,Worksheet!$C$3:$C$32,Worksheet!$M$3:$M$32)</f>
        <v>109.7</v>
      </c>
      <c r="F511" s="19">
        <f>_xlfn.XLOOKUP(D511,Worksheet!$C$3:$C$32,Worksheet!$S$3:$S$32)</f>
        <v>0.53658536585365857</v>
      </c>
    </row>
    <row r="512" spans="1:6" x14ac:dyDescent="0.2">
      <c r="A512" t="s">
        <v>550</v>
      </c>
      <c r="B512" s="4">
        <v>44572</v>
      </c>
      <c r="C512" t="s">
        <v>91</v>
      </c>
      <c r="D512" t="s">
        <v>42</v>
      </c>
      <c r="E512">
        <f>_xlfn.XLOOKUP(D512,Worksheet!$C$3:$C$32,Worksheet!$M$3:$M$32)</f>
        <v>109</v>
      </c>
      <c r="F512" s="19">
        <f>_xlfn.XLOOKUP(D512,Worksheet!$C$3:$C$32,Worksheet!$S$3:$S$32)</f>
        <v>0.68292682926829273</v>
      </c>
    </row>
    <row r="513" spans="1:6" x14ac:dyDescent="0.2">
      <c r="A513" t="s">
        <v>550</v>
      </c>
      <c r="B513" s="4">
        <v>44574</v>
      </c>
      <c r="C513" t="s">
        <v>91</v>
      </c>
      <c r="D513" t="s">
        <v>126</v>
      </c>
      <c r="E513">
        <f>_xlfn.XLOOKUP(D513,Worksheet!$C$3:$C$32,Worksheet!$M$3:$M$32)</f>
        <v>111.8</v>
      </c>
      <c r="F513" s="19">
        <f>_xlfn.XLOOKUP(D513,Worksheet!$C$3:$C$32,Worksheet!$S$3:$S$32)</f>
        <v>0.62195121951219512</v>
      </c>
    </row>
    <row r="514" spans="1:6" x14ac:dyDescent="0.2">
      <c r="A514" t="s">
        <v>550</v>
      </c>
      <c r="B514" s="4">
        <v>44575</v>
      </c>
      <c r="C514" t="s">
        <v>91</v>
      </c>
      <c r="D514" t="s">
        <v>82</v>
      </c>
      <c r="E514">
        <f>_xlfn.XLOOKUP(D514,Worksheet!$C$3:$C$32,Worksheet!$M$3:$M$32)</f>
        <v>113.6</v>
      </c>
      <c r="F514" s="19">
        <f>_xlfn.XLOOKUP(D514,Worksheet!$C$3:$C$32,Worksheet!$S$3:$S$32)</f>
        <v>0.56097560975609762</v>
      </c>
    </row>
    <row r="515" spans="1:6" x14ac:dyDescent="0.2">
      <c r="A515" t="s">
        <v>550</v>
      </c>
      <c r="B515" s="4">
        <v>44577</v>
      </c>
      <c r="C515" t="s">
        <v>91</v>
      </c>
      <c r="D515" t="s">
        <v>80</v>
      </c>
      <c r="E515">
        <f>_xlfn.XLOOKUP(D515,Worksheet!$C$3:$C$32,Worksheet!$M$3:$M$32)</f>
        <v>111.7</v>
      </c>
      <c r="F515" s="19">
        <f>_xlfn.XLOOKUP(D515,Worksheet!$C$3:$C$32,Worksheet!$S$3:$S$32)</f>
        <v>0.56097560975609762</v>
      </c>
    </row>
    <row r="516" spans="1:6" x14ac:dyDescent="0.2">
      <c r="A516" t="s">
        <v>550</v>
      </c>
      <c r="B516" s="4">
        <v>44579</v>
      </c>
      <c r="C516" t="s">
        <v>91</v>
      </c>
      <c r="D516" t="s">
        <v>89</v>
      </c>
      <c r="E516">
        <f>_xlfn.XLOOKUP(D516,Worksheet!$C$3:$C$32,Worksheet!$M$3:$M$32)</f>
        <v>113.8</v>
      </c>
      <c r="F516" s="19">
        <f>_xlfn.XLOOKUP(D516,Worksheet!$C$3:$C$32,Worksheet!$S$3:$S$32)</f>
        <v>0.28048780487804881</v>
      </c>
    </row>
    <row r="517" spans="1:6" x14ac:dyDescent="0.2">
      <c r="A517" t="s">
        <v>550</v>
      </c>
      <c r="B517" s="4">
        <v>44581</v>
      </c>
      <c r="C517" t="s">
        <v>91</v>
      </c>
      <c r="D517" t="s">
        <v>108</v>
      </c>
      <c r="E517">
        <f>_xlfn.XLOOKUP(D517,Worksheet!$C$3:$C$32,Worksheet!$M$3:$M$32)</f>
        <v>116.1</v>
      </c>
      <c r="F517" s="19">
        <f>_xlfn.XLOOKUP(D517,Worksheet!$C$3:$C$32,Worksheet!$S$3:$S$32)</f>
        <v>0.3048780487804878</v>
      </c>
    </row>
    <row r="518" spans="1:6" x14ac:dyDescent="0.2">
      <c r="A518" t="s">
        <v>550</v>
      </c>
      <c r="B518" s="4">
        <v>44582</v>
      </c>
      <c r="C518" t="s">
        <v>91</v>
      </c>
      <c r="D518" t="s">
        <v>76</v>
      </c>
      <c r="E518">
        <f>_xlfn.XLOOKUP(D518,Worksheet!$C$3:$C$32,Worksheet!$M$3:$M$32)</f>
        <v>116.7</v>
      </c>
      <c r="F518" s="19">
        <f>_xlfn.XLOOKUP(D518,Worksheet!$C$3:$C$32,Worksheet!$S$3:$S$32)</f>
        <v>0.24390243902439024</v>
      </c>
    </row>
    <row r="519" spans="1:6" x14ac:dyDescent="0.2">
      <c r="A519" t="s">
        <v>550</v>
      </c>
      <c r="B519" s="4">
        <v>44584</v>
      </c>
      <c r="C519" t="s">
        <v>91</v>
      </c>
      <c r="D519" t="s">
        <v>118</v>
      </c>
      <c r="E519">
        <f>_xlfn.XLOOKUP(D519,Worksheet!$C$3:$C$32,Worksheet!$M$3:$M$32)</f>
        <v>110.5</v>
      </c>
      <c r="F519" s="19">
        <f>_xlfn.XLOOKUP(D519,Worksheet!$C$3:$C$32,Worksheet!$S$3:$S$32)</f>
        <v>0.59756097560975607</v>
      </c>
    </row>
    <row r="520" spans="1:6" x14ac:dyDescent="0.2">
      <c r="A520" t="s">
        <v>550</v>
      </c>
      <c r="B520" s="4">
        <v>44586</v>
      </c>
      <c r="C520" t="s">
        <v>91</v>
      </c>
      <c r="D520" t="s">
        <v>49</v>
      </c>
      <c r="E520">
        <f>_xlfn.XLOOKUP(D520,Worksheet!$C$3:$C$32,Worksheet!$M$3:$M$32)</f>
        <v>109.4</v>
      </c>
      <c r="F520" s="19">
        <f>_xlfn.XLOOKUP(D520,Worksheet!$C$3:$C$32,Worksheet!$S$3:$S$32)</f>
        <v>0.63414634146341464</v>
      </c>
    </row>
    <row r="521" spans="1:6" x14ac:dyDescent="0.2">
      <c r="A521" t="s">
        <v>550</v>
      </c>
      <c r="B521" s="4">
        <v>44588</v>
      </c>
      <c r="C521" t="s">
        <v>91</v>
      </c>
      <c r="D521" t="s">
        <v>80</v>
      </c>
      <c r="E521">
        <f>_xlfn.XLOOKUP(D521,Worksheet!$C$3:$C$32,Worksheet!$M$3:$M$32)</f>
        <v>111.7</v>
      </c>
      <c r="F521" s="19">
        <f>_xlfn.XLOOKUP(D521,Worksheet!$C$3:$C$32,Worksheet!$S$3:$S$32)</f>
        <v>0.56097560975609762</v>
      </c>
    </row>
    <row r="522" spans="1:6" x14ac:dyDescent="0.2">
      <c r="A522" t="s">
        <v>550</v>
      </c>
      <c r="B522" s="4">
        <v>44590</v>
      </c>
      <c r="C522" t="s">
        <v>91</v>
      </c>
      <c r="D522" t="s">
        <v>85</v>
      </c>
      <c r="E522">
        <f>_xlfn.XLOOKUP(D522,Worksheet!$C$3:$C$32,Worksheet!$M$3:$M$32)</f>
        <v>112.8</v>
      </c>
      <c r="F522" s="19">
        <f>_xlfn.XLOOKUP(D522,Worksheet!$C$3:$C$32,Worksheet!$S$3:$S$32)</f>
        <v>0.53658536585365857</v>
      </c>
    </row>
    <row r="523" spans="1:6" x14ac:dyDescent="0.2">
      <c r="A523" t="s">
        <v>550</v>
      </c>
      <c r="B523" s="4">
        <v>44592</v>
      </c>
      <c r="C523" t="s">
        <v>91</v>
      </c>
      <c r="D523" t="s">
        <v>76</v>
      </c>
      <c r="E523">
        <f>_xlfn.XLOOKUP(D523,Worksheet!$C$3:$C$32,Worksheet!$M$3:$M$32)</f>
        <v>116.7</v>
      </c>
      <c r="F523" s="19">
        <f>_xlfn.XLOOKUP(D523,Worksheet!$C$3:$C$32,Worksheet!$S$3:$S$32)</f>
        <v>0.24390243902439024</v>
      </c>
    </row>
    <row r="524" spans="1:6" x14ac:dyDescent="0.2">
      <c r="A524" t="s">
        <v>550</v>
      </c>
      <c r="B524" s="4">
        <v>44593</v>
      </c>
      <c r="C524" t="s">
        <v>91</v>
      </c>
      <c r="D524" t="s">
        <v>102</v>
      </c>
      <c r="E524">
        <f>_xlfn.XLOOKUP(D524,Worksheet!$C$3:$C$32,Worksheet!$M$3:$M$32)</f>
        <v>112.3</v>
      </c>
      <c r="F524" s="19">
        <f>_xlfn.XLOOKUP(D524,Worksheet!$C$3:$C$32,Worksheet!$S$3:$S$32)</f>
        <v>0.41463414634146339</v>
      </c>
    </row>
    <row r="525" spans="1:6" x14ac:dyDescent="0.2">
      <c r="A525" t="s">
        <v>550</v>
      </c>
      <c r="B525" s="4">
        <v>44595</v>
      </c>
      <c r="C525" t="s">
        <v>91</v>
      </c>
      <c r="D525" t="s">
        <v>66</v>
      </c>
      <c r="E525">
        <f>_xlfn.XLOOKUP(D525,Worksheet!$C$3:$C$32,Worksheet!$M$3:$M$32)</f>
        <v>115.3</v>
      </c>
      <c r="F525" s="19">
        <f>_xlfn.XLOOKUP(D525,Worksheet!$C$3:$C$32,Worksheet!$S$3:$S$32)</f>
        <v>0.36585365853658536</v>
      </c>
    </row>
    <row r="526" spans="1:6" x14ac:dyDescent="0.2">
      <c r="A526" t="s">
        <v>550</v>
      </c>
      <c r="B526" s="4">
        <v>44599</v>
      </c>
      <c r="C526" t="s">
        <v>91</v>
      </c>
      <c r="D526" t="s">
        <v>68</v>
      </c>
      <c r="E526">
        <f>_xlfn.XLOOKUP(D526,Worksheet!$C$3:$C$32,Worksheet!$M$3:$M$32)</f>
        <v>112.8</v>
      </c>
      <c r="F526" s="19">
        <f>_xlfn.XLOOKUP(D526,Worksheet!$C$3:$C$32,Worksheet!$S$3:$S$32)</f>
        <v>0.29268292682926828</v>
      </c>
    </row>
    <row r="527" spans="1:6" x14ac:dyDescent="0.2">
      <c r="A527" t="s">
        <v>550</v>
      </c>
      <c r="B527" s="4">
        <v>44601</v>
      </c>
      <c r="C527" t="s">
        <v>91</v>
      </c>
      <c r="D527" t="s">
        <v>118</v>
      </c>
      <c r="E527">
        <f>_xlfn.XLOOKUP(D527,Worksheet!$C$3:$C$32,Worksheet!$M$3:$M$32)</f>
        <v>110.5</v>
      </c>
      <c r="F527" s="19">
        <f>_xlfn.XLOOKUP(D527,Worksheet!$C$3:$C$32,Worksheet!$S$3:$S$32)</f>
        <v>0.59756097560975607</v>
      </c>
    </row>
    <row r="528" spans="1:6" x14ac:dyDescent="0.2">
      <c r="A528" t="s">
        <v>550</v>
      </c>
      <c r="B528" s="4">
        <v>44602</v>
      </c>
      <c r="C528" t="s">
        <v>91</v>
      </c>
      <c r="D528" t="s">
        <v>110</v>
      </c>
      <c r="E528">
        <f>_xlfn.XLOOKUP(D528,Worksheet!$C$3:$C$32,Worksheet!$M$3:$M$32)</f>
        <v>110.5</v>
      </c>
      <c r="F528" s="19">
        <f>_xlfn.XLOOKUP(D528,Worksheet!$C$3:$C$32,Worksheet!$S$3:$S$32)</f>
        <v>0.45121951219512196</v>
      </c>
    </row>
    <row r="529" spans="1:6" x14ac:dyDescent="0.2">
      <c r="A529" t="s">
        <v>550</v>
      </c>
      <c r="B529" s="4">
        <v>44604</v>
      </c>
      <c r="C529" t="s">
        <v>91</v>
      </c>
      <c r="D529" t="s">
        <v>62</v>
      </c>
      <c r="E529">
        <f>_xlfn.XLOOKUP(D529,Worksheet!$C$3:$C$32,Worksheet!$M$3:$M$32)</f>
        <v>113.3</v>
      </c>
      <c r="F529" s="19">
        <f>_xlfn.XLOOKUP(D529,Worksheet!$C$3:$C$32,Worksheet!$S$3:$S$32)</f>
        <v>0.40243902439024393</v>
      </c>
    </row>
    <row r="530" spans="1:6" x14ac:dyDescent="0.2">
      <c r="A530" t="s">
        <v>550</v>
      </c>
      <c r="B530" s="4">
        <v>44606</v>
      </c>
      <c r="C530" t="s">
        <v>91</v>
      </c>
      <c r="D530" t="s">
        <v>64</v>
      </c>
      <c r="E530">
        <f>_xlfn.XLOOKUP(D530,Worksheet!$C$3:$C$32,Worksheet!$M$3:$M$32)</f>
        <v>110.1</v>
      </c>
      <c r="F530" s="19">
        <f>_xlfn.XLOOKUP(D530,Worksheet!$C$3:$C$32,Worksheet!$S$3:$S$32)</f>
        <v>0.51219512195121952</v>
      </c>
    </row>
    <row r="531" spans="1:6" x14ac:dyDescent="0.2">
      <c r="A531" t="s">
        <v>550</v>
      </c>
      <c r="B531" s="4">
        <v>44608</v>
      </c>
      <c r="C531" t="s">
        <v>91</v>
      </c>
      <c r="D531" t="s">
        <v>34</v>
      </c>
      <c r="E531">
        <f>_xlfn.XLOOKUP(D531,Worksheet!$C$3:$C$32,Worksheet!$M$3:$M$32)</f>
        <v>112.1</v>
      </c>
      <c r="F531" s="19">
        <f>_xlfn.XLOOKUP(D531,Worksheet!$C$3:$C$32,Worksheet!$S$3:$S$32)</f>
        <v>0.58536585365853655</v>
      </c>
    </row>
    <row r="532" spans="1:6" x14ac:dyDescent="0.2">
      <c r="A532" t="s">
        <v>550</v>
      </c>
      <c r="B532" s="4">
        <v>44616</v>
      </c>
      <c r="C532" t="s">
        <v>91</v>
      </c>
      <c r="D532" t="s">
        <v>96</v>
      </c>
      <c r="E532">
        <f>_xlfn.XLOOKUP(D532,Worksheet!$C$3:$C$32,Worksheet!$M$3:$M$32)</f>
        <v>116.9</v>
      </c>
      <c r="F532" s="19">
        <f>_xlfn.XLOOKUP(D532,Worksheet!$C$3:$C$32,Worksheet!$S$3:$S$32)</f>
        <v>0.32926829268292684</v>
      </c>
    </row>
    <row r="533" spans="1:6" x14ac:dyDescent="0.2">
      <c r="A533" t="s">
        <v>550</v>
      </c>
      <c r="B533" s="4">
        <v>44619</v>
      </c>
      <c r="C533" t="s">
        <v>91</v>
      </c>
      <c r="D533" t="s">
        <v>49</v>
      </c>
      <c r="E533">
        <f>_xlfn.XLOOKUP(D533,Worksheet!$C$3:$C$32,Worksheet!$M$3:$M$32)</f>
        <v>109.4</v>
      </c>
      <c r="F533" s="19">
        <f>_xlfn.XLOOKUP(D533,Worksheet!$C$3:$C$32,Worksheet!$S$3:$S$32)</f>
        <v>0.63414634146341464</v>
      </c>
    </row>
    <row r="534" spans="1:6" x14ac:dyDescent="0.2">
      <c r="A534" t="s">
        <v>550</v>
      </c>
      <c r="B534" s="4">
        <v>44621</v>
      </c>
      <c r="C534" t="s">
        <v>91</v>
      </c>
      <c r="D534" t="s">
        <v>80</v>
      </c>
      <c r="E534">
        <f>_xlfn.XLOOKUP(D534,Worksheet!$C$3:$C$32,Worksheet!$M$3:$M$32)</f>
        <v>111.7</v>
      </c>
      <c r="F534" s="19">
        <f>_xlfn.XLOOKUP(D534,Worksheet!$C$3:$C$32,Worksheet!$S$3:$S$32)</f>
        <v>0.56097560975609762</v>
      </c>
    </row>
    <row r="535" spans="1:6" x14ac:dyDescent="0.2">
      <c r="A535" t="s">
        <v>550</v>
      </c>
      <c r="B535" s="4">
        <v>44623</v>
      </c>
      <c r="C535" t="s">
        <v>91</v>
      </c>
      <c r="D535" t="s">
        <v>49</v>
      </c>
      <c r="E535">
        <f>_xlfn.XLOOKUP(D535,Worksheet!$C$3:$C$32,Worksheet!$M$3:$M$32)</f>
        <v>109.4</v>
      </c>
      <c r="F535" s="19">
        <f>_xlfn.XLOOKUP(D535,Worksheet!$C$3:$C$32,Worksheet!$S$3:$S$32)</f>
        <v>0.63414634146341464</v>
      </c>
    </row>
    <row r="536" spans="1:6" x14ac:dyDescent="0.2">
      <c r="A536" t="s">
        <v>550</v>
      </c>
      <c r="B536" s="4">
        <v>44625</v>
      </c>
      <c r="C536" t="s">
        <v>91</v>
      </c>
      <c r="D536" t="s">
        <v>62</v>
      </c>
      <c r="E536">
        <f>_xlfn.XLOOKUP(D536,Worksheet!$C$3:$C$32,Worksheet!$M$3:$M$32)</f>
        <v>113.3</v>
      </c>
      <c r="F536" s="19">
        <f>_xlfn.XLOOKUP(D536,Worksheet!$C$3:$C$32,Worksheet!$S$3:$S$32)</f>
        <v>0.40243902439024393</v>
      </c>
    </row>
    <row r="537" spans="1:6" x14ac:dyDescent="0.2">
      <c r="A537" t="s">
        <v>550</v>
      </c>
      <c r="B537" s="4">
        <v>44627</v>
      </c>
      <c r="C537" t="s">
        <v>91</v>
      </c>
      <c r="D537" t="s">
        <v>34</v>
      </c>
      <c r="E537">
        <f>_xlfn.XLOOKUP(D537,Worksheet!$C$3:$C$32,Worksheet!$M$3:$M$32)</f>
        <v>112.1</v>
      </c>
      <c r="F537" s="19">
        <f>_xlfn.XLOOKUP(D537,Worksheet!$C$3:$C$32,Worksheet!$S$3:$S$32)</f>
        <v>0.58536585365853655</v>
      </c>
    </row>
    <row r="538" spans="1:6" x14ac:dyDescent="0.2">
      <c r="A538" t="s">
        <v>550</v>
      </c>
      <c r="B538" s="4">
        <v>44628</v>
      </c>
      <c r="C538" t="s">
        <v>91</v>
      </c>
      <c r="D538" t="s">
        <v>64</v>
      </c>
      <c r="E538">
        <f>_xlfn.XLOOKUP(D538,Worksheet!$C$3:$C$32,Worksheet!$M$3:$M$32)</f>
        <v>110.1</v>
      </c>
      <c r="F538" s="19">
        <f>_xlfn.XLOOKUP(D538,Worksheet!$C$3:$C$32,Worksheet!$S$3:$S$32)</f>
        <v>0.51219512195121952</v>
      </c>
    </row>
    <row r="539" spans="1:6" x14ac:dyDescent="0.2">
      <c r="A539" t="s">
        <v>550</v>
      </c>
      <c r="B539" s="4">
        <v>44630</v>
      </c>
      <c r="C539" t="s">
        <v>91</v>
      </c>
      <c r="D539" t="s">
        <v>34</v>
      </c>
      <c r="E539">
        <f>_xlfn.XLOOKUP(D539,Worksheet!$C$3:$C$32,Worksheet!$M$3:$M$32)</f>
        <v>112.1</v>
      </c>
      <c r="F539" s="19">
        <f>_xlfn.XLOOKUP(D539,Worksheet!$C$3:$C$32,Worksheet!$S$3:$S$32)</f>
        <v>0.58536585365853655</v>
      </c>
    </row>
    <row r="540" spans="1:6" x14ac:dyDescent="0.2">
      <c r="A540" t="s">
        <v>550</v>
      </c>
      <c r="B540" s="4">
        <v>44632</v>
      </c>
      <c r="C540" t="s">
        <v>91</v>
      </c>
      <c r="D540" t="s">
        <v>126</v>
      </c>
      <c r="E540">
        <f>_xlfn.XLOOKUP(D540,Worksheet!$C$3:$C$32,Worksheet!$M$3:$M$32)</f>
        <v>111.8</v>
      </c>
      <c r="F540" s="19">
        <f>_xlfn.XLOOKUP(D540,Worksheet!$C$3:$C$32,Worksheet!$S$3:$S$32)</f>
        <v>0.62195121951219512</v>
      </c>
    </row>
    <row r="541" spans="1:6" x14ac:dyDescent="0.2">
      <c r="A541" t="s">
        <v>550</v>
      </c>
      <c r="B541" s="4">
        <v>44634</v>
      </c>
      <c r="C541">
        <v>7.1</v>
      </c>
      <c r="D541" t="s">
        <v>155</v>
      </c>
      <c r="E541">
        <f>_xlfn.XLOOKUP(D541,Worksheet!$C$3:$C$32,Worksheet!$M$3:$M$32)</f>
        <v>114.5</v>
      </c>
      <c r="F541" s="19">
        <f>_xlfn.XLOOKUP(D541,Worksheet!$C$3:$C$32,Worksheet!$S$3:$S$32)</f>
        <v>0.42682926829268292</v>
      </c>
    </row>
    <row r="542" spans="1:6" x14ac:dyDescent="0.2">
      <c r="A542" t="s">
        <v>550</v>
      </c>
      <c r="B542" s="4">
        <v>44636</v>
      </c>
      <c r="C542">
        <v>4.3</v>
      </c>
      <c r="D542" t="s">
        <v>55</v>
      </c>
      <c r="E542">
        <f>_xlfn.XLOOKUP(D542,Worksheet!$C$3:$C$32,Worksheet!$M$3:$M$32)</f>
        <v>106.9</v>
      </c>
      <c r="F542" s="19">
        <f>_xlfn.XLOOKUP(D542,Worksheet!$C$3:$C$32,Worksheet!$S$3:$S$32)</f>
        <v>0.62195121951219512</v>
      </c>
    </row>
    <row r="543" spans="1:6" x14ac:dyDescent="0.2">
      <c r="A543" t="s">
        <v>550</v>
      </c>
      <c r="B543" s="4">
        <v>44640</v>
      </c>
      <c r="C543">
        <v>4.4000000000000004</v>
      </c>
      <c r="D543" t="s">
        <v>102</v>
      </c>
      <c r="E543">
        <f>_xlfn.XLOOKUP(D543,Worksheet!$C$3:$C$32,Worksheet!$M$3:$M$32)</f>
        <v>112.3</v>
      </c>
      <c r="F543" s="19">
        <f>_xlfn.XLOOKUP(D543,Worksheet!$C$3:$C$32,Worksheet!$S$3:$S$32)</f>
        <v>0.41463414634146339</v>
      </c>
    </row>
    <row r="544" spans="1:6" x14ac:dyDescent="0.2">
      <c r="A544" t="s">
        <v>550</v>
      </c>
      <c r="B544" s="4">
        <v>44642</v>
      </c>
      <c r="C544">
        <v>5.9</v>
      </c>
      <c r="D544" t="s">
        <v>104</v>
      </c>
      <c r="E544">
        <f>_xlfn.XLOOKUP(D544,Worksheet!$C$3:$C$32,Worksheet!$M$3:$M$32)</f>
        <v>112.5</v>
      </c>
      <c r="F544" s="19">
        <f>_xlfn.XLOOKUP(D544,Worksheet!$C$3:$C$32,Worksheet!$S$3:$S$32)</f>
        <v>0.26829268292682928</v>
      </c>
    </row>
    <row r="545" spans="1:6" x14ac:dyDescent="0.2">
      <c r="A545" t="s">
        <v>550</v>
      </c>
      <c r="B545" s="4">
        <v>44643</v>
      </c>
      <c r="C545" t="s">
        <v>91</v>
      </c>
      <c r="D545" t="s">
        <v>120</v>
      </c>
      <c r="E545">
        <f>_xlfn.XLOOKUP(D545,Worksheet!$C$3:$C$32,Worksheet!$M$3:$M$32)</f>
        <v>109.1</v>
      </c>
      <c r="F545" s="19">
        <f>_xlfn.XLOOKUP(D545,Worksheet!$C$3:$C$32,Worksheet!$S$3:$S$32)</f>
        <v>0.64634146341463417</v>
      </c>
    </row>
    <row r="546" spans="1:6" x14ac:dyDescent="0.2">
      <c r="A546" t="s">
        <v>550</v>
      </c>
      <c r="B546" s="4">
        <v>44645</v>
      </c>
      <c r="C546">
        <v>0.1</v>
      </c>
      <c r="D546" t="s">
        <v>78</v>
      </c>
      <c r="E546">
        <f>_xlfn.XLOOKUP(D546,Worksheet!$C$3:$C$32,Worksheet!$M$3:$M$32)</f>
        <v>114.9</v>
      </c>
      <c r="F546" s="19">
        <f>_xlfn.XLOOKUP(D546,Worksheet!$C$3:$C$32,Worksheet!$S$3:$S$32)</f>
        <v>0.52439024390243905</v>
      </c>
    </row>
    <row r="547" spans="1:6" x14ac:dyDescent="0.2">
      <c r="A547" t="s">
        <v>550</v>
      </c>
      <c r="B547" s="4">
        <v>44647</v>
      </c>
      <c r="C547">
        <v>8.5</v>
      </c>
      <c r="D547" t="s">
        <v>155</v>
      </c>
      <c r="E547">
        <f>_xlfn.XLOOKUP(D547,Worksheet!$C$3:$C$32,Worksheet!$M$3:$M$32)</f>
        <v>114.5</v>
      </c>
      <c r="F547" s="19">
        <f>_xlfn.XLOOKUP(D547,Worksheet!$C$3:$C$32,Worksheet!$S$3:$S$32)</f>
        <v>0.42682926829268292</v>
      </c>
    </row>
    <row r="548" spans="1:6" x14ac:dyDescent="0.2">
      <c r="A548" t="s">
        <v>550</v>
      </c>
      <c r="B548" s="4">
        <v>44648</v>
      </c>
      <c r="C548" t="s">
        <v>91</v>
      </c>
      <c r="D548" t="s">
        <v>42</v>
      </c>
      <c r="E548">
        <f>_xlfn.XLOOKUP(D548,Worksheet!$C$3:$C$32,Worksheet!$M$3:$M$32)</f>
        <v>109</v>
      </c>
      <c r="F548" s="19">
        <f>_xlfn.XLOOKUP(D548,Worksheet!$C$3:$C$32,Worksheet!$S$3:$S$32)</f>
        <v>0.68292682926829273</v>
      </c>
    </row>
    <row r="549" spans="1:6" x14ac:dyDescent="0.2">
      <c r="A549" t="s">
        <v>550</v>
      </c>
      <c r="B549" s="4">
        <v>44650</v>
      </c>
      <c r="C549">
        <v>12.4</v>
      </c>
      <c r="D549" t="s">
        <v>99</v>
      </c>
      <c r="E549">
        <f>_xlfn.XLOOKUP(D549,Worksheet!$C$3:$C$32,Worksheet!$M$3:$M$32)</f>
        <v>107.3</v>
      </c>
      <c r="F549" s="19">
        <f>_xlfn.XLOOKUP(D549,Worksheet!$C$3:$C$32,Worksheet!$S$3:$S$32)</f>
        <v>0.78048780487804881</v>
      </c>
    </row>
    <row r="550" spans="1:6" x14ac:dyDescent="0.2">
      <c r="A550" t="s">
        <v>550</v>
      </c>
      <c r="B550" s="4">
        <v>44653</v>
      </c>
      <c r="C550">
        <v>11</v>
      </c>
      <c r="D550" t="s">
        <v>118</v>
      </c>
      <c r="E550">
        <f>_xlfn.XLOOKUP(D550,Worksheet!$C$3:$C$32,Worksheet!$M$3:$M$32)</f>
        <v>110.5</v>
      </c>
      <c r="F550" s="19">
        <f>_xlfn.XLOOKUP(D550,Worksheet!$C$3:$C$32,Worksheet!$S$3:$S$32)</f>
        <v>0.59756097560975607</v>
      </c>
    </row>
    <row r="551" spans="1:6" x14ac:dyDescent="0.2">
      <c r="A551" t="s">
        <v>550</v>
      </c>
      <c r="B551" s="4">
        <v>44654</v>
      </c>
      <c r="C551">
        <v>6.3</v>
      </c>
      <c r="D551" t="s">
        <v>66</v>
      </c>
      <c r="E551">
        <f>_xlfn.XLOOKUP(D551,Worksheet!$C$3:$C$32,Worksheet!$M$3:$M$32)</f>
        <v>115.3</v>
      </c>
      <c r="F551" s="19">
        <f>_xlfn.XLOOKUP(D551,Worksheet!$C$3:$C$32,Worksheet!$S$3:$S$32)</f>
        <v>0.36585365853658536</v>
      </c>
    </row>
    <row r="552" spans="1:6" x14ac:dyDescent="0.2">
      <c r="A552" t="s">
        <v>550</v>
      </c>
      <c r="B552" s="4">
        <v>44658</v>
      </c>
      <c r="C552">
        <v>10.9</v>
      </c>
      <c r="D552" t="s">
        <v>62</v>
      </c>
      <c r="E552">
        <f>_xlfn.XLOOKUP(D552,Worksheet!$C$3:$C$32,Worksheet!$M$3:$M$32)</f>
        <v>113.3</v>
      </c>
      <c r="F552" s="19">
        <f>_xlfn.XLOOKUP(D552,Worksheet!$C$3:$C$32,Worksheet!$S$3:$S$32)</f>
        <v>0.40243902439024393</v>
      </c>
    </row>
    <row r="553" spans="1:6" x14ac:dyDescent="0.2">
      <c r="A553" t="s">
        <v>550</v>
      </c>
      <c r="B553" s="4">
        <v>44660</v>
      </c>
      <c r="C553">
        <v>13</v>
      </c>
      <c r="D553" t="s">
        <v>102</v>
      </c>
      <c r="E553">
        <f>_xlfn.XLOOKUP(D553,Worksheet!$C$3:$C$32,Worksheet!$M$3:$M$32)</f>
        <v>112.3</v>
      </c>
      <c r="F553" s="19">
        <f>_xlfn.XLOOKUP(D553,Worksheet!$C$3:$C$32,Worksheet!$S$3:$S$32)</f>
        <v>0.41463414634146339</v>
      </c>
    </row>
    <row r="554" spans="1:6" x14ac:dyDescent="0.2">
      <c r="A554" t="s">
        <v>550</v>
      </c>
      <c r="B554" s="4">
        <v>44661</v>
      </c>
      <c r="C554">
        <v>10.1</v>
      </c>
      <c r="D554" t="s">
        <v>74</v>
      </c>
      <c r="E554">
        <f>_xlfn.XLOOKUP(D554,Worksheet!$C$3:$C$32,Worksheet!$M$3:$M$32)</f>
        <v>113</v>
      </c>
      <c r="F554" s="19">
        <f>_xlfn.XLOOKUP(D554,Worksheet!$C$3:$C$32,Worksheet!$S$3:$S$32)</f>
        <v>0.43902439024390244</v>
      </c>
    </row>
    <row r="555" spans="1:6" x14ac:dyDescent="0.2">
      <c r="A555" t="s">
        <v>550</v>
      </c>
      <c r="B555" s="4">
        <v>44667</v>
      </c>
      <c r="C555">
        <v>18.899999999999999</v>
      </c>
      <c r="D555" t="s">
        <v>34</v>
      </c>
      <c r="E555">
        <f>_xlfn.XLOOKUP(D555,Worksheet!$C$3:$C$32,Worksheet!$M$3:$M$32)</f>
        <v>112.1</v>
      </c>
      <c r="F555" s="19">
        <f>_xlfn.XLOOKUP(D555,Worksheet!$C$3:$C$32,Worksheet!$S$3:$S$32)</f>
        <v>0.58536585365853655</v>
      </c>
    </row>
    <row r="556" spans="1:6" x14ac:dyDescent="0.2">
      <c r="A556" t="s">
        <v>550</v>
      </c>
      <c r="B556" s="4">
        <v>44669</v>
      </c>
      <c r="C556">
        <v>8.1</v>
      </c>
      <c r="D556" t="s">
        <v>34</v>
      </c>
      <c r="E556">
        <f>_xlfn.XLOOKUP(D556,Worksheet!$C$3:$C$32,Worksheet!$M$3:$M$32)</f>
        <v>112.1</v>
      </c>
      <c r="F556" s="19">
        <f>_xlfn.XLOOKUP(D556,Worksheet!$C$3:$C$32,Worksheet!$S$3:$S$32)</f>
        <v>0.58536585365853655</v>
      </c>
    </row>
    <row r="557" spans="1:6" x14ac:dyDescent="0.2">
      <c r="A557" t="s">
        <v>550</v>
      </c>
      <c r="B557" s="4">
        <v>44672</v>
      </c>
      <c r="C557">
        <v>6.6</v>
      </c>
      <c r="D557" t="s">
        <v>34</v>
      </c>
      <c r="E557">
        <f>_xlfn.XLOOKUP(D557,Worksheet!$C$3:$C$32,Worksheet!$M$3:$M$32)</f>
        <v>112.1</v>
      </c>
      <c r="F557" s="19">
        <f>_xlfn.XLOOKUP(D557,Worksheet!$C$3:$C$32,Worksheet!$S$3:$S$32)</f>
        <v>0.58536585365853655</v>
      </c>
    </row>
    <row r="558" spans="1:6" x14ac:dyDescent="0.2">
      <c r="A558" t="s">
        <v>550</v>
      </c>
      <c r="B558" s="4">
        <v>44675</v>
      </c>
      <c r="C558">
        <v>15.9</v>
      </c>
      <c r="D558" t="s">
        <v>34</v>
      </c>
      <c r="E558">
        <f>_xlfn.XLOOKUP(D558,Worksheet!$C$3:$C$32,Worksheet!$M$3:$M$32)</f>
        <v>112.1</v>
      </c>
      <c r="F558" s="19">
        <f>_xlfn.XLOOKUP(D558,Worksheet!$C$3:$C$32,Worksheet!$S$3:$S$32)</f>
        <v>0.58536585365853655</v>
      </c>
    </row>
    <row r="559" spans="1:6" x14ac:dyDescent="0.2">
      <c r="A559" t="s">
        <v>550</v>
      </c>
      <c r="B559" s="4">
        <v>44678</v>
      </c>
      <c r="C559">
        <v>11.3</v>
      </c>
      <c r="D559" t="s">
        <v>34</v>
      </c>
      <c r="E559">
        <f>_xlfn.XLOOKUP(D559,Worksheet!$C$3:$C$32,Worksheet!$M$3:$M$32)</f>
        <v>112.1</v>
      </c>
      <c r="F559" s="19">
        <f>_xlfn.XLOOKUP(D559,Worksheet!$C$3:$C$32,Worksheet!$S$3:$S$32)</f>
        <v>0.58536585365853655</v>
      </c>
    </row>
    <row r="560" spans="1:6" x14ac:dyDescent="0.2">
      <c r="A560" t="s">
        <v>550</v>
      </c>
      <c r="B560" s="4">
        <v>44682</v>
      </c>
      <c r="C560">
        <v>6.3</v>
      </c>
      <c r="D560" t="s">
        <v>42</v>
      </c>
      <c r="E560">
        <f>_xlfn.XLOOKUP(D560,Worksheet!$C$3:$C$32,Worksheet!$M$3:$M$32)</f>
        <v>109</v>
      </c>
      <c r="F560" s="19">
        <f>_xlfn.XLOOKUP(D560,Worksheet!$C$3:$C$32,Worksheet!$S$3:$S$32)</f>
        <v>0.68292682926829273</v>
      </c>
    </row>
    <row r="561" spans="1:6" x14ac:dyDescent="0.2">
      <c r="A561" t="s">
        <v>550</v>
      </c>
      <c r="B561" s="4">
        <v>44684</v>
      </c>
      <c r="C561">
        <v>6.7</v>
      </c>
      <c r="D561" t="s">
        <v>42</v>
      </c>
      <c r="E561">
        <f>_xlfn.XLOOKUP(D561,Worksheet!$C$3:$C$32,Worksheet!$M$3:$M$32)</f>
        <v>109</v>
      </c>
      <c r="F561" s="19">
        <f>_xlfn.XLOOKUP(D561,Worksheet!$C$3:$C$32,Worksheet!$S$3:$S$32)</f>
        <v>0.68292682926829273</v>
      </c>
    </row>
    <row r="562" spans="1:6" x14ac:dyDescent="0.2">
      <c r="A562" t="s">
        <v>550</v>
      </c>
      <c r="B562" s="4">
        <v>44688</v>
      </c>
      <c r="C562">
        <v>5.5</v>
      </c>
      <c r="D562" t="s">
        <v>42</v>
      </c>
      <c r="E562">
        <f>_xlfn.XLOOKUP(D562,Worksheet!$C$3:$C$32,Worksheet!$M$3:$M$32)</f>
        <v>109</v>
      </c>
      <c r="F562" s="19">
        <f>_xlfn.XLOOKUP(D562,Worksheet!$C$3:$C$32,Worksheet!$S$3:$S$32)</f>
        <v>0.68292682926829273</v>
      </c>
    </row>
    <row r="563" spans="1:6" x14ac:dyDescent="0.2">
      <c r="A563" t="s">
        <v>550</v>
      </c>
      <c r="B563" s="4">
        <v>44690</v>
      </c>
      <c r="C563">
        <v>4.9000000000000004</v>
      </c>
      <c r="D563" t="s">
        <v>42</v>
      </c>
      <c r="E563">
        <f>_xlfn.XLOOKUP(D563,Worksheet!$C$3:$C$32,Worksheet!$M$3:$M$32)</f>
        <v>109</v>
      </c>
      <c r="F563" s="19">
        <f>_xlfn.XLOOKUP(D563,Worksheet!$C$3:$C$32,Worksheet!$S$3:$S$32)</f>
        <v>0.68292682926829273</v>
      </c>
    </row>
    <row r="564" spans="1:6" x14ac:dyDescent="0.2">
      <c r="A564" t="s">
        <v>550</v>
      </c>
      <c r="B564" s="4">
        <v>44692</v>
      </c>
      <c r="C564">
        <v>3.5</v>
      </c>
      <c r="D564" t="s">
        <v>42</v>
      </c>
      <c r="E564">
        <f>_xlfn.XLOOKUP(D564,Worksheet!$C$3:$C$32,Worksheet!$M$3:$M$32)</f>
        <v>109</v>
      </c>
      <c r="F564" s="19">
        <f>_xlfn.XLOOKUP(D564,Worksheet!$C$3:$C$32,Worksheet!$S$3:$S$32)</f>
        <v>0.68292682926829273</v>
      </c>
    </row>
    <row r="565" spans="1:6" x14ac:dyDescent="0.2">
      <c r="A565" t="s">
        <v>550</v>
      </c>
      <c r="B565" s="4">
        <v>44694</v>
      </c>
      <c r="C565">
        <v>13.3</v>
      </c>
      <c r="D565" t="s">
        <v>42</v>
      </c>
      <c r="E565">
        <f>_xlfn.XLOOKUP(D565,Worksheet!$C$3:$C$32,Worksheet!$M$3:$M$32)</f>
        <v>109</v>
      </c>
      <c r="F565" s="19">
        <f>_xlfn.XLOOKUP(D565,Worksheet!$C$3:$C$32,Worksheet!$S$3:$S$32)</f>
        <v>0.68292682926829273</v>
      </c>
    </row>
    <row r="566" spans="1:6" x14ac:dyDescent="0.2">
      <c r="A566" t="s">
        <v>550</v>
      </c>
      <c r="B566" s="4">
        <v>44699</v>
      </c>
      <c r="C566">
        <v>12.3</v>
      </c>
      <c r="D566" t="s">
        <v>49</v>
      </c>
      <c r="E566">
        <f>_xlfn.XLOOKUP(D566,Worksheet!$C$3:$C$32,Worksheet!$M$3:$M$32)</f>
        <v>109.4</v>
      </c>
      <c r="F566" s="19">
        <f>_xlfn.XLOOKUP(D566,Worksheet!$C$3:$C$32,Worksheet!$S$3:$S$32)</f>
        <v>0.63414634146341464</v>
      </c>
    </row>
    <row r="567" spans="1:6" x14ac:dyDescent="0.2">
      <c r="A567" t="s">
        <v>550</v>
      </c>
      <c r="B567" s="4">
        <v>44701</v>
      </c>
      <c r="C567">
        <v>1.1000000000000001</v>
      </c>
      <c r="D567" t="s">
        <v>49</v>
      </c>
      <c r="E567">
        <f>_xlfn.XLOOKUP(D567,Worksheet!$C$3:$C$32,Worksheet!$M$3:$M$32)</f>
        <v>109.4</v>
      </c>
      <c r="F567" s="19">
        <f>_xlfn.XLOOKUP(D567,Worksheet!$C$3:$C$32,Worksheet!$S$3:$S$32)</f>
        <v>0.63414634146341464</v>
      </c>
    </row>
    <row r="568" spans="1:6" x14ac:dyDescent="0.2">
      <c r="A568" t="s">
        <v>550</v>
      </c>
      <c r="B568" s="4">
        <v>44703</v>
      </c>
      <c r="C568">
        <v>8.5</v>
      </c>
      <c r="D568" t="s">
        <v>49</v>
      </c>
      <c r="E568">
        <f>_xlfn.XLOOKUP(D568,Worksheet!$C$3:$C$32,Worksheet!$M$3:$M$32)</f>
        <v>109.4</v>
      </c>
      <c r="F568" s="19">
        <f>_xlfn.XLOOKUP(D568,Worksheet!$C$3:$C$32,Worksheet!$S$3:$S$32)</f>
        <v>0.63414634146341464</v>
      </c>
    </row>
    <row r="569" spans="1:6" x14ac:dyDescent="0.2">
      <c r="A569" t="s">
        <v>550</v>
      </c>
      <c r="B569" s="4">
        <v>44705</v>
      </c>
      <c r="C569">
        <v>10.8</v>
      </c>
      <c r="D569" t="s">
        <v>49</v>
      </c>
      <c r="E569">
        <f>_xlfn.XLOOKUP(D569,Worksheet!$C$3:$C$32,Worksheet!$M$3:$M$32)</f>
        <v>109.4</v>
      </c>
      <c r="F569" s="19">
        <f>_xlfn.XLOOKUP(D569,Worksheet!$C$3:$C$32,Worksheet!$S$3:$S$32)</f>
        <v>0.63414634146341464</v>
      </c>
    </row>
    <row r="570" spans="1:6" x14ac:dyDescent="0.2">
      <c r="A570" t="s">
        <v>550</v>
      </c>
      <c r="B570" s="4">
        <v>44707</v>
      </c>
      <c r="C570">
        <v>18.7</v>
      </c>
      <c r="D570" t="s">
        <v>49</v>
      </c>
      <c r="E570">
        <f>_xlfn.XLOOKUP(D570,Worksheet!$C$3:$C$32,Worksheet!$M$3:$M$32)</f>
        <v>109.4</v>
      </c>
      <c r="F570" s="19">
        <f>_xlfn.XLOOKUP(D570,Worksheet!$C$3:$C$32,Worksheet!$S$3:$S$32)</f>
        <v>0.63414634146341464</v>
      </c>
    </row>
    <row r="571" spans="1:6" x14ac:dyDescent="0.2">
      <c r="A571" t="s">
        <v>550</v>
      </c>
      <c r="B571" s="4">
        <v>44714</v>
      </c>
      <c r="C571">
        <v>-0.2</v>
      </c>
      <c r="D571" t="s">
        <v>55</v>
      </c>
      <c r="E571">
        <f>_xlfn.XLOOKUP(D571,Worksheet!$C$3:$C$32,Worksheet!$M$3:$M$32)</f>
        <v>106.9</v>
      </c>
      <c r="F571" s="19">
        <f>_xlfn.XLOOKUP(D571,Worksheet!$C$3:$C$32,Worksheet!$S$3:$S$32)</f>
        <v>0.62195121951219512</v>
      </c>
    </row>
    <row r="572" spans="1:6" x14ac:dyDescent="0.2">
      <c r="A572" t="s">
        <v>550</v>
      </c>
      <c r="B572" s="4">
        <v>44717</v>
      </c>
      <c r="C572">
        <v>12.8</v>
      </c>
      <c r="D572" t="s">
        <v>55</v>
      </c>
      <c r="E572">
        <f>_xlfn.XLOOKUP(D572,Worksheet!$C$3:$C$32,Worksheet!$M$3:$M$32)</f>
        <v>106.9</v>
      </c>
      <c r="F572" s="19">
        <f>_xlfn.XLOOKUP(D572,Worksheet!$C$3:$C$32,Worksheet!$S$3:$S$32)</f>
        <v>0.62195121951219512</v>
      </c>
    </row>
    <row r="573" spans="1:6" x14ac:dyDescent="0.2">
      <c r="A573" t="s">
        <v>550</v>
      </c>
      <c r="B573" s="4">
        <v>44720</v>
      </c>
      <c r="C573">
        <v>-0.4</v>
      </c>
      <c r="D573" t="s">
        <v>55</v>
      </c>
      <c r="E573">
        <f>_xlfn.XLOOKUP(D573,Worksheet!$C$3:$C$32,Worksheet!$M$3:$M$32)</f>
        <v>106.9</v>
      </c>
      <c r="F573" s="19">
        <f>_xlfn.XLOOKUP(D573,Worksheet!$C$3:$C$32,Worksheet!$S$3:$S$32)</f>
        <v>0.62195121951219512</v>
      </c>
    </row>
    <row r="574" spans="1:6" x14ac:dyDescent="0.2">
      <c r="A574" t="s">
        <v>550</v>
      </c>
      <c r="B574" s="4">
        <v>44722</v>
      </c>
      <c r="C574">
        <v>8.6</v>
      </c>
      <c r="D574" t="s">
        <v>55</v>
      </c>
      <c r="E574">
        <f>_xlfn.XLOOKUP(D574,Worksheet!$C$3:$C$32,Worksheet!$M$3:$M$32)</f>
        <v>106.9</v>
      </c>
      <c r="F574" s="19">
        <f>_xlfn.XLOOKUP(D574,Worksheet!$C$3:$C$32,Worksheet!$S$3:$S$32)</f>
        <v>0.62195121951219512</v>
      </c>
    </row>
    <row r="575" spans="1:6" x14ac:dyDescent="0.2">
      <c r="A575" t="s">
        <v>550</v>
      </c>
      <c r="B575" s="4">
        <v>44725</v>
      </c>
      <c r="C575">
        <v>8.3000000000000007</v>
      </c>
      <c r="D575" t="s">
        <v>55</v>
      </c>
      <c r="E575">
        <f>_xlfn.XLOOKUP(D575,Worksheet!$C$3:$C$32,Worksheet!$M$3:$M$32)</f>
        <v>106.9</v>
      </c>
      <c r="F575" s="19">
        <f>_xlfn.XLOOKUP(D575,Worksheet!$C$3:$C$32,Worksheet!$S$3:$S$32)</f>
        <v>0.62195121951219512</v>
      </c>
    </row>
    <row r="576" spans="1:6" x14ac:dyDescent="0.2">
      <c r="A576" t="s">
        <v>550</v>
      </c>
      <c r="B576" s="4">
        <v>44728</v>
      </c>
      <c r="C576">
        <v>15.8</v>
      </c>
      <c r="D576" t="s">
        <v>55</v>
      </c>
      <c r="E576">
        <f>_xlfn.XLOOKUP(D576,Worksheet!$C$3:$C$32,Worksheet!$M$3:$M$32)</f>
        <v>106.9</v>
      </c>
      <c r="F576" s="19">
        <f>_xlfn.XLOOKUP(D576,Worksheet!$C$3:$C$32,Worksheet!$S$3:$S$32)</f>
        <v>0.62195121951219512</v>
      </c>
    </row>
    <row r="577" spans="1:6" x14ac:dyDescent="0.2">
      <c r="A577" t="s">
        <v>551</v>
      </c>
      <c r="B577" s="4">
        <v>44489</v>
      </c>
      <c r="C577">
        <v>3.9</v>
      </c>
      <c r="D577" t="s">
        <v>34</v>
      </c>
      <c r="E577">
        <f>_xlfn.XLOOKUP(D577,Worksheet!$C$3:$C$32,Worksheet!$M$3:$M$32)</f>
        <v>112.1</v>
      </c>
      <c r="F577" s="19">
        <f>_xlfn.XLOOKUP(D577,Worksheet!$C$3:$C$32,Worksheet!$S$3:$S$32)</f>
        <v>0.58536585365853655</v>
      </c>
    </row>
    <row r="578" spans="1:6" x14ac:dyDescent="0.2">
      <c r="A578" t="s">
        <v>551</v>
      </c>
      <c r="B578" s="4">
        <v>44491</v>
      </c>
      <c r="C578">
        <v>11.8</v>
      </c>
      <c r="D578" t="s">
        <v>62</v>
      </c>
      <c r="E578">
        <f>_xlfn.XLOOKUP(D578,Worksheet!$C$3:$C$32,Worksheet!$M$3:$M$32)</f>
        <v>113.3</v>
      </c>
      <c r="F578" s="19">
        <f>_xlfn.XLOOKUP(D578,Worksheet!$C$3:$C$32,Worksheet!$S$3:$S$32)</f>
        <v>0.40243902439024393</v>
      </c>
    </row>
    <row r="579" spans="1:6" x14ac:dyDescent="0.2">
      <c r="A579" t="s">
        <v>551</v>
      </c>
      <c r="B579" s="4">
        <v>44492</v>
      </c>
      <c r="C579">
        <v>16.899999999999999</v>
      </c>
      <c r="D579" t="s">
        <v>96</v>
      </c>
      <c r="E579">
        <f>_xlfn.XLOOKUP(D579,Worksheet!$C$3:$C$32,Worksheet!$M$3:$M$32)</f>
        <v>116.9</v>
      </c>
      <c r="F579" s="19">
        <f>_xlfn.XLOOKUP(D579,Worksheet!$C$3:$C$32,Worksheet!$S$3:$S$32)</f>
        <v>0.32926829268292684</v>
      </c>
    </row>
    <row r="580" spans="1:6" x14ac:dyDescent="0.2">
      <c r="A580" t="s">
        <v>551</v>
      </c>
      <c r="B580" s="4">
        <v>44496</v>
      </c>
      <c r="C580">
        <v>23.8</v>
      </c>
      <c r="D580" t="s">
        <v>66</v>
      </c>
      <c r="E580">
        <f>_xlfn.XLOOKUP(D580,Worksheet!$C$3:$C$32,Worksheet!$M$3:$M$32)</f>
        <v>115.3</v>
      </c>
      <c r="F580" s="19">
        <f>_xlfn.XLOOKUP(D580,Worksheet!$C$3:$C$32,Worksheet!$S$3:$S$32)</f>
        <v>0.36585365853658536</v>
      </c>
    </row>
    <row r="581" spans="1:6" x14ac:dyDescent="0.2">
      <c r="A581" t="s">
        <v>551</v>
      </c>
      <c r="B581" s="4">
        <v>44499</v>
      </c>
      <c r="C581">
        <v>19.7</v>
      </c>
      <c r="D581" t="s">
        <v>87</v>
      </c>
      <c r="E581">
        <f>_xlfn.XLOOKUP(D581,Worksheet!$C$3:$C$32,Worksheet!$M$3:$M$32)</f>
        <v>109.7</v>
      </c>
      <c r="F581" s="19">
        <f>_xlfn.XLOOKUP(D581,Worksheet!$C$3:$C$32,Worksheet!$S$3:$S$32)</f>
        <v>0.53658536585365857</v>
      </c>
    </row>
    <row r="582" spans="1:6" x14ac:dyDescent="0.2">
      <c r="A582" t="s">
        <v>551</v>
      </c>
      <c r="B582" s="4">
        <v>44502</v>
      </c>
      <c r="C582">
        <v>6.6</v>
      </c>
      <c r="D582" t="s">
        <v>74</v>
      </c>
      <c r="E582">
        <f>_xlfn.XLOOKUP(D582,Worksheet!$C$3:$C$32,Worksheet!$M$3:$M$32)</f>
        <v>113</v>
      </c>
      <c r="F582" s="19">
        <f>_xlfn.XLOOKUP(D582,Worksheet!$C$3:$C$32,Worksheet!$S$3:$S$32)</f>
        <v>0.43902439024390244</v>
      </c>
    </row>
    <row r="583" spans="1:6" x14ac:dyDescent="0.2">
      <c r="A583" t="s">
        <v>551</v>
      </c>
      <c r="B583" s="4">
        <v>44504</v>
      </c>
      <c r="C583">
        <v>22.3</v>
      </c>
      <c r="D583" t="s">
        <v>76</v>
      </c>
      <c r="E583">
        <f>_xlfn.XLOOKUP(D583,Worksheet!$C$3:$C$32,Worksheet!$M$3:$M$32)</f>
        <v>116.7</v>
      </c>
      <c r="F583" s="19">
        <f>_xlfn.XLOOKUP(D583,Worksheet!$C$3:$C$32,Worksheet!$S$3:$S$32)</f>
        <v>0.24390243902439024</v>
      </c>
    </row>
    <row r="584" spans="1:6" x14ac:dyDescent="0.2">
      <c r="A584" t="s">
        <v>551</v>
      </c>
      <c r="B584" s="4">
        <v>44506</v>
      </c>
      <c r="C584">
        <v>30.2</v>
      </c>
      <c r="D584" t="s">
        <v>78</v>
      </c>
      <c r="E584">
        <f>_xlfn.XLOOKUP(D584,Worksheet!$C$3:$C$32,Worksheet!$M$3:$M$32)</f>
        <v>114.9</v>
      </c>
      <c r="F584" s="19">
        <f>_xlfn.XLOOKUP(D584,Worksheet!$C$3:$C$32,Worksheet!$S$3:$S$32)</f>
        <v>0.52439024390243905</v>
      </c>
    </row>
    <row r="585" spans="1:6" x14ac:dyDescent="0.2">
      <c r="A585" t="s">
        <v>551</v>
      </c>
      <c r="B585" s="4">
        <v>44508</v>
      </c>
      <c r="C585">
        <v>11.2</v>
      </c>
      <c r="D585" t="s">
        <v>66</v>
      </c>
      <c r="E585">
        <f>_xlfn.XLOOKUP(D585,Worksheet!$C$3:$C$32,Worksheet!$M$3:$M$32)</f>
        <v>115.3</v>
      </c>
      <c r="F585" s="19">
        <f>_xlfn.XLOOKUP(D585,Worksheet!$C$3:$C$32,Worksheet!$S$3:$S$32)</f>
        <v>0.36585365853658536</v>
      </c>
    </row>
    <row r="586" spans="1:6" x14ac:dyDescent="0.2">
      <c r="A586" t="s">
        <v>551</v>
      </c>
      <c r="B586" s="4">
        <v>44510</v>
      </c>
      <c r="C586">
        <v>6.3</v>
      </c>
      <c r="D586" t="s">
        <v>96</v>
      </c>
      <c r="E586">
        <f>_xlfn.XLOOKUP(D586,Worksheet!$C$3:$C$32,Worksheet!$M$3:$M$32)</f>
        <v>116.9</v>
      </c>
      <c r="F586" s="19">
        <f>_xlfn.XLOOKUP(D586,Worksheet!$C$3:$C$32,Worksheet!$S$3:$S$32)</f>
        <v>0.32926829268292684</v>
      </c>
    </row>
    <row r="587" spans="1:6" x14ac:dyDescent="0.2">
      <c r="A587" t="s">
        <v>551</v>
      </c>
      <c r="B587" s="4">
        <v>44512</v>
      </c>
      <c r="C587">
        <v>10.9</v>
      </c>
      <c r="D587" t="s">
        <v>42</v>
      </c>
      <c r="E587">
        <f>_xlfn.XLOOKUP(D587,Worksheet!$C$3:$C$32,Worksheet!$M$3:$M$32)</f>
        <v>109</v>
      </c>
      <c r="F587" s="19">
        <f>_xlfn.XLOOKUP(D587,Worksheet!$C$3:$C$32,Worksheet!$S$3:$S$32)</f>
        <v>0.68292682926829273</v>
      </c>
    </row>
    <row r="588" spans="1:6" x14ac:dyDescent="0.2">
      <c r="A588" t="s">
        <v>551</v>
      </c>
      <c r="B588" s="4">
        <v>44514</v>
      </c>
      <c r="C588">
        <v>21.2</v>
      </c>
      <c r="D588" t="s">
        <v>76</v>
      </c>
      <c r="E588">
        <f>_xlfn.XLOOKUP(D588,Worksheet!$C$3:$C$32,Worksheet!$M$3:$M$32)</f>
        <v>116.7</v>
      </c>
      <c r="F588" s="19">
        <f>_xlfn.XLOOKUP(D588,Worksheet!$C$3:$C$32,Worksheet!$S$3:$S$32)</f>
        <v>0.24390243902439024</v>
      </c>
    </row>
    <row r="589" spans="1:6" x14ac:dyDescent="0.2">
      <c r="A589" t="s">
        <v>551</v>
      </c>
      <c r="B589" s="4">
        <v>44515</v>
      </c>
      <c r="C589">
        <v>24.6</v>
      </c>
      <c r="D589" t="s">
        <v>80</v>
      </c>
      <c r="E589">
        <f>_xlfn.XLOOKUP(D589,Worksheet!$C$3:$C$32,Worksheet!$M$3:$M$32)</f>
        <v>111.7</v>
      </c>
      <c r="F589" s="19">
        <f>_xlfn.XLOOKUP(D589,Worksheet!$C$3:$C$32,Worksheet!$S$3:$S$32)</f>
        <v>0.56097560975609762</v>
      </c>
    </row>
    <row r="590" spans="1:6" x14ac:dyDescent="0.2">
      <c r="A590" t="s">
        <v>551</v>
      </c>
      <c r="B590" s="4">
        <v>44517</v>
      </c>
      <c r="C590">
        <v>14.6</v>
      </c>
      <c r="D590" t="s">
        <v>49</v>
      </c>
      <c r="E590">
        <f>_xlfn.XLOOKUP(D590,Worksheet!$C$3:$C$32,Worksheet!$M$3:$M$32)</f>
        <v>109.4</v>
      </c>
      <c r="F590" s="19">
        <f>_xlfn.XLOOKUP(D590,Worksheet!$C$3:$C$32,Worksheet!$S$3:$S$32)</f>
        <v>0.63414634146341464</v>
      </c>
    </row>
    <row r="591" spans="1:6" x14ac:dyDescent="0.2">
      <c r="A591" t="s">
        <v>551</v>
      </c>
      <c r="B591" s="4">
        <v>44519</v>
      </c>
      <c r="C591">
        <v>5.0999999999999996</v>
      </c>
      <c r="D591" t="s">
        <v>49</v>
      </c>
      <c r="E591">
        <f>_xlfn.XLOOKUP(D591,Worksheet!$C$3:$C$32,Worksheet!$M$3:$M$32)</f>
        <v>109.4</v>
      </c>
      <c r="F591" s="19">
        <f>_xlfn.XLOOKUP(D591,Worksheet!$C$3:$C$32,Worksheet!$S$3:$S$32)</f>
        <v>0.63414634146341464</v>
      </c>
    </row>
    <row r="592" spans="1:6" x14ac:dyDescent="0.2">
      <c r="A592" t="s">
        <v>551</v>
      </c>
      <c r="B592" s="4">
        <v>44521</v>
      </c>
      <c r="C592">
        <v>17.100000000000001</v>
      </c>
      <c r="D592" t="s">
        <v>34</v>
      </c>
      <c r="E592">
        <f>_xlfn.XLOOKUP(D592,Worksheet!$C$3:$C$32,Worksheet!$M$3:$M$32)</f>
        <v>112.1</v>
      </c>
      <c r="F592" s="19">
        <f>_xlfn.XLOOKUP(D592,Worksheet!$C$3:$C$32,Worksheet!$S$3:$S$32)</f>
        <v>0.58536585365853655</v>
      </c>
    </row>
    <row r="593" spans="1:6" x14ac:dyDescent="0.2">
      <c r="A593" t="s">
        <v>551</v>
      </c>
      <c r="B593" s="4">
        <v>44522</v>
      </c>
      <c r="C593">
        <v>12.4</v>
      </c>
      <c r="D593" t="s">
        <v>102</v>
      </c>
      <c r="E593">
        <f>_xlfn.XLOOKUP(D593,Worksheet!$C$3:$C$32,Worksheet!$M$3:$M$32)</f>
        <v>112.3</v>
      </c>
      <c r="F593" s="19">
        <f>_xlfn.XLOOKUP(D593,Worksheet!$C$3:$C$32,Worksheet!$S$3:$S$32)</f>
        <v>0.41463414634146339</v>
      </c>
    </row>
    <row r="594" spans="1:6" x14ac:dyDescent="0.2">
      <c r="A594" t="s">
        <v>551</v>
      </c>
      <c r="B594" s="4">
        <v>44524</v>
      </c>
      <c r="C594">
        <v>25.4</v>
      </c>
      <c r="D594" t="s">
        <v>87</v>
      </c>
      <c r="E594">
        <f>_xlfn.XLOOKUP(D594,Worksheet!$C$3:$C$32,Worksheet!$M$3:$M$32)</f>
        <v>109.7</v>
      </c>
      <c r="F594" s="19">
        <f>_xlfn.XLOOKUP(D594,Worksheet!$C$3:$C$32,Worksheet!$S$3:$S$32)</f>
        <v>0.53658536585365857</v>
      </c>
    </row>
    <row r="595" spans="1:6" x14ac:dyDescent="0.2">
      <c r="A595" t="s">
        <v>551</v>
      </c>
      <c r="B595" s="4">
        <v>44526</v>
      </c>
      <c r="C595">
        <v>19.8</v>
      </c>
      <c r="D595" t="s">
        <v>110</v>
      </c>
      <c r="E595">
        <f>_xlfn.XLOOKUP(D595,Worksheet!$C$3:$C$32,Worksheet!$M$3:$M$32)</f>
        <v>110.5</v>
      </c>
      <c r="F595" s="19">
        <f>_xlfn.XLOOKUP(D595,Worksheet!$C$3:$C$32,Worksheet!$S$3:$S$32)</f>
        <v>0.45121951219512196</v>
      </c>
    </row>
    <row r="596" spans="1:6" x14ac:dyDescent="0.2">
      <c r="A596" t="s">
        <v>551</v>
      </c>
      <c r="B596" s="4">
        <v>44527</v>
      </c>
      <c r="C596">
        <v>20.100000000000001</v>
      </c>
      <c r="D596" t="s">
        <v>85</v>
      </c>
      <c r="E596">
        <f>_xlfn.XLOOKUP(D596,Worksheet!$C$3:$C$32,Worksheet!$M$3:$M$32)</f>
        <v>112.8</v>
      </c>
      <c r="F596" s="19">
        <f>_xlfn.XLOOKUP(D596,Worksheet!$C$3:$C$32,Worksheet!$S$3:$S$32)</f>
        <v>0.53658536585365857</v>
      </c>
    </row>
    <row r="597" spans="1:6" x14ac:dyDescent="0.2">
      <c r="A597" t="s">
        <v>551</v>
      </c>
      <c r="B597" s="4">
        <v>44530</v>
      </c>
      <c r="C597">
        <v>5.6</v>
      </c>
      <c r="D597" t="s">
        <v>33</v>
      </c>
      <c r="E597">
        <f>_xlfn.XLOOKUP(D597,Worksheet!$C$3:$C$32,Worksheet!$M$3:$M$32)</f>
        <v>106.9</v>
      </c>
      <c r="F597" s="19">
        <f>_xlfn.XLOOKUP(D597,Worksheet!$C$3:$C$32,Worksheet!$S$3:$S$32)</f>
        <v>0.64634146341463417</v>
      </c>
    </row>
    <row r="598" spans="1:6" x14ac:dyDescent="0.2">
      <c r="A598" t="s">
        <v>551</v>
      </c>
      <c r="B598" s="4">
        <v>44532</v>
      </c>
      <c r="D598" t="s">
        <v>89</v>
      </c>
      <c r="E598">
        <f>_xlfn.XLOOKUP(D598,Worksheet!$C$3:$C$32,Worksheet!$M$3:$M$32)</f>
        <v>113.8</v>
      </c>
      <c r="F598" s="19">
        <f>_xlfn.XLOOKUP(D598,Worksheet!$C$3:$C$32,Worksheet!$S$3:$S$32)</f>
        <v>0.28048780487804881</v>
      </c>
    </row>
    <row r="599" spans="1:6" x14ac:dyDescent="0.2">
      <c r="A599" t="s">
        <v>551</v>
      </c>
      <c r="B599" s="4">
        <v>44533</v>
      </c>
      <c r="D599" t="s">
        <v>33</v>
      </c>
      <c r="E599">
        <f>_xlfn.XLOOKUP(D599,Worksheet!$C$3:$C$32,Worksheet!$M$3:$M$32)</f>
        <v>106.9</v>
      </c>
      <c r="F599" s="19">
        <f>_xlfn.XLOOKUP(D599,Worksheet!$C$3:$C$32,Worksheet!$S$3:$S$32)</f>
        <v>0.64634146341463417</v>
      </c>
    </row>
    <row r="600" spans="1:6" x14ac:dyDescent="0.2">
      <c r="A600" t="s">
        <v>551</v>
      </c>
      <c r="B600" s="4">
        <v>44536</v>
      </c>
      <c r="D600" t="s">
        <v>102</v>
      </c>
      <c r="E600">
        <f>_xlfn.XLOOKUP(D600,Worksheet!$C$3:$C$32,Worksheet!$M$3:$M$32)</f>
        <v>112.3</v>
      </c>
      <c r="F600" s="19">
        <f>_xlfn.XLOOKUP(D600,Worksheet!$C$3:$C$32,Worksheet!$S$3:$S$32)</f>
        <v>0.41463414634146339</v>
      </c>
    </row>
    <row r="601" spans="1:6" x14ac:dyDescent="0.2">
      <c r="A601" t="s">
        <v>551</v>
      </c>
      <c r="B601" s="4">
        <v>44540</v>
      </c>
      <c r="D601" t="s">
        <v>55</v>
      </c>
      <c r="E601">
        <f>_xlfn.XLOOKUP(D601,Worksheet!$C$3:$C$32,Worksheet!$M$3:$M$32)</f>
        <v>106.9</v>
      </c>
      <c r="F601" s="19">
        <f>_xlfn.XLOOKUP(D601,Worksheet!$C$3:$C$32,Worksheet!$S$3:$S$32)</f>
        <v>0.62195121951219512</v>
      </c>
    </row>
    <row r="602" spans="1:6" x14ac:dyDescent="0.2">
      <c r="A602" t="s">
        <v>551</v>
      </c>
      <c r="B602" s="4">
        <v>44543</v>
      </c>
      <c r="D602" t="s">
        <v>64</v>
      </c>
      <c r="E602">
        <f>_xlfn.XLOOKUP(D602,Worksheet!$C$3:$C$32,Worksheet!$M$3:$M$32)</f>
        <v>110.1</v>
      </c>
      <c r="F602" s="19">
        <f>_xlfn.XLOOKUP(D602,Worksheet!$C$3:$C$32,Worksheet!$S$3:$S$32)</f>
        <v>0.51219512195121952</v>
      </c>
    </row>
    <row r="603" spans="1:6" x14ac:dyDescent="0.2">
      <c r="A603" t="s">
        <v>551</v>
      </c>
      <c r="B603" s="4">
        <v>44544</v>
      </c>
      <c r="D603" t="s">
        <v>96</v>
      </c>
      <c r="E603">
        <f>_xlfn.XLOOKUP(D603,Worksheet!$C$3:$C$32,Worksheet!$M$3:$M$32)</f>
        <v>116.9</v>
      </c>
      <c r="F603" s="19">
        <f>_xlfn.XLOOKUP(D603,Worksheet!$C$3:$C$32,Worksheet!$S$3:$S$32)</f>
        <v>0.32926829268292684</v>
      </c>
    </row>
    <row r="604" spans="1:6" x14ac:dyDescent="0.2">
      <c r="A604" t="s">
        <v>551</v>
      </c>
      <c r="B604" s="4">
        <v>44546</v>
      </c>
      <c r="D604" t="s">
        <v>155</v>
      </c>
      <c r="E604">
        <f>_xlfn.XLOOKUP(D604,Worksheet!$C$3:$C$32,Worksheet!$M$3:$M$32)</f>
        <v>114.5</v>
      </c>
      <c r="F604" s="19">
        <f>_xlfn.XLOOKUP(D604,Worksheet!$C$3:$C$32,Worksheet!$S$3:$S$32)</f>
        <v>0.42682926829268292</v>
      </c>
    </row>
    <row r="605" spans="1:6" x14ac:dyDescent="0.2">
      <c r="A605" t="s">
        <v>551</v>
      </c>
      <c r="B605" s="4">
        <v>44549</v>
      </c>
      <c r="C605">
        <v>11.6</v>
      </c>
      <c r="D605" t="s">
        <v>72</v>
      </c>
      <c r="E605">
        <f>_xlfn.XLOOKUP(D605,Worksheet!$C$3:$C$32,Worksheet!$M$3:$M$32)</f>
        <v>113.7</v>
      </c>
      <c r="F605" s="19">
        <f>_xlfn.XLOOKUP(D605,Worksheet!$C$3:$C$32,Worksheet!$S$3:$S$32)</f>
        <v>0.52439024390243905</v>
      </c>
    </row>
    <row r="606" spans="1:6" x14ac:dyDescent="0.2">
      <c r="A606" t="s">
        <v>551</v>
      </c>
      <c r="B606" s="4">
        <v>44551</v>
      </c>
      <c r="C606">
        <v>19.2</v>
      </c>
      <c r="D606" t="s">
        <v>62</v>
      </c>
      <c r="E606">
        <f>_xlfn.XLOOKUP(D606,Worksheet!$C$3:$C$32,Worksheet!$M$3:$M$32)</f>
        <v>113.3</v>
      </c>
      <c r="F606" s="19">
        <f>_xlfn.XLOOKUP(D606,Worksheet!$C$3:$C$32,Worksheet!$S$3:$S$32)</f>
        <v>0.40243902439024393</v>
      </c>
    </row>
    <row r="607" spans="1:6" x14ac:dyDescent="0.2">
      <c r="A607" t="s">
        <v>551</v>
      </c>
      <c r="B607" s="4">
        <v>44553</v>
      </c>
      <c r="C607">
        <v>26</v>
      </c>
      <c r="D607" t="s">
        <v>68</v>
      </c>
      <c r="E607">
        <f>_xlfn.XLOOKUP(D607,Worksheet!$C$3:$C$32,Worksheet!$M$3:$M$32)</f>
        <v>112.8</v>
      </c>
      <c r="F607" s="19">
        <f>_xlfn.XLOOKUP(D607,Worksheet!$C$3:$C$32,Worksheet!$S$3:$S$32)</f>
        <v>0.29268292682926828</v>
      </c>
    </row>
    <row r="608" spans="1:6" x14ac:dyDescent="0.2">
      <c r="A608" t="s">
        <v>551</v>
      </c>
      <c r="B608" s="4">
        <v>44555</v>
      </c>
      <c r="C608">
        <v>3.9</v>
      </c>
      <c r="D608" t="s">
        <v>33</v>
      </c>
      <c r="E608">
        <f>_xlfn.XLOOKUP(D608,Worksheet!$C$3:$C$32,Worksheet!$M$3:$M$32)</f>
        <v>106.9</v>
      </c>
      <c r="F608" s="19">
        <f>_xlfn.XLOOKUP(D608,Worksheet!$C$3:$C$32,Worksheet!$S$3:$S$32)</f>
        <v>0.64634146341463417</v>
      </c>
    </row>
    <row r="609" spans="1:6" x14ac:dyDescent="0.2">
      <c r="A609" t="s">
        <v>551</v>
      </c>
      <c r="B609" s="4">
        <v>44557</v>
      </c>
      <c r="C609">
        <v>23</v>
      </c>
      <c r="D609" t="s">
        <v>42</v>
      </c>
      <c r="E609">
        <f>_xlfn.XLOOKUP(D609,Worksheet!$C$3:$C$32,Worksheet!$M$3:$M$32)</f>
        <v>109</v>
      </c>
      <c r="F609" s="19">
        <f>_xlfn.XLOOKUP(D609,Worksheet!$C$3:$C$32,Worksheet!$S$3:$S$32)</f>
        <v>0.68292682926829273</v>
      </c>
    </row>
    <row r="610" spans="1:6" x14ac:dyDescent="0.2">
      <c r="A610" t="s">
        <v>551</v>
      </c>
      <c r="B610" s="4">
        <v>44559</v>
      </c>
      <c r="C610">
        <v>31.2</v>
      </c>
      <c r="D610" t="s">
        <v>68</v>
      </c>
      <c r="E610">
        <f>_xlfn.XLOOKUP(D610,Worksheet!$C$3:$C$32,Worksheet!$M$3:$M$32)</f>
        <v>112.8</v>
      </c>
      <c r="F610" s="19">
        <f>_xlfn.XLOOKUP(D610,Worksheet!$C$3:$C$32,Worksheet!$S$3:$S$32)</f>
        <v>0.29268292682926828</v>
      </c>
    </row>
    <row r="611" spans="1:6" x14ac:dyDescent="0.2">
      <c r="A611" t="s">
        <v>551</v>
      </c>
      <c r="B611" s="4">
        <v>44561</v>
      </c>
      <c r="C611">
        <v>10.4</v>
      </c>
      <c r="D611" t="s">
        <v>55</v>
      </c>
      <c r="E611">
        <f>_xlfn.XLOOKUP(D611,Worksheet!$C$3:$C$32,Worksheet!$M$3:$M$32)</f>
        <v>106.9</v>
      </c>
      <c r="F611" s="19">
        <f>_xlfn.XLOOKUP(D611,Worksheet!$C$3:$C$32,Worksheet!$S$3:$S$32)</f>
        <v>0.62195121951219512</v>
      </c>
    </row>
    <row r="612" spans="1:6" x14ac:dyDescent="0.2">
      <c r="A612" t="s">
        <v>551</v>
      </c>
      <c r="B612" s="4">
        <v>44563</v>
      </c>
      <c r="C612">
        <v>13.9</v>
      </c>
      <c r="D612" t="s">
        <v>72</v>
      </c>
      <c r="E612">
        <f>_xlfn.XLOOKUP(D612,Worksheet!$C$3:$C$32,Worksheet!$M$3:$M$32)</f>
        <v>113.7</v>
      </c>
      <c r="F612" s="19">
        <f>_xlfn.XLOOKUP(D612,Worksheet!$C$3:$C$32,Worksheet!$S$3:$S$32)</f>
        <v>0.52439024390243905</v>
      </c>
    </row>
    <row r="613" spans="1:6" x14ac:dyDescent="0.2">
      <c r="A613" t="s">
        <v>551</v>
      </c>
      <c r="B613" s="4">
        <v>44565</v>
      </c>
      <c r="C613">
        <v>23.3</v>
      </c>
      <c r="D613" t="s">
        <v>74</v>
      </c>
      <c r="E613">
        <f>_xlfn.XLOOKUP(D613,Worksheet!$C$3:$C$32,Worksheet!$M$3:$M$32)</f>
        <v>113</v>
      </c>
      <c r="F613" s="19">
        <f>_xlfn.XLOOKUP(D613,Worksheet!$C$3:$C$32,Worksheet!$S$3:$S$32)</f>
        <v>0.43902439024390244</v>
      </c>
    </row>
    <row r="614" spans="1:6" x14ac:dyDescent="0.2">
      <c r="A614" t="s">
        <v>551</v>
      </c>
      <c r="B614" s="4">
        <v>44567</v>
      </c>
      <c r="C614">
        <v>1.4</v>
      </c>
      <c r="D614" t="s">
        <v>64</v>
      </c>
      <c r="E614">
        <f>_xlfn.XLOOKUP(D614,Worksheet!$C$3:$C$32,Worksheet!$M$3:$M$32)</f>
        <v>110.1</v>
      </c>
      <c r="F614" s="19">
        <f>_xlfn.XLOOKUP(D614,Worksheet!$C$3:$C$32,Worksheet!$S$3:$S$32)</f>
        <v>0.51219512195121952</v>
      </c>
    </row>
    <row r="615" spans="1:6" x14ac:dyDescent="0.2">
      <c r="A615" t="s">
        <v>551</v>
      </c>
      <c r="B615" s="4">
        <v>44569</v>
      </c>
      <c r="C615">
        <v>16.2</v>
      </c>
      <c r="D615" t="s">
        <v>120</v>
      </c>
      <c r="E615">
        <f>_xlfn.XLOOKUP(D615,Worksheet!$C$3:$C$32,Worksheet!$M$3:$M$32)</f>
        <v>109.1</v>
      </c>
      <c r="F615" s="19">
        <f>_xlfn.XLOOKUP(D615,Worksheet!$C$3:$C$32,Worksheet!$S$3:$S$32)</f>
        <v>0.64634146341463417</v>
      </c>
    </row>
    <row r="616" spans="1:6" x14ac:dyDescent="0.2">
      <c r="A616" t="s">
        <v>551</v>
      </c>
      <c r="B616" s="4">
        <v>44572</v>
      </c>
      <c r="C616">
        <v>7.3</v>
      </c>
      <c r="D616" t="s">
        <v>92</v>
      </c>
      <c r="E616">
        <f>_xlfn.XLOOKUP(D616,Worksheet!$C$3:$C$32,Worksheet!$M$3:$M$32)</f>
        <v>110.5</v>
      </c>
      <c r="F616" s="19">
        <f>_xlfn.XLOOKUP(D616,Worksheet!$C$3:$C$32,Worksheet!$S$3:$S$32)</f>
        <v>0.58536585365853655</v>
      </c>
    </row>
    <row r="617" spans="1:6" x14ac:dyDescent="0.2">
      <c r="A617" t="s">
        <v>551</v>
      </c>
      <c r="B617" s="4">
        <v>44575</v>
      </c>
      <c r="C617">
        <v>23.5</v>
      </c>
      <c r="D617" t="s">
        <v>108</v>
      </c>
      <c r="E617">
        <f>_xlfn.XLOOKUP(D617,Worksheet!$C$3:$C$32,Worksheet!$M$3:$M$32)</f>
        <v>116.1</v>
      </c>
      <c r="F617" s="19">
        <f>_xlfn.XLOOKUP(D617,Worksheet!$C$3:$C$32,Worksheet!$S$3:$S$32)</f>
        <v>0.3048780487804878</v>
      </c>
    </row>
    <row r="618" spans="1:6" x14ac:dyDescent="0.2">
      <c r="A618" t="s">
        <v>551</v>
      </c>
      <c r="B618" s="4">
        <v>44577</v>
      </c>
      <c r="C618">
        <v>23.6</v>
      </c>
      <c r="D618" t="s">
        <v>89</v>
      </c>
      <c r="E618">
        <f>_xlfn.XLOOKUP(D618,Worksheet!$C$3:$C$32,Worksheet!$M$3:$M$32)</f>
        <v>113.8</v>
      </c>
      <c r="F618" s="19">
        <f>_xlfn.XLOOKUP(D618,Worksheet!$C$3:$C$32,Worksheet!$S$3:$S$32)</f>
        <v>0.28048780487804881</v>
      </c>
    </row>
    <row r="619" spans="1:6" x14ac:dyDescent="0.2">
      <c r="A619" t="s">
        <v>551</v>
      </c>
      <c r="B619" s="4">
        <v>44578</v>
      </c>
      <c r="C619">
        <v>39.6</v>
      </c>
      <c r="D619" t="s">
        <v>102</v>
      </c>
      <c r="E619">
        <f>_xlfn.XLOOKUP(D619,Worksheet!$C$3:$C$32,Worksheet!$M$3:$M$32)</f>
        <v>112.3</v>
      </c>
      <c r="F619" s="19">
        <f>_xlfn.XLOOKUP(D619,Worksheet!$C$3:$C$32,Worksheet!$S$3:$S$32)</f>
        <v>0.41463414634146339</v>
      </c>
    </row>
    <row r="620" spans="1:6" x14ac:dyDescent="0.2">
      <c r="A620" t="s">
        <v>551</v>
      </c>
      <c r="B620" s="4">
        <v>44581</v>
      </c>
      <c r="C620">
        <v>17.8</v>
      </c>
      <c r="D620" t="s">
        <v>49</v>
      </c>
      <c r="E620">
        <f>_xlfn.XLOOKUP(D620,Worksheet!$C$3:$C$32,Worksheet!$M$3:$M$32)</f>
        <v>109.4</v>
      </c>
      <c r="F620" s="19">
        <f>_xlfn.XLOOKUP(D620,Worksheet!$C$3:$C$32,Worksheet!$S$3:$S$32)</f>
        <v>0.63414634146341464</v>
      </c>
    </row>
    <row r="621" spans="1:6" x14ac:dyDescent="0.2">
      <c r="A621" t="s">
        <v>551</v>
      </c>
      <c r="B621" s="4">
        <v>44583</v>
      </c>
      <c r="C621">
        <v>0.3</v>
      </c>
      <c r="D621" t="s">
        <v>108</v>
      </c>
      <c r="E621">
        <f>_xlfn.XLOOKUP(D621,Worksheet!$C$3:$C$32,Worksheet!$M$3:$M$32)</f>
        <v>116.1</v>
      </c>
      <c r="F621" s="19">
        <f>_xlfn.XLOOKUP(D621,Worksheet!$C$3:$C$32,Worksheet!$S$3:$S$32)</f>
        <v>0.3048780487804878</v>
      </c>
    </row>
    <row r="622" spans="1:6" x14ac:dyDescent="0.2">
      <c r="A622" t="s">
        <v>551</v>
      </c>
      <c r="B622" s="4">
        <v>44585</v>
      </c>
      <c r="C622">
        <v>17.5</v>
      </c>
      <c r="D622" t="s">
        <v>118</v>
      </c>
      <c r="E622">
        <f>_xlfn.XLOOKUP(D622,Worksheet!$C$3:$C$32,Worksheet!$M$3:$M$32)</f>
        <v>110.5</v>
      </c>
      <c r="F622" s="19">
        <f>_xlfn.XLOOKUP(D622,Worksheet!$C$3:$C$32,Worksheet!$S$3:$S$32)</f>
        <v>0.59756097560975607</v>
      </c>
    </row>
    <row r="623" spans="1:6" x14ac:dyDescent="0.2">
      <c r="A623" t="s">
        <v>551</v>
      </c>
      <c r="B623" s="4">
        <v>44587</v>
      </c>
      <c r="C623">
        <v>33</v>
      </c>
      <c r="D623" t="s">
        <v>118</v>
      </c>
      <c r="E623">
        <f>_xlfn.XLOOKUP(D623,Worksheet!$C$3:$C$32,Worksheet!$M$3:$M$32)</f>
        <v>110.5</v>
      </c>
      <c r="F623" s="19">
        <f>_xlfn.XLOOKUP(D623,Worksheet!$C$3:$C$32,Worksheet!$S$3:$S$32)</f>
        <v>0.59756097560975607</v>
      </c>
    </row>
    <row r="624" spans="1:6" x14ac:dyDescent="0.2">
      <c r="A624" t="s">
        <v>551</v>
      </c>
      <c r="B624" s="4">
        <v>44589</v>
      </c>
      <c r="C624">
        <v>20.8</v>
      </c>
      <c r="D624" t="s">
        <v>80</v>
      </c>
      <c r="E624">
        <f>_xlfn.XLOOKUP(D624,Worksheet!$C$3:$C$32,Worksheet!$M$3:$M$32)</f>
        <v>111.7</v>
      </c>
      <c r="F624" s="19">
        <f>_xlfn.XLOOKUP(D624,Worksheet!$C$3:$C$32,Worksheet!$S$3:$S$32)</f>
        <v>0.56097560975609762</v>
      </c>
    </row>
    <row r="625" spans="1:6" x14ac:dyDescent="0.2">
      <c r="A625" t="s">
        <v>551</v>
      </c>
      <c r="B625" s="4">
        <v>44591</v>
      </c>
      <c r="C625">
        <v>15.1</v>
      </c>
      <c r="D625" t="s">
        <v>102</v>
      </c>
      <c r="E625">
        <f>_xlfn.XLOOKUP(D625,Worksheet!$C$3:$C$32,Worksheet!$M$3:$M$32)</f>
        <v>112.3</v>
      </c>
      <c r="F625" s="19">
        <f>_xlfn.XLOOKUP(D625,Worksheet!$C$3:$C$32,Worksheet!$S$3:$S$32)</f>
        <v>0.41463414634146339</v>
      </c>
    </row>
    <row r="626" spans="1:6" x14ac:dyDescent="0.2">
      <c r="A626" t="s">
        <v>551</v>
      </c>
      <c r="B626" s="4">
        <v>44593</v>
      </c>
      <c r="C626">
        <v>25.5</v>
      </c>
      <c r="D626" t="s">
        <v>85</v>
      </c>
      <c r="E626">
        <f>_xlfn.XLOOKUP(D626,Worksheet!$C$3:$C$32,Worksheet!$M$3:$M$32)</f>
        <v>112.8</v>
      </c>
      <c r="F626" s="19">
        <f>_xlfn.XLOOKUP(D626,Worksheet!$C$3:$C$32,Worksheet!$S$3:$S$32)</f>
        <v>0.53658536585365857</v>
      </c>
    </row>
    <row r="627" spans="1:6" x14ac:dyDescent="0.2">
      <c r="A627" t="s">
        <v>551</v>
      </c>
      <c r="B627" s="4">
        <v>44595</v>
      </c>
      <c r="C627">
        <v>17</v>
      </c>
      <c r="D627" t="s">
        <v>78</v>
      </c>
      <c r="E627">
        <f>_xlfn.XLOOKUP(D627,Worksheet!$C$3:$C$32,Worksheet!$M$3:$M$32)</f>
        <v>114.9</v>
      </c>
      <c r="F627" s="19">
        <f>_xlfn.XLOOKUP(D627,Worksheet!$C$3:$C$32,Worksheet!$S$3:$S$32)</f>
        <v>0.52439024390243905</v>
      </c>
    </row>
    <row r="628" spans="1:6" x14ac:dyDescent="0.2">
      <c r="A628" t="s">
        <v>551</v>
      </c>
      <c r="B628" s="4">
        <v>44597</v>
      </c>
      <c r="C628">
        <v>7.4</v>
      </c>
      <c r="D628" t="s">
        <v>155</v>
      </c>
      <c r="E628">
        <f>_xlfn.XLOOKUP(D628,Worksheet!$C$3:$C$32,Worksheet!$M$3:$M$32)</f>
        <v>114.5</v>
      </c>
      <c r="F628" s="19">
        <f>_xlfn.XLOOKUP(D628,Worksheet!$C$3:$C$32,Worksheet!$S$3:$S$32)</f>
        <v>0.42682926829268292</v>
      </c>
    </row>
    <row r="629" spans="1:6" x14ac:dyDescent="0.2">
      <c r="A629" t="s">
        <v>551</v>
      </c>
      <c r="B629" s="4">
        <v>44599</v>
      </c>
      <c r="C629">
        <v>31</v>
      </c>
      <c r="D629" t="s">
        <v>82</v>
      </c>
      <c r="E629">
        <f>_xlfn.XLOOKUP(D629,Worksheet!$C$3:$C$32,Worksheet!$M$3:$M$32)</f>
        <v>113.6</v>
      </c>
      <c r="F629" s="19">
        <f>_xlfn.XLOOKUP(D629,Worksheet!$C$3:$C$32,Worksheet!$S$3:$S$32)</f>
        <v>0.56097560975609762</v>
      </c>
    </row>
    <row r="630" spans="1:6" x14ac:dyDescent="0.2">
      <c r="A630" t="s">
        <v>551</v>
      </c>
      <c r="B630" s="4">
        <v>44600</v>
      </c>
      <c r="C630">
        <v>26</v>
      </c>
      <c r="D630" t="s">
        <v>94</v>
      </c>
      <c r="E630">
        <f>_xlfn.XLOOKUP(D630,Worksheet!$C$3:$C$32,Worksheet!$M$3:$M$32)</f>
        <v>110.8</v>
      </c>
      <c r="F630" s="19">
        <f>_xlfn.XLOOKUP(D630,Worksheet!$C$3:$C$32,Worksheet!$S$3:$S$32)</f>
        <v>0.62195121951219512</v>
      </c>
    </row>
    <row r="631" spans="1:6" x14ac:dyDescent="0.2">
      <c r="A631" t="s">
        <v>551</v>
      </c>
      <c r="B631" s="4">
        <v>44602</v>
      </c>
      <c r="C631">
        <v>10</v>
      </c>
      <c r="D631" t="s">
        <v>126</v>
      </c>
      <c r="E631">
        <f>_xlfn.XLOOKUP(D631,Worksheet!$C$3:$C$32,Worksheet!$M$3:$M$32)</f>
        <v>111.8</v>
      </c>
      <c r="F631" s="19">
        <f>_xlfn.XLOOKUP(D631,Worksheet!$C$3:$C$32,Worksheet!$S$3:$S$32)</f>
        <v>0.62195121951219512</v>
      </c>
    </row>
    <row r="632" spans="1:6" x14ac:dyDescent="0.2">
      <c r="A632" t="s">
        <v>551</v>
      </c>
      <c r="B632" s="4">
        <v>44604</v>
      </c>
      <c r="C632">
        <v>19.3</v>
      </c>
      <c r="D632" t="s">
        <v>104</v>
      </c>
      <c r="E632">
        <f>_xlfn.XLOOKUP(D632,Worksheet!$C$3:$C$32,Worksheet!$M$3:$M$32)</f>
        <v>112.5</v>
      </c>
      <c r="F632" s="19">
        <f>_xlfn.XLOOKUP(D632,Worksheet!$C$3:$C$32,Worksheet!$S$3:$S$32)</f>
        <v>0.26829268292682928</v>
      </c>
    </row>
    <row r="633" spans="1:6" x14ac:dyDescent="0.2">
      <c r="A633" t="s">
        <v>551</v>
      </c>
      <c r="B633" s="4">
        <v>44607</v>
      </c>
      <c r="C633">
        <v>19.7</v>
      </c>
      <c r="D633" t="s">
        <v>64</v>
      </c>
      <c r="E633">
        <f>_xlfn.XLOOKUP(D633,Worksheet!$C$3:$C$32,Worksheet!$M$3:$M$32)</f>
        <v>110.1</v>
      </c>
      <c r="F633" s="19">
        <f>_xlfn.XLOOKUP(D633,Worksheet!$C$3:$C$32,Worksheet!$S$3:$S$32)</f>
        <v>0.51219512195121952</v>
      </c>
    </row>
    <row r="634" spans="1:6" x14ac:dyDescent="0.2">
      <c r="A634" t="s">
        <v>551</v>
      </c>
      <c r="B634" s="4">
        <v>44608</v>
      </c>
      <c r="C634">
        <v>18.100000000000001</v>
      </c>
      <c r="D634" t="s">
        <v>76</v>
      </c>
      <c r="E634">
        <f>_xlfn.XLOOKUP(D634,Worksheet!$C$3:$C$32,Worksheet!$M$3:$M$32)</f>
        <v>116.7</v>
      </c>
      <c r="F634" s="19">
        <f>_xlfn.XLOOKUP(D634,Worksheet!$C$3:$C$32,Worksheet!$S$3:$S$32)</f>
        <v>0.24390243902439024</v>
      </c>
    </row>
    <row r="635" spans="1:6" x14ac:dyDescent="0.2">
      <c r="A635" t="s">
        <v>551</v>
      </c>
      <c r="B635" s="4">
        <v>44616</v>
      </c>
      <c r="C635">
        <v>28.9</v>
      </c>
      <c r="D635" t="s">
        <v>68</v>
      </c>
      <c r="E635">
        <f>_xlfn.XLOOKUP(D635,Worksheet!$C$3:$C$32,Worksheet!$M$3:$M$32)</f>
        <v>112.8</v>
      </c>
      <c r="F635" s="19">
        <f>_xlfn.XLOOKUP(D635,Worksheet!$C$3:$C$32,Worksheet!$S$3:$S$32)</f>
        <v>0.29268292682926828</v>
      </c>
    </row>
    <row r="636" spans="1:6" x14ac:dyDescent="0.2">
      <c r="A636" t="s">
        <v>551</v>
      </c>
      <c r="B636" s="4">
        <v>44617</v>
      </c>
      <c r="C636">
        <v>18.8</v>
      </c>
      <c r="D636" t="s">
        <v>74</v>
      </c>
      <c r="E636">
        <f>_xlfn.XLOOKUP(D636,Worksheet!$C$3:$C$32,Worksheet!$M$3:$M$32)</f>
        <v>113</v>
      </c>
      <c r="F636" s="19">
        <f>_xlfn.XLOOKUP(D636,Worksheet!$C$3:$C$32,Worksheet!$S$3:$S$32)</f>
        <v>0.43902439024390244</v>
      </c>
    </row>
    <row r="637" spans="1:6" x14ac:dyDescent="0.2">
      <c r="A637" t="s">
        <v>551</v>
      </c>
      <c r="B637" s="4">
        <v>44619</v>
      </c>
      <c r="C637">
        <v>22.4</v>
      </c>
      <c r="D637" t="s">
        <v>118</v>
      </c>
      <c r="E637">
        <f>_xlfn.XLOOKUP(D637,Worksheet!$C$3:$C$32,Worksheet!$M$3:$M$32)</f>
        <v>110.5</v>
      </c>
      <c r="F637" s="19">
        <f>_xlfn.XLOOKUP(D637,Worksheet!$C$3:$C$32,Worksheet!$S$3:$S$32)</f>
        <v>0.59756097560975607</v>
      </c>
    </row>
    <row r="638" spans="1:6" x14ac:dyDescent="0.2">
      <c r="A638" t="s">
        <v>551</v>
      </c>
      <c r="B638" s="4">
        <v>44622</v>
      </c>
      <c r="D638" t="s">
        <v>96</v>
      </c>
      <c r="E638">
        <f>_xlfn.XLOOKUP(D638,Worksheet!$C$3:$C$32,Worksheet!$M$3:$M$32)</f>
        <v>116.9</v>
      </c>
      <c r="F638" s="19">
        <f>_xlfn.XLOOKUP(D638,Worksheet!$C$3:$C$32,Worksheet!$S$3:$S$32)</f>
        <v>0.32926829268292684</v>
      </c>
    </row>
    <row r="639" spans="1:6" x14ac:dyDescent="0.2">
      <c r="A639" t="s">
        <v>551</v>
      </c>
      <c r="B639" s="4">
        <v>44624</v>
      </c>
      <c r="D639" t="s">
        <v>110</v>
      </c>
      <c r="E639">
        <f>_xlfn.XLOOKUP(D639,Worksheet!$C$3:$C$32,Worksheet!$M$3:$M$32)</f>
        <v>110.5</v>
      </c>
      <c r="F639" s="19">
        <f>_xlfn.XLOOKUP(D639,Worksheet!$C$3:$C$32,Worksheet!$S$3:$S$32)</f>
        <v>0.45121951219512196</v>
      </c>
    </row>
    <row r="640" spans="1:6" x14ac:dyDescent="0.2">
      <c r="A640" t="s">
        <v>551</v>
      </c>
      <c r="B640" s="4">
        <v>44626</v>
      </c>
      <c r="D640" t="s">
        <v>126</v>
      </c>
      <c r="E640">
        <f>_xlfn.XLOOKUP(D640,Worksheet!$C$3:$C$32,Worksheet!$M$3:$M$32)</f>
        <v>111.8</v>
      </c>
      <c r="F640" s="19">
        <f>_xlfn.XLOOKUP(D640,Worksheet!$C$3:$C$32,Worksheet!$S$3:$S$32)</f>
        <v>0.62195121951219512</v>
      </c>
    </row>
    <row r="641" spans="1:6" x14ac:dyDescent="0.2">
      <c r="A641" t="s">
        <v>551</v>
      </c>
      <c r="B641" s="4">
        <v>44628</v>
      </c>
      <c r="D641" t="s">
        <v>104</v>
      </c>
      <c r="E641">
        <f>_xlfn.XLOOKUP(D641,Worksheet!$C$3:$C$32,Worksheet!$M$3:$M$32)</f>
        <v>112.5</v>
      </c>
      <c r="F641" s="19">
        <f>_xlfn.XLOOKUP(D641,Worksheet!$C$3:$C$32,Worksheet!$S$3:$S$32)</f>
        <v>0.26829268292682928</v>
      </c>
    </row>
    <row r="642" spans="1:6" x14ac:dyDescent="0.2">
      <c r="A642" t="s">
        <v>551</v>
      </c>
      <c r="B642" s="4">
        <v>44629</v>
      </c>
      <c r="C642">
        <v>26.7</v>
      </c>
      <c r="D642" t="s">
        <v>120</v>
      </c>
      <c r="E642">
        <f>_xlfn.XLOOKUP(D642,Worksheet!$C$3:$C$32,Worksheet!$M$3:$M$32)</f>
        <v>109.1</v>
      </c>
      <c r="F642" s="19">
        <f>_xlfn.XLOOKUP(D642,Worksheet!$C$3:$C$32,Worksheet!$S$3:$S$32)</f>
        <v>0.64634146341463417</v>
      </c>
    </row>
    <row r="643" spans="1:6" x14ac:dyDescent="0.2">
      <c r="A643" t="s">
        <v>551</v>
      </c>
      <c r="B643" s="4">
        <v>44631</v>
      </c>
      <c r="C643">
        <v>15.9</v>
      </c>
      <c r="D643" t="s">
        <v>92</v>
      </c>
      <c r="E643">
        <f>_xlfn.XLOOKUP(D643,Worksheet!$C$3:$C$32,Worksheet!$M$3:$M$32)</f>
        <v>110.5</v>
      </c>
      <c r="F643" s="19">
        <f>_xlfn.XLOOKUP(D643,Worksheet!$C$3:$C$32,Worksheet!$S$3:$S$32)</f>
        <v>0.58536585365853655</v>
      </c>
    </row>
    <row r="644" spans="1:6" x14ac:dyDescent="0.2">
      <c r="A644" t="s">
        <v>551</v>
      </c>
      <c r="B644" s="4">
        <v>44633</v>
      </c>
      <c r="C644">
        <v>25.3</v>
      </c>
      <c r="D644" t="s">
        <v>62</v>
      </c>
      <c r="E644">
        <f>_xlfn.XLOOKUP(D644,Worksheet!$C$3:$C$32,Worksheet!$M$3:$M$32)</f>
        <v>113.3</v>
      </c>
      <c r="F644" s="19">
        <f>_xlfn.XLOOKUP(D644,Worksheet!$C$3:$C$32,Worksheet!$S$3:$S$32)</f>
        <v>0.40243902439024393</v>
      </c>
    </row>
    <row r="645" spans="1:6" x14ac:dyDescent="0.2">
      <c r="A645" t="s">
        <v>551</v>
      </c>
      <c r="B645" s="4">
        <v>44635</v>
      </c>
      <c r="C645">
        <v>23.7</v>
      </c>
      <c r="D645" t="s">
        <v>74</v>
      </c>
      <c r="E645">
        <f>_xlfn.XLOOKUP(D645,Worksheet!$C$3:$C$32,Worksheet!$M$3:$M$32)</f>
        <v>113</v>
      </c>
      <c r="F645" s="19">
        <f>_xlfn.XLOOKUP(D645,Worksheet!$C$3:$C$32,Worksheet!$S$3:$S$32)</f>
        <v>0.43902439024390244</v>
      </c>
    </row>
    <row r="646" spans="1:6" x14ac:dyDescent="0.2">
      <c r="A646" t="s">
        <v>551</v>
      </c>
      <c r="B646" s="4">
        <v>44636</v>
      </c>
      <c r="C646">
        <v>26.1</v>
      </c>
      <c r="D646" t="s">
        <v>76</v>
      </c>
      <c r="E646">
        <f>_xlfn.XLOOKUP(D646,Worksheet!$C$3:$C$32,Worksheet!$M$3:$M$32)</f>
        <v>116.7</v>
      </c>
      <c r="F646" s="19">
        <f>_xlfn.XLOOKUP(D646,Worksheet!$C$3:$C$32,Worksheet!$S$3:$S$32)</f>
        <v>0.24390243902439024</v>
      </c>
    </row>
    <row r="647" spans="1:6" x14ac:dyDescent="0.2">
      <c r="A647" t="s">
        <v>551</v>
      </c>
      <c r="B647" s="4">
        <v>44638</v>
      </c>
      <c r="C647">
        <v>18.899999999999999</v>
      </c>
      <c r="D647" t="s">
        <v>82</v>
      </c>
      <c r="E647">
        <f>_xlfn.XLOOKUP(D647,Worksheet!$C$3:$C$32,Worksheet!$M$3:$M$32)</f>
        <v>113.6</v>
      </c>
      <c r="F647" s="19">
        <f>_xlfn.XLOOKUP(D647,Worksheet!$C$3:$C$32,Worksheet!$S$3:$S$32)</f>
        <v>0.56097560975609762</v>
      </c>
    </row>
    <row r="648" spans="1:6" x14ac:dyDescent="0.2">
      <c r="A648" t="s">
        <v>551</v>
      </c>
      <c r="B648" s="4">
        <v>44640</v>
      </c>
      <c r="C648">
        <v>21.9</v>
      </c>
      <c r="D648" t="s">
        <v>66</v>
      </c>
      <c r="E648">
        <f>_xlfn.XLOOKUP(D648,Worksheet!$C$3:$C$32,Worksheet!$M$3:$M$32)</f>
        <v>115.3</v>
      </c>
      <c r="F648" s="19">
        <f>_xlfn.XLOOKUP(D648,Worksheet!$C$3:$C$32,Worksheet!$S$3:$S$32)</f>
        <v>0.36585365853658536</v>
      </c>
    </row>
    <row r="649" spans="1:6" x14ac:dyDescent="0.2">
      <c r="A649" t="s">
        <v>551</v>
      </c>
      <c r="B649" s="4">
        <v>44643</v>
      </c>
      <c r="C649">
        <v>23.1</v>
      </c>
      <c r="D649" t="s">
        <v>80</v>
      </c>
      <c r="E649">
        <f>_xlfn.XLOOKUP(D649,Worksheet!$C$3:$C$32,Worksheet!$M$3:$M$32)</f>
        <v>111.7</v>
      </c>
      <c r="F649" s="19">
        <f>_xlfn.XLOOKUP(D649,Worksheet!$C$3:$C$32,Worksheet!$S$3:$S$32)</f>
        <v>0.56097560975609762</v>
      </c>
    </row>
    <row r="650" spans="1:6" x14ac:dyDescent="0.2">
      <c r="A650" t="s">
        <v>551</v>
      </c>
      <c r="B650" s="4">
        <v>44644</v>
      </c>
      <c r="C650">
        <v>45.8</v>
      </c>
      <c r="D650" t="s">
        <v>34</v>
      </c>
      <c r="E650">
        <f>_xlfn.XLOOKUP(D650,Worksheet!$C$3:$C$32,Worksheet!$M$3:$M$32)</f>
        <v>112.1</v>
      </c>
      <c r="F650" s="19">
        <f>_xlfn.XLOOKUP(D650,Worksheet!$C$3:$C$32,Worksheet!$S$3:$S$32)</f>
        <v>0.58536585365853655</v>
      </c>
    </row>
    <row r="651" spans="1:6" x14ac:dyDescent="0.2">
      <c r="A651" t="s">
        <v>551</v>
      </c>
      <c r="B651" s="4">
        <v>44647</v>
      </c>
      <c r="C651">
        <v>22.2</v>
      </c>
      <c r="D651" t="s">
        <v>94</v>
      </c>
      <c r="E651">
        <f>_xlfn.XLOOKUP(D651,Worksheet!$C$3:$C$32,Worksheet!$M$3:$M$32)</f>
        <v>110.8</v>
      </c>
      <c r="F651" s="19">
        <f>_xlfn.XLOOKUP(D651,Worksheet!$C$3:$C$32,Worksheet!$S$3:$S$32)</f>
        <v>0.62195121951219512</v>
      </c>
    </row>
    <row r="652" spans="1:6" x14ac:dyDescent="0.2">
      <c r="A652" t="s">
        <v>551</v>
      </c>
      <c r="B652" s="4">
        <v>44650</v>
      </c>
      <c r="C652">
        <v>9.8000000000000007</v>
      </c>
      <c r="D652" t="s">
        <v>33</v>
      </c>
      <c r="E652">
        <f>_xlfn.XLOOKUP(D652,Worksheet!$C$3:$C$32,Worksheet!$M$3:$M$32)</f>
        <v>106.9</v>
      </c>
      <c r="F652" s="19">
        <f>_xlfn.XLOOKUP(D652,Worksheet!$C$3:$C$32,Worksheet!$S$3:$S$32)</f>
        <v>0.64634146341463417</v>
      </c>
    </row>
    <row r="653" spans="1:6" x14ac:dyDescent="0.2">
      <c r="A653" t="s">
        <v>551</v>
      </c>
      <c r="B653" s="4">
        <v>44652</v>
      </c>
      <c r="C653">
        <v>26.8</v>
      </c>
      <c r="D653" t="s">
        <v>42</v>
      </c>
      <c r="E653">
        <f>_xlfn.XLOOKUP(D653,Worksheet!$C$3:$C$32,Worksheet!$M$3:$M$32)</f>
        <v>109</v>
      </c>
      <c r="F653" s="19">
        <f>_xlfn.XLOOKUP(D653,Worksheet!$C$3:$C$32,Worksheet!$S$3:$S$32)</f>
        <v>0.68292682926829273</v>
      </c>
    </row>
    <row r="654" spans="1:6" x14ac:dyDescent="0.2">
      <c r="A654" t="s">
        <v>551</v>
      </c>
      <c r="B654" s="4">
        <v>44654</v>
      </c>
      <c r="D654" t="s">
        <v>68</v>
      </c>
      <c r="E654">
        <f>_xlfn.XLOOKUP(D654,Worksheet!$C$3:$C$32,Worksheet!$M$3:$M$32)</f>
        <v>112.8</v>
      </c>
      <c r="F654" s="19">
        <f>_xlfn.XLOOKUP(D654,Worksheet!$C$3:$C$32,Worksheet!$S$3:$S$32)</f>
        <v>0.29268292682926828</v>
      </c>
    </row>
    <row r="655" spans="1:6" x14ac:dyDescent="0.2">
      <c r="A655" t="s">
        <v>551</v>
      </c>
      <c r="B655" s="4">
        <v>44656</v>
      </c>
      <c r="C655">
        <v>25.9</v>
      </c>
      <c r="D655" t="s">
        <v>62</v>
      </c>
      <c r="E655">
        <f>_xlfn.XLOOKUP(D655,Worksheet!$C$3:$C$32,Worksheet!$M$3:$M$32)</f>
        <v>113.3</v>
      </c>
      <c r="F655" s="19">
        <f>_xlfn.XLOOKUP(D655,Worksheet!$C$3:$C$32,Worksheet!$S$3:$S$32)</f>
        <v>0.40243902439024393</v>
      </c>
    </row>
    <row r="656" spans="1:6" x14ac:dyDescent="0.2">
      <c r="A656" t="s">
        <v>551</v>
      </c>
      <c r="B656" s="4">
        <v>44657</v>
      </c>
      <c r="D656" t="s">
        <v>64</v>
      </c>
      <c r="E656">
        <f>_xlfn.XLOOKUP(D656,Worksheet!$C$3:$C$32,Worksheet!$M$3:$M$32)</f>
        <v>110.1</v>
      </c>
      <c r="F656" s="19">
        <f>_xlfn.XLOOKUP(D656,Worksheet!$C$3:$C$32,Worksheet!$S$3:$S$32)</f>
        <v>0.51219512195121952</v>
      </c>
    </row>
    <row r="657" spans="1:6" x14ac:dyDescent="0.2">
      <c r="A657" t="s">
        <v>551</v>
      </c>
      <c r="B657" s="4">
        <v>44659</v>
      </c>
      <c r="C657">
        <v>20.7</v>
      </c>
      <c r="D657" t="s">
        <v>118</v>
      </c>
      <c r="E657">
        <f>_xlfn.XLOOKUP(D657,Worksheet!$C$3:$C$32,Worksheet!$M$3:$M$32)</f>
        <v>110.5</v>
      </c>
      <c r="F657" s="19">
        <f>_xlfn.XLOOKUP(D657,Worksheet!$C$3:$C$32,Worksheet!$S$3:$S$32)</f>
        <v>0.59756097560975607</v>
      </c>
    </row>
    <row r="658" spans="1:6" x14ac:dyDescent="0.2">
      <c r="A658" t="s">
        <v>551</v>
      </c>
      <c r="B658" s="4">
        <v>44661</v>
      </c>
      <c r="D658" t="s">
        <v>66</v>
      </c>
      <c r="E658">
        <f>_xlfn.XLOOKUP(D658,Worksheet!$C$3:$C$32,Worksheet!$M$3:$M$32)</f>
        <v>115.3</v>
      </c>
      <c r="F658" s="19">
        <f>_xlfn.XLOOKUP(D658,Worksheet!$C$3:$C$32,Worksheet!$S$3:$S$32)</f>
        <v>0.36585365853658536</v>
      </c>
    </row>
    <row r="659" spans="1:6" x14ac:dyDescent="0.2">
      <c r="A659" t="s">
        <v>551</v>
      </c>
      <c r="B659" s="4">
        <v>44668</v>
      </c>
      <c r="C659">
        <v>20.5</v>
      </c>
      <c r="D659" t="s">
        <v>74</v>
      </c>
      <c r="E659">
        <f>_xlfn.XLOOKUP(D659,Worksheet!$C$3:$C$32,Worksheet!$M$3:$M$32)</f>
        <v>113</v>
      </c>
      <c r="F659" s="19">
        <f>_xlfn.XLOOKUP(D659,Worksheet!$C$3:$C$32,Worksheet!$S$3:$S$32)</f>
        <v>0.43902439024390244</v>
      </c>
    </row>
    <row r="660" spans="1:6" x14ac:dyDescent="0.2">
      <c r="A660" t="s">
        <v>551</v>
      </c>
      <c r="B660" s="4">
        <v>44670</v>
      </c>
      <c r="C660">
        <v>21</v>
      </c>
      <c r="D660" t="s">
        <v>74</v>
      </c>
      <c r="E660">
        <f>_xlfn.XLOOKUP(D660,Worksheet!$C$3:$C$32,Worksheet!$M$3:$M$32)</f>
        <v>113</v>
      </c>
      <c r="F660" s="19">
        <f>_xlfn.XLOOKUP(D660,Worksheet!$C$3:$C$32,Worksheet!$S$3:$S$32)</f>
        <v>0.43902439024390244</v>
      </c>
    </row>
    <row r="661" spans="1:6" x14ac:dyDescent="0.2">
      <c r="A661" t="s">
        <v>551</v>
      </c>
      <c r="B661" s="4">
        <v>44673</v>
      </c>
      <c r="D661" t="s">
        <v>74</v>
      </c>
      <c r="E661">
        <f>_xlfn.XLOOKUP(D661,Worksheet!$C$3:$C$32,Worksheet!$M$3:$M$32)</f>
        <v>113</v>
      </c>
      <c r="F661" s="19">
        <f>_xlfn.XLOOKUP(D661,Worksheet!$C$3:$C$32,Worksheet!$S$3:$S$32)</f>
        <v>0.43902439024390244</v>
      </c>
    </row>
    <row r="662" spans="1:6" x14ac:dyDescent="0.2">
      <c r="A662" t="s">
        <v>551</v>
      </c>
      <c r="B662" s="4">
        <v>44675</v>
      </c>
      <c r="D662" t="s">
        <v>74</v>
      </c>
      <c r="E662">
        <f>_xlfn.XLOOKUP(D662,Worksheet!$C$3:$C$32,Worksheet!$M$3:$M$32)</f>
        <v>113</v>
      </c>
      <c r="F662" s="19">
        <f>_xlfn.XLOOKUP(D662,Worksheet!$C$3:$C$32,Worksheet!$S$3:$S$32)</f>
        <v>0.43902439024390244</v>
      </c>
    </row>
    <row r="663" spans="1:6" x14ac:dyDescent="0.2">
      <c r="A663" t="s">
        <v>551</v>
      </c>
      <c r="B663" s="4">
        <v>44677</v>
      </c>
      <c r="D663" t="s">
        <v>74</v>
      </c>
      <c r="E663">
        <f>_xlfn.XLOOKUP(D663,Worksheet!$C$3:$C$32,Worksheet!$M$3:$M$32)</f>
        <v>113</v>
      </c>
      <c r="F663" s="19">
        <f>_xlfn.XLOOKUP(D663,Worksheet!$C$3:$C$32,Worksheet!$S$3:$S$32)</f>
        <v>0.43902439024390244</v>
      </c>
    </row>
    <row r="664" spans="1:6" x14ac:dyDescent="0.2">
      <c r="A664" t="s">
        <v>551</v>
      </c>
      <c r="B664" s="4">
        <v>44679</v>
      </c>
      <c r="C664">
        <v>8.1999999999999993</v>
      </c>
      <c r="D664" t="s">
        <v>74</v>
      </c>
      <c r="E664">
        <f>_xlfn.XLOOKUP(D664,Worksheet!$C$3:$C$32,Worksheet!$M$3:$M$32)</f>
        <v>113</v>
      </c>
      <c r="F664" s="19">
        <f>_xlfn.XLOOKUP(D664,Worksheet!$C$3:$C$32,Worksheet!$S$3:$S$32)</f>
        <v>0.43902439024390244</v>
      </c>
    </row>
    <row r="665" spans="1:6" x14ac:dyDescent="0.2">
      <c r="A665" t="s">
        <v>551</v>
      </c>
      <c r="B665" s="4">
        <v>44683</v>
      </c>
      <c r="C665">
        <v>20.6</v>
      </c>
      <c r="D665" t="s">
        <v>49</v>
      </c>
      <c r="E665">
        <f>_xlfn.XLOOKUP(D665,Worksheet!$C$3:$C$32,Worksheet!$M$3:$M$32)</f>
        <v>109.4</v>
      </c>
      <c r="F665" s="19">
        <f>_xlfn.XLOOKUP(D665,Worksheet!$C$3:$C$32,Worksheet!$S$3:$S$32)</f>
        <v>0.63414634146341464</v>
      </c>
    </row>
    <row r="666" spans="1:6" x14ac:dyDescent="0.2">
      <c r="A666" t="s">
        <v>551</v>
      </c>
      <c r="B666" s="4">
        <v>44685</v>
      </c>
      <c r="C666">
        <v>22.6</v>
      </c>
      <c r="D666" t="s">
        <v>49</v>
      </c>
      <c r="E666">
        <f>_xlfn.XLOOKUP(D666,Worksheet!$C$3:$C$32,Worksheet!$M$3:$M$32)</f>
        <v>109.4</v>
      </c>
      <c r="F666" s="19">
        <f>_xlfn.XLOOKUP(D666,Worksheet!$C$3:$C$32,Worksheet!$S$3:$S$32)</f>
        <v>0.63414634146341464</v>
      </c>
    </row>
    <row r="667" spans="1:6" x14ac:dyDescent="0.2">
      <c r="A667" t="s">
        <v>551</v>
      </c>
      <c r="B667" s="4">
        <v>44687</v>
      </c>
      <c r="C667">
        <v>9.9</v>
      </c>
      <c r="D667" t="s">
        <v>49</v>
      </c>
      <c r="E667">
        <f>_xlfn.XLOOKUP(D667,Worksheet!$C$3:$C$32,Worksheet!$M$3:$M$32)</f>
        <v>109.4</v>
      </c>
      <c r="F667" s="19">
        <f>_xlfn.XLOOKUP(D667,Worksheet!$C$3:$C$32,Worksheet!$S$3:$S$32)</f>
        <v>0.63414634146341464</v>
      </c>
    </row>
    <row r="668" spans="1:6" x14ac:dyDescent="0.2">
      <c r="A668" t="s">
        <v>551</v>
      </c>
      <c r="B668" s="4">
        <v>44689</v>
      </c>
      <c r="C668">
        <v>23.8</v>
      </c>
      <c r="D668" t="s">
        <v>49</v>
      </c>
      <c r="E668">
        <f>_xlfn.XLOOKUP(D668,Worksheet!$C$3:$C$32,Worksheet!$M$3:$M$32)</f>
        <v>109.4</v>
      </c>
      <c r="F668" s="19">
        <f>_xlfn.XLOOKUP(D668,Worksheet!$C$3:$C$32,Worksheet!$S$3:$S$32)</f>
        <v>0.63414634146341464</v>
      </c>
    </row>
    <row r="669" spans="1:6" x14ac:dyDescent="0.2">
      <c r="A669" t="s">
        <v>551</v>
      </c>
      <c r="B669" s="4">
        <v>44691</v>
      </c>
      <c r="C669">
        <v>20.7</v>
      </c>
      <c r="D669" t="s">
        <v>49</v>
      </c>
      <c r="E669">
        <f>_xlfn.XLOOKUP(D669,Worksheet!$C$3:$C$32,Worksheet!$M$3:$M$32)</f>
        <v>109.4</v>
      </c>
      <c r="F669" s="19">
        <f>_xlfn.XLOOKUP(D669,Worksheet!$C$3:$C$32,Worksheet!$S$3:$S$32)</f>
        <v>0.63414634146341464</v>
      </c>
    </row>
    <row r="670" spans="1:6" x14ac:dyDescent="0.2">
      <c r="A670" t="s">
        <v>551</v>
      </c>
      <c r="B670" s="4">
        <v>44693</v>
      </c>
      <c r="C670">
        <v>6.9</v>
      </c>
      <c r="D670" t="s">
        <v>49</v>
      </c>
      <c r="E670">
        <f>_xlfn.XLOOKUP(D670,Worksheet!$C$3:$C$32,Worksheet!$M$3:$M$32)</f>
        <v>109.4</v>
      </c>
      <c r="F670" s="19">
        <f>_xlfn.XLOOKUP(D670,Worksheet!$C$3:$C$32,Worksheet!$S$3:$S$32)</f>
        <v>0.63414634146341464</v>
      </c>
    </row>
    <row r="671" spans="1:6" x14ac:dyDescent="0.2">
      <c r="A671" t="s">
        <v>551</v>
      </c>
      <c r="B671" s="4">
        <v>44696</v>
      </c>
      <c r="C671">
        <v>0.5</v>
      </c>
      <c r="D671" t="s">
        <v>49</v>
      </c>
      <c r="E671">
        <f>_xlfn.XLOOKUP(D671,Worksheet!$C$3:$C$32,Worksheet!$M$3:$M$32)</f>
        <v>109.4</v>
      </c>
      <c r="F671" s="19">
        <f>_xlfn.XLOOKUP(D671,Worksheet!$C$3:$C$32,Worksheet!$S$3:$S$32)</f>
        <v>0.63414634146341464</v>
      </c>
    </row>
    <row r="672" spans="1:6" x14ac:dyDescent="0.2">
      <c r="A672" t="s">
        <v>552</v>
      </c>
      <c r="B672" s="4">
        <v>44489</v>
      </c>
      <c r="C672">
        <v>16.8</v>
      </c>
      <c r="D672" t="s">
        <v>34</v>
      </c>
      <c r="E672">
        <f>_xlfn.XLOOKUP(D672,Worksheet!$C$3:$C$32,Worksheet!$M$3:$M$32)</f>
        <v>112.1</v>
      </c>
      <c r="F672" s="19">
        <f>_xlfn.XLOOKUP(D672,Worksheet!$C$3:$C$32,Worksheet!$S$3:$S$32)</f>
        <v>0.58536585365853655</v>
      </c>
    </row>
    <row r="673" spans="1:6" x14ac:dyDescent="0.2">
      <c r="A673" t="s">
        <v>552</v>
      </c>
      <c r="B673" s="4">
        <v>44491</v>
      </c>
      <c r="C673">
        <v>24.1</v>
      </c>
      <c r="D673" t="s">
        <v>62</v>
      </c>
      <c r="E673">
        <f>_xlfn.XLOOKUP(D673,Worksheet!$C$3:$C$32,Worksheet!$M$3:$M$32)</f>
        <v>113.3</v>
      </c>
      <c r="F673" s="19">
        <f>_xlfn.XLOOKUP(D673,Worksheet!$C$3:$C$32,Worksheet!$S$3:$S$32)</f>
        <v>0.40243902439024393</v>
      </c>
    </row>
    <row r="674" spans="1:6" x14ac:dyDescent="0.2">
      <c r="A674" t="s">
        <v>552</v>
      </c>
      <c r="B674" s="4">
        <v>44492</v>
      </c>
      <c r="C674">
        <v>9.6</v>
      </c>
      <c r="D674" t="s">
        <v>96</v>
      </c>
      <c r="E674">
        <f>_xlfn.XLOOKUP(D674,Worksheet!$C$3:$C$32,Worksheet!$M$3:$M$32)</f>
        <v>116.9</v>
      </c>
      <c r="F674" s="19">
        <f>_xlfn.XLOOKUP(D674,Worksheet!$C$3:$C$32,Worksheet!$S$3:$S$32)</f>
        <v>0.32926829268292684</v>
      </c>
    </row>
    <row r="675" spans="1:6" x14ac:dyDescent="0.2">
      <c r="A675" t="s">
        <v>552</v>
      </c>
      <c r="B675" s="4">
        <v>44496</v>
      </c>
      <c r="C675">
        <v>8.1999999999999993</v>
      </c>
      <c r="D675" t="s">
        <v>66</v>
      </c>
      <c r="E675">
        <f>_xlfn.XLOOKUP(D675,Worksheet!$C$3:$C$32,Worksheet!$M$3:$M$32)</f>
        <v>115.3</v>
      </c>
      <c r="F675" s="19">
        <f>_xlfn.XLOOKUP(D675,Worksheet!$C$3:$C$32,Worksheet!$S$3:$S$32)</f>
        <v>0.36585365853658536</v>
      </c>
    </row>
    <row r="676" spans="1:6" x14ac:dyDescent="0.2">
      <c r="A676" t="s">
        <v>552</v>
      </c>
      <c r="B676" s="4">
        <v>44499</v>
      </c>
      <c r="C676">
        <v>18.600000000000001</v>
      </c>
      <c r="D676" t="s">
        <v>87</v>
      </c>
      <c r="E676">
        <f>_xlfn.XLOOKUP(D676,Worksheet!$C$3:$C$32,Worksheet!$M$3:$M$32)</f>
        <v>109.7</v>
      </c>
      <c r="F676" s="19">
        <f>_xlfn.XLOOKUP(D676,Worksheet!$C$3:$C$32,Worksheet!$S$3:$S$32)</f>
        <v>0.53658536585365857</v>
      </c>
    </row>
    <row r="677" spans="1:6" x14ac:dyDescent="0.2">
      <c r="A677" t="s">
        <v>552</v>
      </c>
      <c r="B677" s="4">
        <v>44502</v>
      </c>
      <c r="C677">
        <v>22</v>
      </c>
      <c r="D677" t="s">
        <v>74</v>
      </c>
      <c r="E677">
        <f>_xlfn.XLOOKUP(D677,Worksheet!$C$3:$C$32,Worksheet!$M$3:$M$32)</f>
        <v>113</v>
      </c>
      <c r="F677" s="19">
        <f>_xlfn.XLOOKUP(D677,Worksheet!$C$3:$C$32,Worksheet!$S$3:$S$32)</f>
        <v>0.43902439024390244</v>
      </c>
    </row>
    <row r="678" spans="1:6" x14ac:dyDescent="0.2">
      <c r="A678" t="s">
        <v>552</v>
      </c>
      <c r="B678" s="4">
        <v>44504</v>
      </c>
      <c r="C678">
        <v>17</v>
      </c>
      <c r="D678" t="s">
        <v>76</v>
      </c>
      <c r="E678">
        <f>_xlfn.XLOOKUP(D678,Worksheet!$C$3:$C$32,Worksheet!$M$3:$M$32)</f>
        <v>116.7</v>
      </c>
      <c r="F678" s="19">
        <f>_xlfn.XLOOKUP(D678,Worksheet!$C$3:$C$32,Worksheet!$S$3:$S$32)</f>
        <v>0.24390243902439024</v>
      </c>
    </row>
    <row r="679" spans="1:6" x14ac:dyDescent="0.2">
      <c r="A679" t="s">
        <v>552</v>
      </c>
      <c r="B679" s="4">
        <v>44506</v>
      </c>
      <c r="C679">
        <v>22.2</v>
      </c>
      <c r="D679" t="s">
        <v>78</v>
      </c>
      <c r="E679">
        <f>_xlfn.XLOOKUP(D679,Worksheet!$C$3:$C$32,Worksheet!$M$3:$M$32)</f>
        <v>114.9</v>
      </c>
      <c r="F679" s="19">
        <f>_xlfn.XLOOKUP(D679,Worksheet!$C$3:$C$32,Worksheet!$S$3:$S$32)</f>
        <v>0.52439024390243905</v>
      </c>
    </row>
    <row r="680" spans="1:6" x14ac:dyDescent="0.2">
      <c r="A680" t="s">
        <v>552</v>
      </c>
      <c r="B680" s="4">
        <v>44508</v>
      </c>
      <c r="C680">
        <v>15</v>
      </c>
      <c r="D680" t="s">
        <v>66</v>
      </c>
      <c r="E680">
        <f>_xlfn.XLOOKUP(D680,Worksheet!$C$3:$C$32,Worksheet!$M$3:$M$32)</f>
        <v>115.3</v>
      </c>
      <c r="F680" s="19">
        <f>_xlfn.XLOOKUP(D680,Worksheet!$C$3:$C$32,Worksheet!$S$3:$S$32)</f>
        <v>0.36585365853658536</v>
      </c>
    </row>
    <row r="681" spans="1:6" x14ac:dyDescent="0.2">
      <c r="A681" t="s">
        <v>552</v>
      </c>
      <c r="B681" s="4">
        <v>44510</v>
      </c>
      <c r="C681">
        <v>17.399999999999999</v>
      </c>
      <c r="D681" t="s">
        <v>96</v>
      </c>
      <c r="E681">
        <f>_xlfn.XLOOKUP(D681,Worksheet!$C$3:$C$32,Worksheet!$M$3:$M$32)</f>
        <v>116.9</v>
      </c>
      <c r="F681" s="19">
        <f>_xlfn.XLOOKUP(D681,Worksheet!$C$3:$C$32,Worksheet!$S$3:$S$32)</f>
        <v>0.32926829268292684</v>
      </c>
    </row>
    <row r="682" spans="1:6" x14ac:dyDescent="0.2">
      <c r="A682" t="s">
        <v>552</v>
      </c>
      <c r="B682" s="4">
        <v>44512</v>
      </c>
      <c r="C682">
        <v>20.8</v>
      </c>
      <c r="D682" t="s">
        <v>42</v>
      </c>
      <c r="E682">
        <f>_xlfn.XLOOKUP(D682,Worksheet!$C$3:$C$32,Worksheet!$M$3:$M$32)</f>
        <v>109</v>
      </c>
      <c r="F682" s="19">
        <f>_xlfn.XLOOKUP(D682,Worksheet!$C$3:$C$32,Worksheet!$S$3:$S$32)</f>
        <v>0.68292682926829273</v>
      </c>
    </row>
    <row r="683" spans="1:6" x14ac:dyDescent="0.2">
      <c r="A683" t="s">
        <v>552</v>
      </c>
      <c r="B683" s="4">
        <v>44514</v>
      </c>
      <c r="C683">
        <v>17.600000000000001</v>
      </c>
      <c r="D683" t="s">
        <v>76</v>
      </c>
      <c r="E683">
        <f>_xlfn.XLOOKUP(D683,Worksheet!$C$3:$C$32,Worksheet!$M$3:$M$32)</f>
        <v>116.7</v>
      </c>
      <c r="F683" s="19">
        <f>_xlfn.XLOOKUP(D683,Worksheet!$C$3:$C$32,Worksheet!$S$3:$S$32)</f>
        <v>0.24390243902439024</v>
      </c>
    </row>
    <row r="684" spans="1:6" x14ac:dyDescent="0.2">
      <c r="A684" t="s">
        <v>552</v>
      </c>
      <c r="B684" s="4">
        <v>44515</v>
      </c>
      <c r="C684">
        <v>17.7</v>
      </c>
      <c r="D684" t="s">
        <v>80</v>
      </c>
      <c r="E684">
        <f>_xlfn.XLOOKUP(D684,Worksheet!$C$3:$C$32,Worksheet!$M$3:$M$32)</f>
        <v>111.7</v>
      </c>
      <c r="F684" s="19">
        <f>_xlfn.XLOOKUP(D684,Worksheet!$C$3:$C$32,Worksheet!$S$3:$S$32)</f>
        <v>0.56097560975609762</v>
      </c>
    </row>
    <row r="685" spans="1:6" x14ac:dyDescent="0.2">
      <c r="A685" t="s">
        <v>552</v>
      </c>
      <c r="B685" s="4">
        <v>44517</v>
      </c>
      <c r="C685">
        <v>9.1999999999999993</v>
      </c>
      <c r="D685" t="s">
        <v>49</v>
      </c>
      <c r="E685">
        <f>_xlfn.XLOOKUP(D685,Worksheet!$C$3:$C$32,Worksheet!$M$3:$M$32)</f>
        <v>109.4</v>
      </c>
      <c r="F685" s="19">
        <f>_xlfn.XLOOKUP(D685,Worksheet!$C$3:$C$32,Worksheet!$S$3:$S$32)</f>
        <v>0.63414634146341464</v>
      </c>
    </row>
    <row r="686" spans="1:6" x14ac:dyDescent="0.2">
      <c r="A686" t="s">
        <v>552</v>
      </c>
      <c r="B686" s="4">
        <v>44519</v>
      </c>
      <c r="C686">
        <v>19.5</v>
      </c>
      <c r="D686" t="s">
        <v>49</v>
      </c>
      <c r="E686">
        <f>_xlfn.XLOOKUP(D686,Worksheet!$C$3:$C$32,Worksheet!$M$3:$M$32)</f>
        <v>109.4</v>
      </c>
      <c r="F686" s="19">
        <f>_xlfn.XLOOKUP(D686,Worksheet!$C$3:$C$32,Worksheet!$S$3:$S$32)</f>
        <v>0.63414634146341464</v>
      </c>
    </row>
    <row r="687" spans="1:6" x14ac:dyDescent="0.2">
      <c r="A687" t="s">
        <v>552</v>
      </c>
      <c r="B687" s="4">
        <v>44521</v>
      </c>
      <c r="C687">
        <v>13.7</v>
      </c>
      <c r="D687" t="s">
        <v>34</v>
      </c>
      <c r="E687">
        <f>_xlfn.XLOOKUP(D687,Worksheet!$C$3:$C$32,Worksheet!$M$3:$M$32)</f>
        <v>112.1</v>
      </c>
      <c r="F687" s="19">
        <f>_xlfn.XLOOKUP(D687,Worksheet!$C$3:$C$32,Worksheet!$S$3:$S$32)</f>
        <v>0.58536585365853655</v>
      </c>
    </row>
    <row r="688" spans="1:6" x14ac:dyDescent="0.2">
      <c r="A688" t="s">
        <v>552</v>
      </c>
      <c r="B688" s="4">
        <v>44522</v>
      </c>
      <c r="C688">
        <v>7</v>
      </c>
      <c r="D688" t="s">
        <v>102</v>
      </c>
      <c r="E688">
        <f>_xlfn.XLOOKUP(D688,Worksheet!$C$3:$C$32,Worksheet!$M$3:$M$32)</f>
        <v>112.3</v>
      </c>
      <c r="F688" s="19">
        <f>_xlfn.XLOOKUP(D688,Worksheet!$C$3:$C$32,Worksheet!$S$3:$S$32)</f>
        <v>0.41463414634146339</v>
      </c>
    </row>
    <row r="689" spans="1:6" x14ac:dyDescent="0.2">
      <c r="A689" t="s">
        <v>552</v>
      </c>
      <c r="B689" s="4">
        <v>44524</v>
      </c>
      <c r="C689">
        <v>17.399999999999999</v>
      </c>
      <c r="D689" t="s">
        <v>87</v>
      </c>
      <c r="E689">
        <f>_xlfn.XLOOKUP(D689,Worksheet!$C$3:$C$32,Worksheet!$M$3:$M$32)</f>
        <v>109.7</v>
      </c>
      <c r="F689" s="19">
        <f>_xlfn.XLOOKUP(D689,Worksheet!$C$3:$C$32,Worksheet!$S$3:$S$32)</f>
        <v>0.53658536585365857</v>
      </c>
    </row>
    <row r="690" spans="1:6" x14ac:dyDescent="0.2">
      <c r="A690" t="s">
        <v>552</v>
      </c>
      <c r="B690" s="4">
        <v>44526</v>
      </c>
      <c r="C690">
        <v>17</v>
      </c>
      <c r="D690" t="s">
        <v>110</v>
      </c>
      <c r="E690">
        <f>_xlfn.XLOOKUP(D690,Worksheet!$C$3:$C$32,Worksheet!$M$3:$M$32)</f>
        <v>110.5</v>
      </c>
      <c r="F690" s="19">
        <f>_xlfn.XLOOKUP(D690,Worksheet!$C$3:$C$32,Worksheet!$S$3:$S$32)</f>
        <v>0.45121951219512196</v>
      </c>
    </row>
    <row r="691" spans="1:6" x14ac:dyDescent="0.2">
      <c r="A691" t="s">
        <v>552</v>
      </c>
      <c r="B691" s="4">
        <v>44527</v>
      </c>
      <c r="C691">
        <v>15.4</v>
      </c>
      <c r="D691" t="s">
        <v>85</v>
      </c>
      <c r="E691">
        <f>_xlfn.XLOOKUP(D691,Worksheet!$C$3:$C$32,Worksheet!$M$3:$M$32)</f>
        <v>112.8</v>
      </c>
      <c r="F691" s="19">
        <f>_xlfn.XLOOKUP(D691,Worksheet!$C$3:$C$32,Worksheet!$S$3:$S$32)</f>
        <v>0.53658536585365857</v>
      </c>
    </row>
    <row r="692" spans="1:6" x14ac:dyDescent="0.2">
      <c r="A692" t="s">
        <v>552</v>
      </c>
      <c r="B692" s="4">
        <v>44530</v>
      </c>
      <c r="C692">
        <v>20</v>
      </c>
      <c r="D692" t="s">
        <v>33</v>
      </c>
      <c r="E692">
        <f>_xlfn.XLOOKUP(D692,Worksheet!$C$3:$C$32,Worksheet!$M$3:$M$32)</f>
        <v>106.9</v>
      </c>
      <c r="F692" s="19">
        <f>_xlfn.XLOOKUP(D692,Worksheet!$C$3:$C$32,Worksheet!$S$3:$S$32)</f>
        <v>0.64634146341463417</v>
      </c>
    </row>
    <row r="693" spans="1:6" x14ac:dyDescent="0.2">
      <c r="A693" t="s">
        <v>552</v>
      </c>
      <c r="B693" s="4">
        <v>44532</v>
      </c>
      <c r="C693">
        <v>14.8</v>
      </c>
      <c r="D693" t="s">
        <v>89</v>
      </c>
      <c r="E693">
        <f>_xlfn.XLOOKUP(D693,Worksheet!$C$3:$C$32,Worksheet!$M$3:$M$32)</f>
        <v>113.8</v>
      </c>
      <c r="F693" s="19">
        <f>_xlfn.XLOOKUP(D693,Worksheet!$C$3:$C$32,Worksheet!$S$3:$S$32)</f>
        <v>0.28048780487804881</v>
      </c>
    </row>
    <row r="694" spans="1:6" x14ac:dyDescent="0.2">
      <c r="A694" t="s">
        <v>552</v>
      </c>
      <c r="B694" s="4">
        <v>44533</v>
      </c>
      <c r="C694">
        <v>10.7</v>
      </c>
      <c r="D694" t="s">
        <v>33</v>
      </c>
      <c r="E694">
        <f>_xlfn.XLOOKUP(D694,Worksheet!$C$3:$C$32,Worksheet!$M$3:$M$32)</f>
        <v>106.9</v>
      </c>
      <c r="F694" s="19">
        <f>_xlfn.XLOOKUP(D694,Worksheet!$C$3:$C$32,Worksheet!$S$3:$S$32)</f>
        <v>0.64634146341463417</v>
      </c>
    </row>
    <row r="695" spans="1:6" x14ac:dyDescent="0.2">
      <c r="A695" t="s">
        <v>552</v>
      </c>
      <c r="B695" s="4">
        <v>44536</v>
      </c>
      <c r="C695">
        <v>16.600000000000001</v>
      </c>
      <c r="D695" t="s">
        <v>102</v>
      </c>
      <c r="E695">
        <f>_xlfn.XLOOKUP(D695,Worksheet!$C$3:$C$32,Worksheet!$M$3:$M$32)</f>
        <v>112.3</v>
      </c>
      <c r="F695" s="19">
        <f>_xlfn.XLOOKUP(D695,Worksheet!$C$3:$C$32,Worksheet!$S$3:$S$32)</f>
        <v>0.41463414634146339</v>
      </c>
    </row>
    <row r="696" spans="1:6" x14ac:dyDescent="0.2">
      <c r="A696" t="s">
        <v>552</v>
      </c>
      <c r="B696" s="4">
        <v>44540</v>
      </c>
      <c r="C696">
        <v>14.8</v>
      </c>
      <c r="D696" t="s">
        <v>55</v>
      </c>
      <c r="E696">
        <f>_xlfn.XLOOKUP(D696,Worksheet!$C$3:$C$32,Worksheet!$M$3:$M$32)</f>
        <v>106.9</v>
      </c>
      <c r="F696" s="19">
        <f>_xlfn.XLOOKUP(D696,Worksheet!$C$3:$C$32,Worksheet!$S$3:$S$32)</f>
        <v>0.62195121951219512</v>
      </c>
    </row>
    <row r="697" spans="1:6" x14ac:dyDescent="0.2">
      <c r="A697" t="s">
        <v>552</v>
      </c>
      <c r="B697" s="4">
        <v>44543</v>
      </c>
      <c r="C697">
        <v>6.4</v>
      </c>
      <c r="D697" t="s">
        <v>64</v>
      </c>
      <c r="E697">
        <f>_xlfn.XLOOKUP(D697,Worksheet!$C$3:$C$32,Worksheet!$M$3:$M$32)</f>
        <v>110.1</v>
      </c>
      <c r="F697" s="19">
        <f>_xlfn.XLOOKUP(D697,Worksheet!$C$3:$C$32,Worksheet!$S$3:$S$32)</f>
        <v>0.51219512195121952</v>
      </c>
    </row>
    <row r="698" spans="1:6" x14ac:dyDescent="0.2">
      <c r="A698" t="s">
        <v>552</v>
      </c>
      <c r="B698" s="4">
        <v>44544</v>
      </c>
      <c r="C698">
        <v>24.9</v>
      </c>
      <c r="D698" t="s">
        <v>96</v>
      </c>
      <c r="E698">
        <f>_xlfn.XLOOKUP(D698,Worksheet!$C$3:$C$32,Worksheet!$M$3:$M$32)</f>
        <v>116.9</v>
      </c>
      <c r="F698" s="19">
        <f>_xlfn.XLOOKUP(D698,Worksheet!$C$3:$C$32,Worksheet!$S$3:$S$32)</f>
        <v>0.32926829268292684</v>
      </c>
    </row>
    <row r="699" spans="1:6" x14ac:dyDescent="0.2">
      <c r="A699" t="s">
        <v>552</v>
      </c>
      <c r="B699" s="4">
        <v>44546</v>
      </c>
      <c r="C699">
        <v>13.1</v>
      </c>
      <c r="D699" t="s">
        <v>155</v>
      </c>
      <c r="E699">
        <f>_xlfn.XLOOKUP(D699,Worksheet!$C$3:$C$32,Worksheet!$M$3:$M$32)</f>
        <v>114.5</v>
      </c>
      <c r="F699" s="19">
        <f>_xlfn.XLOOKUP(D699,Worksheet!$C$3:$C$32,Worksheet!$S$3:$S$32)</f>
        <v>0.42682926829268292</v>
      </c>
    </row>
    <row r="700" spans="1:6" x14ac:dyDescent="0.2">
      <c r="A700" t="s">
        <v>552</v>
      </c>
      <c r="B700" s="4">
        <v>44549</v>
      </c>
      <c r="C700">
        <v>16.2</v>
      </c>
      <c r="D700" t="s">
        <v>72</v>
      </c>
      <c r="E700">
        <f>_xlfn.XLOOKUP(D700,Worksheet!$C$3:$C$32,Worksheet!$M$3:$M$32)</f>
        <v>113.7</v>
      </c>
      <c r="F700" s="19">
        <f>_xlfn.XLOOKUP(D700,Worksheet!$C$3:$C$32,Worksheet!$S$3:$S$32)</f>
        <v>0.52439024390243905</v>
      </c>
    </row>
    <row r="701" spans="1:6" x14ac:dyDescent="0.2">
      <c r="A701" t="s">
        <v>552</v>
      </c>
      <c r="B701" s="4">
        <v>44551</v>
      </c>
      <c r="C701">
        <v>12.8</v>
      </c>
      <c r="D701" t="s">
        <v>62</v>
      </c>
      <c r="E701">
        <f>_xlfn.XLOOKUP(D701,Worksheet!$C$3:$C$32,Worksheet!$M$3:$M$32)</f>
        <v>113.3</v>
      </c>
      <c r="F701" s="19">
        <f>_xlfn.XLOOKUP(D701,Worksheet!$C$3:$C$32,Worksheet!$S$3:$S$32)</f>
        <v>0.40243902439024393</v>
      </c>
    </row>
    <row r="702" spans="1:6" x14ac:dyDescent="0.2">
      <c r="A702" t="s">
        <v>552</v>
      </c>
      <c r="B702" s="4">
        <v>44553</v>
      </c>
      <c r="C702">
        <v>14.8</v>
      </c>
      <c r="D702" t="s">
        <v>68</v>
      </c>
      <c r="E702">
        <f>_xlfn.XLOOKUP(D702,Worksheet!$C$3:$C$32,Worksheet!$M$3:$M$32)</f>
        <v>112.8</v>
      </c>
      <c r="F702" s="19">
        <f>_xlfn.XLOOKUP(D702,Worksheet!$C$3:$C$32,Worksheet!$S$3:$S$32)</f>
        <v>0.29268292682926828</v>
      </c>
    </row>
    <row r="703" spans="1:6" x14ac:dyDescent="0.2">
      <c r="A703" t="s">
        <v>552</v>
      </c>
      <c r="B703" s="4">
        <v>44555</v>
      </c>
      <c r="C703">
        <v>19</v>
      </c>
      <c r="D703" t="s">
        <v>33</v>
      </c>
      <c r="E703">
        <f>_xlfn.XLOOKUP(D703,Worksheet!$C$3:$C$32,Worksheet!$M$3:$M$32)</f>
        <v>106.9</v>
      </c>
      <c r="F703" s="19">
        <f>_xlfn.XLOOKUP(D703,Worksheet!$C$3:$C$32,Worksheet!$S$3:$S$32)</f>
        <v>0.64634146341463417</v>
      </c>
    </row>
    <row r="704" spans="1:6" x14ac:dyDescent="0.2">
      <c r="A704" t="s">
        <v>552</v>
      </c>
      <c r="B704" s="4">
        <v>44557</v>
      </c>
      <c r="C704">
        <v>15.6</v>
      </c>
      <c r="D704" t="s">
        <v>42</v>
      </c>
      <c r="E704">
        <f>_xlfn.XLOOKUP(D704,Worksheet!$C$3:$C$32,Worksheet!$M$3:$M$32)</f>
        <v>109</v>
      </c>
      <c r="F704" s="19">
        <f>_xlfn.XLOOKUP(D704,Worksheet!$C$3:$C$32,Worksheet!$S$3:$S$32)</f>
        <v>0.68292682926829273</v>
      </c>
    </row>
    <row r="705" spans="1:6" x14ac:dyDescent="0.2">
      <c r="A705" t="s">
        <v>552</v>
      </c>
      <c r="B705" s="4">
        <v>44559</v>
      </c>
      <c r="C705">
        <v>10.7</v>
      </c>
      <c r="D705" t="s">
        <v>68</v>
      </c>
      <c r="E705">
        <f>_xlfn.XLOOKUP(D705,Worksheet!$C$3:$C$32,Worksheet!$M$3:$M$32)</f>
        <v>112.8</v>
      </c>
      <c r="F705" s="19">
        <f>_xlfn.XLOOKUP(D705,Worksheet!$C$3:$C$32,Worksheet!$S$3:$S$32)</f>
        <v>0.29268292682926828</v>
      </c>
    </row>
    <row r="706" spans="1:6" x14ac:dyDescent="0.2">
      <c r="A706" t="s">
        <v>552</v>
      </c>
      <c r="B706" s="4">
        <v>44561</v>
      </c>
      <c r="C706">
        <v>12.6</v>
      </c>
      <c r="D706" t="s">
        <v>55</v>
      </c>
      <c r="E706">
        <f>_xlfn.XLOOKUP(D706,Worksheet!$C$3:$C$32,Worksheet!$M$3:$M$32)</f>
        <v>106.9</v>
      </c>
      <c r="F706" s="19">
        <f>_xlfn.XLOOKUP(D706,Worksheet!$C$3:$C$32,Worksheet!$S$3:$S$32)</f>
        <v>0.62195121951219512</v>
      </c>
    </row>
    <row r="707" spans="1:6" x14ac:dyDescent="0.2">
      <c r="A707" t="s">
        <v>552</v>
      </c>
      <c r="B707" s="4">
        <v>44563</v>
      </c>
      <c r="C707">
        <v>16.2</v>
      </c>
      <c r="D707" t="s">
        <v>72</v>
      </c>
      <c r="E707">
        <f>_xlfn.XLOOKUP(D707,Worksheet!$C$3:$C$32,Worksheet!$M$3:$M$32)</f>
        <v>113.7</v>
      </c>
      <c r="F707" s="19">
        <f>_xlfn.XLOOKUP(D707,Worksheet!$C$3:$C$32,Worksheet!$S$3:$S$32)</f>
        <v>0.52439024390243905</v>
      </c>
    </row>
    <row r="708" spans="1:6" x14ac:dyDescent="0.2">
      <c r="A708" t="s">
        <v>552</v>
      </c>
      <c r="B708" s="4">
        <v>44565</v>
      </c>
      <c r="C708">
        <v>13.9</v>
      </c>
      <c r="D708" t="s">
        <v>74</v>
      </c>
      <c r="E708">
        <f>_xlfn.XLOOKUP(D708,Worksheet!$C$3:$C$32,Worksheet!$M$3:$M$32)</f>
        <v>113</v>
      </c>
      <c r="F708" s="19">
        <f>_xlfn.XLOOKUP(D708,Worksheet!$C$3:$C$32,Worksheet!$S$3:$S$32)</f>
        <v>0.43902439024390244</v>
      </c>
    </row>
    <row r="709" spans="1:6" x14ac:dyDescent="0.2">
      <c r="A709" t="s">
        <v>552</v>
      </c>
      <c r="B709" s="4">
        <v>44567</v>
      </c>
      <c r="C709">
        <v>18.8</v>
      </c>
      <c r="D709" t="s">
        <v>64</v>
      </c>
      <c r="E709">
        <f>_xlfn.XLOOKUP(D709,Worksheet!$C$3:$C$32,Worksheet!$M$3:$M$32)</f>
        <v>110.1</v>
      </c>
      <c r="F709" s="19">
        <f>_xlfn.XLOOKUP(D709,Worksheet!$C$3:$C$32,Worksheet!$S$3:$S$32)</f>
        <v>0.51219512195121952</v>
      </c>
    </row>
    <row r="710" spans="1:6" x14ac:dyDescent="0.2">
      <c r="A710" t="s">
        <v>552</v>
      </c>
      <c r="B710" s="4">
        <v>44569</v>
      </c>
      <c r="C710">
        <v>4.8</v>
      </c>
      <c r="D710" t="s">
        <v>120</v>
      </c>
      <c r="E710">
        <f>_xlfn.XLOOKUP(D710,Worksheet!$C$3:$C$32,Worksheet!$M$3:$M$32)</f>
        <v>109.1</v>
      </c>
      <c r="F710" s="19">
        <f>_xlfn.XLOOKUP(D710,Worksheet!$C$3:$C$32,Worksheet!$S$3:$S$32)</f>
        <v>0.64634146341463417</v>
      </c>
    </row>
    <row r="711" spans="1:6" x14ac:dyDescent="0.2">
      <c r="A711" t="s">
        <v>552</v>
      </c>
      <c r="B711" s="4">
        <v>44572</v>
      </c>
      <c r="C711">
        <v>20.5</v>
      </c>
      <c r="D711" t="s">
        <v>92</v>
      </c>
      <c r="E711">
        <f>_xlfn.XLOOKUP(D711,Worksheet!$C$3:$C$32,Worksheet!$M$3:$M$32)</f>
        <v>110.5</v>
      </c>
      <c r="F711" s="19">
        <f>_xlfn.XLOOKUP(D711,Worksheet!$C$3:$C$32,Worksheet!$S$3:$S$32)</f>
        <v>0.58536585365853655</v>
      </c>
    </row>
    <row r="712" spans="1:6" x14ac:dyDescent="0.2">
      <c r="A712" t="s">
        <v>552</v>
      </c>
      <c r="B712" s="4">
        <v>44575</v>
      </c>
      <c r="C712">
        <v>12.1</v>
      </c>
      <c r="D712" t="s">
        <v>108</v>
      </c>
      <c r="E712">
        <f>_xlfn.XLOOKUP(D712,Worksheet!$C$3:$C$32,Worksheet!$M$3:$M$32)</f>
        <v>116.1</v>
      </c>
      <c r="F712" s="19">
        <f>_xlfn.XLOOKUP(D712,Worksheet!$C$3:$C$32,Worksheet!$S$3:$S$32)</f>
        <v>0.3048780487804878</v>
      </c>
    </row>
    <row r="713" spans="1:6" x14ac:dyDescent="0.2">
      <c r="A713" t="s">
        <v>552</v>
      </c>
      <c r="B713" s="4">
        <v>44577</v>
      </c>
      <c r="C713">
        <v>8.6999999999999993</v>
      </c>
      <c r="D713" t="s">
        <v>89</v>
      </c>
      <c r="E713">
        <f>_xlfn.XLOOKUP(D713,Worksheet!$C$3:$C$32,Worksheet!$M$3:$M$32)</f>
        <v>113.8</v>
      </c>
      <c r="F713" s="19">
        <f>_xlfn.XLOOKUP(D713,Worksheet!$C$3:$C$32,Worksheet!$S$3:$S$32)</f>
        <v>0.28048780487804881</v>
      </c>
    </row>
    <row r="714" spans="1:6" x14ac:dyDescent="0.2">
      <c r="A714" t="s">
        <v>552</v>
      </c>
      <c r="B714" s="4">
        <v>44578</v>
      </c>
      <c r="C714">
        <v>21.4</v>
      </c>
      <c r="D714" t="s">
        <v>102</v>
      </c>
      <c r="E714">
        <f>_xlfn.XLOOKUP(D714,Worksheet!$C$3:$C$32,Worksheet!$M$3:$M$32)</f>
        <v>112.3</v>
      </c>
      <c r="F714" s="19">
        <f>_xlfn.XLOOKUP(D714,Worksheet!$C$3:$C$32,Worksheet!$S$3:$S$32)</f>
        <v>0.41463414634146339</v>
      </c>
    </row>
    <row r="715" spans="1:6" x14ac:dyDescent="0.2">
      <c r="A715" t="s">
        <v>552</v>
      </c>
      <c r="B715" s="4">
        <v>44581</v>
      </c>
      <c r="C715">
        <v>24.1</v>
      </c>
      <c r="D715" t="s">
        <v>49</v>
      </c>
      <c r="E715">
        <f>_xlfn.XLOOKUP(D715,Worksheet!$C$3:$C$32,Worksheet!$M$3:$M$32)</f>
        <v>109.4</v>
      </c>
      <c r="F715" s="19">
        <f>_xlfn.XLOOKUP(D715,Worksheet!$C$3:$C$32,Worksheet!$S$3:$S$32)</f>
        <v>0.63414634146341464</v>
      </c>
    </row>
    <row r="716" spans="1:6" x14ac:dyDescent="0.2">
      <c r="A716" t="s">
        <v>552</v>
      </c>
      <c r="B716" s="4">
        <v>44583</v>
      </c>
      <c r="C716">
        <v>25.9</v>
      </c>
      <c r="D716" t="s">
        <v>108</v>
      </c>
      <c r="E716">
        <f>_xlfn.XLOOKUP(D716,Worksheet!$C$3:$C$32,Worksheet!$M$3:$M$32)</f>
        <v>116.1</v>
      </c>
      <c r="F716" s="19">
        <f>_xlfn.XLOOKUP(D716,Worksheet!$C$3:$C$32,Worksheet!$S$3:$S$32)</f>
        <v>0.3048780487804878</v>
      </c>
    </row>
    <row r="717" spans="1:6" x14ac:dyDescent="0.2">
      <c r="A717" t="s">
        <v>552</v>
      </c>
      <c r="B717" s="4">
        <v>44585</v>
      </c>
      <c r="C717">
        <v>24.1</v>
      </c>
      <c r="D717" t="s">
        <v>118</v>
      </c>
      <c r="E717">
        <f>_xlfn.XLOOKUP(D717,Worksheet!$C$3:$C$32,Worksheet!$M$3:$M$32)</f>
        <v>110.5</v>
      </c>
      <c r="F717" s="19">
        <f>_xlfn.XLOOKUP(D717,Worksheet!$C$3:$C$32,Worksheet!$S$3:$S$32)</f>
        <v>0.59756097560975607</v>
      </c>
    </row>
    <row r="718" spans="1:6" x14ac:dyDescent="0.2">
      <c r="A718" t="s">
        <v>552</v>
      </c>
      <c r="B718" s="4">
        <v>44587</v>
      </c>
      <c r="C718">
        <v>13.7</v>
      </c>
      <c r="D718" t="s">
        <v>118</v>
      </c>
      <c r="E718">
        <f>_xlfn.XLOOKUP(D718,Worksheet!$C$3:$C$32,Worksheet!$M$3:$M$32)</f>
        <v>110.5</v>
      </c>
      <c r="F718" s="19">
        <f>_xlfn.XLOOKUP(D718,Worksheet!$C$3:$C$32,Worksheet!$S$3:$S$32)</f>
        <v>0.59756097560975607</v>
      </c>
    </row>
    <row r="719" spans="1:6" x14ac:dyDescent="0.2">
      <c r="A719" t="s">
        <v>552</v>
      </c>
      <c r="B719" s="4">
        <v>44589</v>
      </c>
      <c r="C719">
        <v>28</v>
      </c>
      <c r="D719" t="s">
        <v>80</v>
      </c>
      <c r="E719">
        <f>_xlfn.XLOOKUP(D719,Worksheet!$C$3:$C$32,Worksheet!$M$3:$M$32)</f>
        <v>111.7</v>
      </c>
      <c r="F719" s="19">
        <f>_xlfn.XLOOKUP(D719,Worksheet!$C$3:$C$32,Worksheet!$S$3:$S$32)</f>
        <v>0.56097560975609762</v>
      </c>
    </row>
    <row r="720" spans="1:6" x14ac:dyDescent="0.2">
      <c r="A720" t="s">
        <v>552</v>
      </c>
      <c r="B720" s="4">
        <v>44591</v>
      </c>
      <c r="C720">
        <v>26.6</v>
      </c>
      <c r="D720" t="s">
        <v>102</v>
      </c>
      <c r="E720">
        <f>_xlfn.XLOOKUP(D720,Worksheet!$C$3:$C$32,Worksheet!$M$3:$M$32)</f>
        <v>112.3</v>
      </c>
      <c r="F720" s="19">
        <f>_xlfn.XLOOKUP(D720,Worksheet!$C$3:$C$32,Worksheet!$S$3:$S$32)</f>
        <v>0.41463414634146339</v>
      </c>
    </row>
    <row r="721" spans="1:6" x14ac:dyDescent="0.2">
      <c r="A721" t="s">
        <v>552</v>
      </c>
      <c r="B721" s="4">
        <v>44593</v>
      </c>
      <c r="C721">
        <v>23.8</v>
      </c>
      <c r="D721" t="s">
        <v>85</v>
      </c>
      <c r="E721">
        <f>_xlfn.XLOOKUP(D721,Worksheet!$C$3:$C$32,Worksheet!$M$3:$M$32)</f>
        <v>112.8</v>
      </c>
      <c r="F721" s="19">
        <f>_xlfn.XLOOKUP(D721,Worksheet!$C$3:$C$32,Worksheet!$S$3:$S$32)</f>
        <v>0.53658536585365857</v>
      </c>
    </row>
    <row r="722" spans="1:6" x14ac:dyDescent="0.2">
      <c r="A722" t="s">
        <v>552</v>
      </c>
      <c r="B722" s="4">
        <v>44595</v>
      </c>
      <c r="C722">
        <v>21.2</v>
      </c>
      <c r="D722" t="s">
        <v>78</v>
      </c>
      <c r="E722">
        <f>_xlfn.XLOOKUP(D722,Worksheet!$C$3:$C$32,Worksheet!$M$3:$M$32)</f>
        <v>114.9</v>
      </c>
      <c r="F722" s="19">
        <f>_xlfn.XLOOKUP(D722,Worksheet!$C$3:$C$32,Worksheet!$S$3:$S$32)</f>
        <v>0.52439024390243905</v>
      </c>
    </row>
    <row r="723" spans="1:6" x14ac:dyDescent="0.2">
      <c r="A723" t="s">
        <v>552</v>
      </c>
      <c r="B723" s="4">
        <v>44597</v>
      </c>
      <c r="C723">
        <v>14.8</v>
      </c>
      <c r="D723" t="s">
        <v>155</v>
      </c>
      <c r="E723">
        <f>_xlfn.XLOOKUP(D723,Worksheet!$C$3:$C$32,Worksheet!$M$3:$M$32)</f>
        <v>114.5</v>
      </c>
      <c r="F723" s="19">
        <f>_xlfn.XLOOKUP(D723,Worksheet!$C$3:$C$32,Worksheet!$S$3:$S$32)</f>
        <v>0.42682926829268292</v>
      </c>
    </row>
    <row r="724" spans="1:6" x14ac:dyDescent="0.2">
      <c r="A724" t="s">
        <v>552</v>
      </c>
      <c r="B724" s="4">
        <v>44599</v>
      </c>
      <c r="C724">
        <v>19.7</v>
      </c>
      <c r="D724" t="s">
        <v>82</v>
      </c>
      <c r="E724">
        <f>_xlfn.XLOOKUP(D724,Worksheet!$C$3:$C$32,Worksheet!$M$3:$M$32)</f>
        <v>113.6</v>
      </c>
      <c r="F724" s="19">
        <f>_xlfn.XLOOKUP(D724,Worksheet!$C$3:$C$32,Worksheet!$S$3:$S$32)</f>
        <v>0.56097560975609762</v>
      </c>
    </row>
    <row r="725" spans="1:6" x14ac:dyDescent="0.2">
      <c r="A725" t="s">
        <v>552</v>
      </c>
      <c r="B725" s="4">
        <v>44600</v>
      </c>
      <c r="C725">
        <v>10.6</v>
      </c>
      <c r="D725" t="s">
        <v>94</v>
      </c>
      <c r="E725">
        <f>_xlfn.XLOOKUP(D725,Worksheet!$C$3:$C$32,Worksheet!$M$3:$M$32)</f>
        <v>110.8</v>
      </c>
      <c r="F725" s="19">
        <f>_xlfn.XLOOKUP(D725,Worksheet!$C$3:$C$32,Worksheet!$S$3:$S$32)</f>
        <v>0.62195121951219512</v>
      </c>
    </row>
    <row r="726" spans="1:6" x14ac:dyDescent="0.2">
      <c r="A726" t="s">
        <v>552</v>
      </c>
      <c r="B726" s="4">
        <v>44602</v>
      </c>
      <c r="C726">
        <v>26.3</v>
      </c>
      <c r="D726" t="s">
        <v>126</v>
      </c>
      <c r="E726">
        <f>_xlfn.XLOOKUP(D726,Worksheet!$C$3:$C$32,Worksheet!$M$3:$M$32)</f>
        <v>111.8</v>
      </c>
      <c r="F726" s="19">
        <f>_xlfn.XLOOKUP(D726,Worksheet!$C$3:$C$32,Worksheet!$S$3:$S$32)</f>
        <v>0.62195121951219512</v>
      </c>
    </row>
    <row r="727" spans="1:6" x14ac:dyDescent="0.2">
      <c r="A727" t="s">
        <v>552</v>
      </c>
      <c r="B727" s="4">
        <v>44604</v>
      </c>
      <c r="C727">
        <v>15.1</v>
      </c>
      <c r="D727" t="s">
        <v>104</v>
      </c>
      <c r="E727">
        <f>_xlfn.XLOOKUP(D727,Worksheet!$C$3:$C$32,Worksheet!$M$3:$M$32)</f>
        <v>112.5</v>
      </c>
      <c r="F727" s="19">
        <f>_xlfn.XLOOKUP(D727,Worksheet!$C$3:$C$32,Worksheet!$S$3:$S$32)</f>
        <v>0.26829268292682928</v>
      </c>
    </row>
    <row r="728" spans="1:6" x14ac:dyDescent="0.2">
      <c r="A728" t="s">
        <v>552</v>
      </c>
      <c r="B728" s="4">
        <v>44607</v>
      </c>
      <c r="C728">
        <v>19.3</v>
      </c>
      <c r="D728" t="s">
        <v>64</v>
      </c>
      <c r="E728">
        <f>_xlfn.XLOOKUP(D728,Worksheet!$C$3:$C$32,Worksheet!$M$3:$M$32)</f>
        <v>110.1</v>
      </c>
      <c r="F728" s="19">
        <f>_xlfn.XLOOKUP(D728,Worksheet!$C$3:$C$32,Worksheet!$S$3:$S$32)</f>
        <v>0.51219512195121952</v>
      </c>
    </row>
    <row r="729" spans="1:6" x14ac:dyDescent="0.2">
      <c r="A729" t="s">
        <v>552</v>
      </c>
      <c r="B729" s="4">
        <v>44608</v>
      </c>
      <c r="C729">
        <v>11.5</v>
      </c>
      <c r="D729" t="s">
        <v>76</v>
      </c>
      <c r="E729">
        <f>_xlfn.XLOOKUP(D729,Worksheet!$C$3:$C$32,Worksheet!$M$3:$M$32)</f>
        <v>116.7</v>
      </c>
      <c r="F729" s="19">
        <f>_xlfn.XLOOKUP(D729,Worksheet!$C$3:$C$32,Worksheet!$S$3:$S$32)</f>
        <v>0.24390243902439024</v>
      </c>
    </row>
    <row r="730" spans="1:6" x14ac:dyDescent="0.2">
      <c r="A730" t="s">
        <v>552</v>
      </c>
      <c r="B730" s="4">
        <v>44616</v>
      </c>
      <c r="C730" t="s">
        <v>91</v>
      </c>
      <c r="D730" t="s">
        <v>68</v>
      </c>
      <c r="E730">
        <f>_xlfn.XLOOKUP(D730,Worksheet!$C$3:$C$32,Worksheet!$M$3:$M$32)</f>
        <v>112.8</v>
      </c>
      <c r="F730" s="19">
        <f>_xlfn.XLOOKUP(D730,Worksheet!$C$3:$C$32,Worksheet!$S$3:$S$32)</f>
        <v>0.29268292682926828</v>
      </c>
    </row>
    <row r="731" spans="1:6" x14ac:dyDescent="0.2">
      <c r="A731" t="s">
        <v>552</v>
      </c>
      <c r="B731" s="4">
        <v>44617</v>
      </c>
      <c r="C731" t="s">
        <v>91</v>
      </c>
      <c r="D731" t="s">
        <v>74</v>
      </c>
      <c r="E731">
        <f>_xlfn.XLOOKUP(D731,Worksheet!$C$3:$C$32,Worksheet!$M$3:$M$32)</f>
        <v>113</v>
      </c>
      <c r="F731" s="19">
        <f>_xlfn.XLOOKUP(D731,Worksheet!$C$3:$C$32,Worksheet!$S$3:$S$32)</f>
        <v>0.43902439024390244</v>
      </c>
    </row>
    <row r="732" spans="1:6" x14ac:dyDescent="0.2">
      <c r="A732" t="s">
        <v>552</v>
      </c>
      <c r="B732" s="4">
        <v>44619</v>
      </c>
      <c r="C732" t="s">
        <v>91</v>
      </c>
      <c r="D732" t="s">
        <v>118</v>
      </c>
      <c r="E732">
        <f>_xlfn.XLOOKUP(D732,Worksheet!$C$3:$C$32,Worksheet!$M$3:$M$32)</f>
        <v>110.5</v>
      </c>
      <c r="F732" s="19">
        <f>_xlfn.XLOOKUP(D732,Worksheet!$C$3:$C$32,Worksheet!$S$3:$S$32)</f>
        <v>0.59756097560975607</v>
      </c>
    </row>
    <row r="733" spans="1:6" x14ac:dyDescent="0.2">
      <c r="A733" t="s">
        <v>552</v>
      </c>
      <c r="B733" s="4">
        <v>44622</v>
      </c>
      <c r="C733" t="s">
        <v>91</v>
      </c>
      <c r="D733" t="s">
        <v>96</v>
      </c>
      <c r="E733">
        <f>_xlfn.XLOOKUP(D733,Worksheet!$C$3:$C$32,Worksheet!$M$3:$M$32)</f>
        <v>116.9</v>
      </c>
      <c r="F733" s="19">
        <f>_xlfn.XLOOKUP(D733,Worksheet!$C$3:$C$32,Worksheet!$S$3:$S$32)</f>
        <v>0.32926829268292684</v>
      </c>
    </row>
    <row r="734" spans="1:6" x14ac:dyDescent="0.2">
      <c r="A734" t="s">
        <v>552</v>
      </c>
      <c r="B734" s="4">
        <v>44624</v>
      </c>
      <c r="C734" t="s">
        <v>91</v>
      </c>
      <c r="D734" t="s">
        <v>110</v>
      </c>
      <c r="E734">
        <f>_xlfn.XLOOKUP(D734,Worksheet!$C$3:$C$32,Worksheet!$M$3:$M$32)</f>
        <v>110.5</v>
      </c>
      <c r="F734" s="19">
        <f>_xlfn.XLOOKUP(D734,Worksheet!$C$3:$C$32,Worksheet!$S$3:$S$32)</f>
        <v>0.45121951219512196</v>
      </c>
    </row>
    <row r="735" spans="1:6" x14ac:dyDescent="0.2">
      <c r="A735" t="s">
        <v>552</v>
      </c>
      <c r="B735" s="4">
        <v>44626</v>
      </c>
      <c r="C735" t="s">
        <v>91</v>
      </c>
      <c r="D735" t="s">
        <v>126</v>
      </c>
      <c r="E735">
        <f>_xlfn.XLOOKUP(D735,Worksheet!$C$3:$C$32,Worksheet!$M$3:$M$32)</f>
        <v>111.8</v>
      </c>
      <c r="F735" s="19">
        <f>_xlfn.XLOOKUP(D735,Worksheet!$C$3:$C$32,Worksheet!$S$3:$S$32)</f>
        <v>0.62195121951219512</v>
      </c>
    </row>
    <row r="736" spans="1:6" x14ac:dyDescent="0.2">
      <c r="A736" t="s">
        <v>552</v>
      </c>
      <c r="B736" s="4">
        <v>44628</v>
      </c>
      <c r="C736" t="s">
        <v>91</v>
      </c>
      <c r="D736" t="s">
        <v>104</v>
      </c>
      <c r="E736">
        <f>_xlfn.XLOOKUP(D736,Worksheet!$C$3:$C$32,Worksheet!$M$3:$M$32)</f>
        <v>112.5</v>
      </c>
      <c r="F736" s="19">
        <f>_xlfn.XLOOKUP(D736,Worksheet!$C$3:$C$32,Worksheet!$S$3:$S$32)</f>
        <v>0.26829268292682928</v>
      </c>
    </row>
    <row r="737" spans="1:6" x14ac:dyDescent="0.2">
      <c r="A737" t="s">
        <v>552</v>
      </c>
      <c r="B737" s="4">
        <v>44629</v>
      </c>
      <c r="C737" t="s">
        <v>91</v>
      </c>
      <c r="D737" t="s">
        <v>120</v>
      </c>
      <c r="E737">
        <f>_xlfn.XLOOKUP(D737,Worksheet!$C$3:$C$32,Worksheet!$M$3:$M$32)</f>
        <v>109.1</v>
      </c>
      <c r="F737" s="19">
        <f>_xlfn.XLOOKUP(D737,Worksheet!$C$3:$C$32,Worksheet!$S$3:$S$32)</f>
        <v>0.64634146341463417</v>
      </c>
    </row>
    <row r="738" spans="1:6" x14ac:dyDescent="0.2">
      <c r="A738" t="s">
        <v>552</v>
      </c>
      <c r="B738" s="4">
        <v>44631</v>
      </c>
      <c r="C738" t="s">
        <v>91</v>
      </c>
      <c r="D738" t="s">
        <v>92</v>
      </c>
      <c r="E738">
        <f>_xlfn.XLOOKUP(D738,Worksheet!$C$3:$C$32,Worksheet!$M$3:$M$32)</f>
        <v>110.5</v>
      </c>
      <c r="F738" s="19">
        <f>_xlfn.XLOOKUP(D738,Worksheet!$C$3:$C$32,Worksheet!$S$3:$S$32)</f>
        <v>0.58536585365853655</v>
      </c>
    </row>
    <row r="739" spans="1:6" x14ac:dyDescent="0.2">
      <c r="A739" t="s">
        <v>552</v>
      </c>
      <c r="B739" s="4">
        <v>44633</v>
      </c>
      <c r="C739" t="s">
        <v>91</v>
      </c>
      <c r="D739" t="s">
        <v>62</v>
      </c>
      <c r="E739">
        <f>_xlfn.XLOOKUP(D739,Worksheet!$C$3:$C$32,Worksheet!$M$3:$M$32)</f>
        <v>113.3</v>
      </c>
      <c r="F739" s="19">
        <f>_xlfn.XLOOKUP(D739,Worksheet!$C$3:$C$32,Worksheet!$S$3:$S$32)</f>
        <v>0.40243902439024393</v>
      </c>
    </row>
    <row r="740" spans="1:6" x14ac:dyDescent="0.2">
      <c r="A740" t="s">
        <v>552</v>
      </c>
      <c r="B740" s="4">
        <v>44635</v>
      </c>
      <c r="C740" t="s">
        <v>91</v>
      </c>
      <c r="D740" t="s">
        <v>74</v>
      </c>
      <c r="E740">
        <f>_xlfn.XLOOKUP(D740,Worksheet!$C$3:$C$32,Worksheet!$M$3:$M$32)</f>
        <v>113</v>
      </c>
      <c r="F740" s="19">
        <f>_xlfn.XLOOKUP(D740,Worksheet!$C$3:$C$32,Worksheet!$S$3:$S$32)</f>
        <v>0.43902439024390244</v>
      </c>
    </row>
    <row r="741" spans="1:6" x14ac:dyDescent="0.2">
      <c r="A741" t="s">
        <v>552</v>
      </c>
      <c r="B741" s="4">
        <v>44636</v>
      </c>
      <c r="C741" t="s">
        <v>91</v>
      </c>
      <c r="D741" t="s">
        <v>76</v>
      </c>
      <c r="E741">
        <f>_xlfn.XLOOKUP(D741,Worksheet!$C$3:$C$32,Worksheet!$M$3:$M$32)</f>
        <v>116.7</v>
      </c>
      <c r="F741" s="19">
        <f>_xlfn.XLOOKUP(D741,Worksheet!$C$3:$C$32,Worksheet!$S$3:$S$32)</f>
        <v>0.24390243902439024</v>
      </c>
    </row>
    <row r="742" spans="1:6" x14ac:dyDescent="0.2">
      <c r="A742" t="s">
        <v>552</v>
      </c>
      <c r="B742" s="4">
        <v>44638</v>
      </c>
      <c r="C742" t="s">
        <v>91</v>
      </c>
      <c r="D742" t="s">
        <v>82</v>
      </c>
      <c r="E742">
        <f>_xlfn.XLOOKUP(D742,Worksheet!$C$3:$C$32,Worksheet!$M$3:$M$32)</f>
        <v>113.6</v>
      </c>
      <c r="F742" s="19">
        <f>_xlfn.XLOOKUP(D742,Worksheet!$C$3:$C$32,Worksheet!$S$3:$S$32)</f>
        <v>0.56097560975609762</v>
      </c>
    </row>
    <row r="743" spans="1:6" x14ac:dyDescent="0.2">
      <c r="A743" t="s">
        <v>552</v>
      </c>
      <c r="B743" s="4">
        <v>44640</v>
      </c>
      <c r="C743" t="s">
        <v>91</v>
      </c>
      <c r="D743" t="s">
        <v>66</v>
      </c>
      <c r="E743">
        <f>_xlfn.XLOOKUP(D743,Worksheet!$C$3:$C$32,Worksheet!$M$3:$M$32)</f>
        <v>115.3</v>
      </c>
      <c r="F743" s="19">
        <f>_xlfn.XLOOKUP(D743,Worksheet!$C$3:$C$32,Worksheet!$S$3:$S$32)</f>
        <v>0.36585365853658536</v>
      </c>
    </row>
    <row r="744" spans="1:6" x14ac:dyDescent="0.2">
      <c r="A744" t="s">
        <v>552</v>
      </c>
      <c r="B744" s="4">
        <v>44643</v>
      </c>
      <c r="C744" t="s">
        <v>91</v>
      </c>
      <c r="D744" t="s">
        <v>80</v>
      </c>
      <c r="E744">
        <f>_xlfn.XLOOKUP(D744,Worksheet!$C$3:$C$32,Worksheet!$M$3:$M$32)</f>
        <v>111.7</v>
      </c>
      <c r="F744" s="19">
        <f>_xlfn.XLOOKUP(D744,Worksheet!$C$3:$C$32,Worksheet!$S$3:$S$32)</f>
        <v>0.56097560975609762</v>
      </c>
    </row>
    <row r="745" spans="1:6" x14ac:dyDescent="0.2">
      <c r="A745" t="s">
        <v>552</v>
      </c>
      <c r="B745" s="4">
        <v>44644</v>
      </c>
      <c r="C745">
        <v>21.4</v>
      </c>
      <c r="D745" t="s">
        <v>34</v>
      </c>
      <c r="E745">
        <f>_xlfn.XLOOKUP(D745,Worksheet!$C$3:$C$32,Worksheet!$M$3:$M$32)</f>
        <v>112.1</v>
      </c>
      <c r="F745" s="19">
        <f>_xlfn.XLOOKUP(D745,Worksheet!$C$3:$C$32,Worksheet!$S$3:$S$32)</f>
        <v>0.58536585365853655</v>
      </c>
    </row>
    <row r="746" spans="1:6" x14ac:dyDescent="0.2">
      <c r="A746" t="s">
        <v>552</v>
      </c>
      <c r="B746" s="4">
        <v>44647</v>
      </c>
      <c r="C746">
        <v>23.8</v>
      </c>
      <c r="D746" t="s">
        <v>94</v>
      </c>
      <c r="E746">
        <f>_xlfn.XLOOKUP(D746,Worksheet!$C$3:$C$32,Worksheet!$M$3:$M$32)</f>
        <v>110.8</v>
      </c>
      <c r="F746" s="19">
        <f>_xlfn.XLOOKUP(D746,Worksheet!$C$3:$C$32,Worksheet!$S$3:$S$32)</f>
        <v>0.62195121951219512</v>
      </c>
    </row>
    <row r="747" spans="1:6" x14ac:dyDescent="0.2">
      <c r="A747" t="s">
        <v>552</v>
      </c>
      <c r="B747" s="4">
        <v>44650</v>
      </c>
      <c r="C747">
        <v>14.8</v>
      </c>
      <c r="D747" t="s">
        <v>33</v>
      </c>
      <c r="E747">
        <f>_xlfn.XLOOKUP(D747,Worksheet!$C$3:$C$32,Worksheet!$M$3:$M$32)</f>
        <v>106.9</v>
      </c>
      <c r="F747" s="19">
        <f>_xlfn.XLOOKUP(D747,Worksheet!$C$3:$C$32,Worksheet!$S$3:$S$32)</f>
        <v>0.64634146341463417</v>
      </c>
    </row>
    <row r="748" spans="1:6" x14ac:dyDescent="0.2">
      <c r="A748" t="s">
        <v>552</v>
      </c>
      <c r="B748" s="4">
        <v>44652</v>
      </c>
      <c r="C748">
        <v>11.6</v>
      </c>
      <c r="D748" t="s">
        <v>42</v>
      </c>
      <c r="E748">
        <f>_xlfn.XLOOKUP(D748,Worksheet!$C$3:$C$32,Worksheet!$M$3:$M$32)</f>
        <v>109</v>
      </c>
      <c r="F748" s="19">
        <f>_xlfn.XLOOKUP(D748,Worksheet!$C$3:$C$32,Worksheet!$S$3:$S$32)</f>
        <v>0.68292682926829273</v>
      </c>
    </row>
    <row r="749" spans="1:6" x14ac:dyDescent="0.2">
      <c r="A749" t="s">
        <v>552</v>
      </c>
      <c r="B749" s="4">
        <v>44654</v>
      </c>
      <c r="C749">
        <v>10.8</v>
      </c>
      <c r="D749" t="s">
        <v>68</v>
      </c>
      <c r="E749">
        <f>_xlfn.XLOOKUP(D749,Worksheet!$C$3:$C$32,Worksheet!$M$3:$M$32)</f>
        <v>112.8</v>
      </c>
      <c r="F749" s="19">
        <f>_xlfn.XLOOKUP(D749,Worksheet!$C$3:$C$32,Worksheet!$S$3:$S$32)</f>
        <v>0.29268292682926828</v>
      </c>
    </row>
    <row r="750" spans="1:6" x14ac:dyDescent="0.2">
      <c r="A750" t="s">
        <v>552</v>
      </c>
      <c r="B750" s="4">
        <v>44656</v>
      </c>
      <c r="C750">
        <v>13.3</v>
      </c>
      <c r="D750" t="s">
        <v>62</v>
      </c>
      <c r="E750">
        <f>_xlfn.XLOOKUP(D750,Worksheet!$C$3:$C$32,Worksheet!$M$3:$M$32)</f>
        <v>113.3</v>
      </c>
      <c r="F750" s="19">
        <f>_xlfn.XLOOKUP(D750,Worksheet!$C$3:$C$32,Worksheet!$S$3:$S$32)</f>
        <v>0.40243902439024393</v>
      </c>
    </row>
    <row r="751" spans="1:6" x14ac:dyDescent="0.2">
      <c r="A751" t="s">
        <v>552</v>
      </c>
      <c r="B751" s="4">
        <v>44657</v>
      </c>
      <c r="C751" t="s">
        <v>210</v>
      </c>
      <c r="D751" t="s">
        <v>64</v>
      </c>
      <c r="E751">
        <f>_xlfn.XLOOKUP(D751,Worksheet!$C$3:$C$32,Worksheet!$M$3:$M$32)</f>
        <v>110.1</v>
      </c>
      <c r="F751" s="19">
        <f>_xlfn.XLOOKUP(D751,Worksheet!$C$3:$C$32,Worksheet!$S$3:$S$32)</f>
        <v>0.51219512195121952</v>
      </c>
    </row>
    <row r="752" spans="1:6" x14ac:dyDescent="0.2">
      <c r="A752" t="s">
        <v>552</v>
      </c>
      <c r="B752" s="4">
        <v>44659</v>
      </c>
      <c r="C752">
        <v>22.3</v>
      </c>
      <c r="D752" t="s">
        <v>118</v>
      </c>
      <c r="E752">
        <f>_xlfn.XLOOKUP(D752,Worksheet!$C$3:$C$32,Worksheet!$M$3:$M$32)</f>
        <v>110.5</v>
      </c>
      <c r="F752" s="19">
        <f>_xlfn.XLOOKUP(D752,Worksheet!$C$3:$C$32,Worksheet!$S$3:$S$32)</f>
        <v>0.59756097560975607</v>
      </c>
    </row>
    <row r="753" spans="1:6" x14ac:dyDescent="0.2">
      <c r="A753" t="s">
        <v>552</v>
      </c>
      <c r="B753" s="4">
        <v>44661</v>
      </c>
      <c r="C753" t="s">
        <v>210</v>
      </c>
      <c r="D753" t="s">
        <v>66</v>
      </c>
      <c r="E753">
        <f>_xlfn.XLOOKUP(D753,Worksheet!$C$3:$C$32,Worksheet!$M$3:$M$32)</f>
        <v>115.3</v>
      </c>
      <c r="F753" s="19">
        <f>_xlfn.XLOOKUP(D753,Worksheet!$C$3:$C$32,Worksheet!$S$3:$S$32)</f>
        <v>0.36585365853658536</v>
      </c>
    </row>
    <row r="754" spans="1:6" x14ac:dyDescent="0.2">
      <c r="A754" t="s">
        <v>552</v>
      </c>
      <c r="B754" s="4">
        <v>44668</v>
      </c>
      <c r="C754">
        <v>33.6</v>
      </c>
      <c r="D754" t="s">
        <v>74</v>
      </c>
      <c r="E754">
        <f>_xlfn.XLOOKUP(D754,Worksheet!$C$3:$C$32,Worksheet!$M$3:$M$32)</f>
        <v>113</v>
      </c>
      <c r="F754" s="19">
        <f>_xlfn.XLOOKUP(D754,Worksheet!$C$3:$C$32,Worksheet!$S$3:$S$32)</f>
        <v>0.43902439024390244</v>
      </c>
    </row>
    <row r="755" spans="1:6" x14ac:dyDescent="0.2">
      <c r="A755" t="s">
        <v>552</v>
      </c>
      <c r="B755" s="4">
        <v>44670</v>
      </c>
      <c r="C755">
        <v>17.7</v>
      </c>
      <c r="D755" t="s">
        <v>74</v>
      </c>
      <c r="E755">
        <f>_xlfn.XLOOKUP(D755,Worksheet!$C$3:$C$32,Worksheet!$M$3:$M$32)</f>
        <v>113</v>
      </c>
      <c r="F755" s="19">
        <f>_xlfn.XLOOKUP(D755,Worksheet!$C$3:$C$32,Worksheet!$S$3:$S$32)</f>
        <v>0.43902439024390244</v>
      </c>
    </row>
    <row r="756" spans="1:6" x14ac:dyDescent="0.2">
      <c r="A756" t="s">
        <v>552</v>
      </c>
      <c r="B756" s="4">
        <v>44673</v>
      </c>
      <c r="C756">
        <v>31</v>
      </c>
      <c r="D756" t="s">
        <v>74</v>
      </c>
      <c r="E756">
        <f>_xlfn.XLOOKUP(D756,Worksheet!$C$3:$C$32,Worksheet!$M$3:$M$32)</f>
        <v>113</v>
      </c>
      <c r="F756" s="19">
        <f>_xlfn.XLOOKUP(D756,Worksheet!$C$3:$C$32,Worksheet!$S$3:$S$32)</f>
        <v>0.43902439024390244</v>
      </c>
    </row>
    <row r="757" spans="1:6" x14ac:dyDescent="0.2">
      <c r="A757" t="s">
        <v>552</v>
      </c>
      <c r="B757" s="4">
        <v>44675</v>
      </c>
      <c r="C757">
        <v>5.6</v>
      </c>
      <c r="D757" t="s">
        <v>74</v>
      </c>
      <c r="E757">
        <f>_xlfn.XLOOKUP(D757,Worksheet!$C$3:$C$32,Worksheet!$M$3:$M$32)</f>
        <v>113</v>
      </c>
      <c r="F757" s="19">
        <f>_xlfn.XLOOKUP(D757,Worksheet!$C$3:$C$32,Worksheet!$S$3:$S$32)</f>
        <v>0.43902439024390244</v>
      </c>
    </row>
    <row r="758" spans="1:6" x14ac:dyDescent="0.2">
      <c r="A758" t="s">
        <v>552</v>
      </c>
      <c r="B758" s="4">
        <v>44677</v>
      </c>
      <c r="C758">
        <v>23.3</v>
      </c>
      <c r="D758" t="s">
        <v>74</v>
      </c>
      <c r="E758">
        <f>_xlfn.XLOOKUP(D758,Worksheet!$C$3:$C$32,Worksheet!$M$3:$M$32)</f>
        <v>113</v>
      </c>
      <c r="F758" s="19">
        <f>_xlfn.XLOOKUP(D758,Worksheet!$C$3:$C$32,Worksheet!$S$3:$S$32)</f>
        <v>0.43902439024390244</v>
      </c>
    </row>
    <row r="759" spans="1:6" x14ac:dyDescent="0.2">
      <c r="A759" t="s">
        <v>552</v>
      </c>
      <c r="B759" s="4">
        <v>44679</v>
      </c>
      <c r="C759">
        <v>33.5</v>
      </c>
      <c r="D759" t="s">
        <v>74</v>
      </c>
      <c r="E759">
        <f>_xlfn.XLOOKUP(D759,Worksheet!$C$3:$C$32,Worksheet!$M$3:$M$32)</f>
        <v>113</v>
      </c>
      <c r="F759" s="19">
        <f>_xlfn.XLOOKUP(D759,Worksheet!$C$3:$C$32,Worksheet!$S$3:$S$32)</f>
        <v>0.43902439024390244</v>
      </c>
    </row>
    <row r="760" spans="1:6" x14ac:dyDescent="0.2">
      <c r="A760" t="s">
        <v>552</v>
      </c>
      <c r="B760" s="4">
        <v>44683</v>
      </c>
      <c r="C760">
        <v>15.8</v>
      </c>
      <c r="D760" t="s">
        <v>49</v>
      </c>
      <c r="E760">
        <f>_xlfn.XLOOKUP(D760,Worksheet!$C$3:$C$32,Worksheet!$M$3:$M$32)</f>
        <v>109.4</v>
      </c>
      <c r="F760" s="19">
        <f>_xlfn.XLOOKUP(D760,Worksheet!$C$3:$C$32,Worksheet!$S$3:$S$32)</f>
        <v>0.63414634146341464</v>
      </c>
    </row>
    <row r="761" spans="1:6" x14ac:dyDescent="0.2">
      <c r="A761" t="s">
        <v>552</v>
      </c>
      <c r="B761" s="4">
        <v>44685</v>
      </c>
      <c r="C761">
        <v>25.8</v>
      </c>
      <c r="D761" t="s">
        <v>49</v>
      </c>
      <c r="E761">
        <f>_xlfn.XLOOKUP(D761,Worksheet!$C$3:$C$32,Worksheet!$M$3:$M$32)</f>
        <v>109.4</v>
      </c>
      <c r="F761" s="19">
        <f>_xlfn.XLOOKUP(D761,Worksheet!$C$3:$C$32,Worksheet!$S$3:$S$32)</f>
        <v>0.63414634146341464</v>
      </c>
    </row>
    <row r="762" spans="1:6" x14ac:dyDescent="0.2">
      <c r="A762" t="s">
        <v>552</v>
      </c>
      <c r="B762" s="4">
        <v>44687</v>
      </c>
      <c r="C762">
        <v>5.8</v>
      </c>
      <c r="D762" t="s">
        <v>49</v>
      </c>
      <c r="E762">
        <f>_xlfn.XLOOKUP(D762,Worksheet!$C$3:$C$32,Worksheet!$M$3:$M$32)</f>
        <v>109.4</v>
      </c>
      <c r="F762" s="19">
        <f>_xlfn.XLOOKUP(D762,Worksheet!$C$3:$C$32,Worksheet!$S$3:$S$32)</f>
        <v>0.63414634146341464</v>
      </c>
    </row>
    <row r="763" spans="1:6" x14ac:dyDescent="0.2">
      <c r="A763" t="s">
        <v>552</v>
      </c>
      <c r="B763" s="4">
        <v>44689</v>
      </c>
      <c r="C763">
        <v>6</v>
      </c>
      <c r="D763" t="s">
        <v>49</v>
      </c>
      <c r="E763">
        <f>_xlfn.XLOOKUP(D763,Worksheet!$C$3:$C$32,Worksheet!$M$3:$M$32)</f>
        <v>109.4</v>
      </c>
      <c r="F763" s="19">
        <f>_xlfn.XLOOKUP(D763,Worksheet!$C$3:$C$32,Worksheet!$S$3:$S$32)</f>
        <v>0.63414634146341464</v>
      </c>
    </row>
    <row r="764" spans="1:6" x14ac:dyDescent="0.2">
      <c r="A764" t="s">
        <v>552</v>
      </c>
      <c r="B764" s="4">
        <v>44691</v>
      </c>
      <c r="C764">
        <v>6.4</v>
      </c>
      <c r="D764" t="s">
        <v>49</v>
      </c>
      <c r="E764">
        <f>_xlfn.XLOOKUP(D764,Worksheet!$C$3:$C$32,Worksheet!$M$3:$M$32)</f>
        <v>109.4</v>
      </c>
      <c r="F764" s="19">
        <f>_xlfn.XLOOKUP(D764,Worksheet!$C$3:$C$32,Worksheet!$S$3:$S$32)</f>
        <v>0.63414634146341464</v>
      </c>
    </row>
    <row r="765" spans="1:6" x14ac:dyDescent="0.2">
      <c r="A765" t="s">
        <v>552</v>
      </c>
      <c r="B765" s="4">
        <v>44693</v>
      </c>
      <c r="C765">
        <v>8.5</v>
      </c>
      <c r="D765" t="s">
        <v>49</v>
      </c>
      <c r="E765">
        <f>_xlfn.XLOOKUP(D765,Worksheet!$C$3:$C$32,Worksheet!$M$3:$M$32)</f>
        <v>109.4</v>
      </c>
      <c r="F765" s="19">
        <f>_xlfn.XLOOKUP(D765,Worksheet!$C$3:$C$32,Worksheet!$S$3:$S$32)</f>
        <v>0.63414634146341464</v>
      </c>
    </row>
    <row r="766" spans="1:6" x14ac:dyDescent="0.2">
      <c r="A766" t="s">
        <v>552</v>
      </c>
      <c r="B766" s="4">
        <v>44696</v>
      </c>
      <c r="C766">
        <v>8.5</v>
      </c>
      <c r="D766" t="s">
        <v>49</v>
      </c>
      <c r="E766">
        <f>_xlfn.XLOOKUP(D766,Worksheet!$C$3:$C$32,Worksheet!$M$3:$M$32)</f>
        <v>109.4</v>
      </c>
      <c r="F766" s="19">
        <f>_xlfn.XLOOKUP(D766,Worksheet!$C$3:$C$32,Worksheet!$S$3:$S$32)</f>
        <v>0.63414634146341464</v>
      </c>
    </row>
    <row r="767" spans="1:6" x14ac:dyDescent="0.2">
      <c r="A767" t="s">
        <v>553</v>
      </c>
      <c r="B767" s="4">
        <v>44488</v>
      </c>
      <c r="C767">
        <v>26.7</v>
      </c>
      <c r="D767" t="s">
        <v>33</v>
      </c>
      <c r="E767">
        <f>_xlfn.XLOOKUP(D767,Worksheet!$C$3:$C$32,Worksheet!$M$3:$M$32)</f>
        <v>106.9</v>
      </c>
      <c r="F767" s="19">
        <f>_xlfn.XLOOKUP(D767,Worksheet!$C$3:$C$32,Worksheet!$S$3:$S$32)</f>
        <v>0.64634146341463417</v>
      </c>
    </row>
    <row r="768" spans="1:6" x14ac:dyDescent="0.2">
      <c r="A768" t="s">
        <v>553</v>
      </c>
      <c r="B768" s="4">
        <v>44491</v>
      </c>
      <c r="C768">
        <v>18.899999999999999</v>
      </c>
      <c r="D768" t="s">
        <v>99</v>
      </c>
      <c r="E768">
        <f>_xlfn.XLOOKUP(D768,Worksheet!$C$3:$C$32,Worksheet!$M$3:$M$32)</f>
        <v>107.3</v>
      </c>
      <c r="F768" s="19">
        <f>_xlfn.XLOOKUP(D768,Worksheet!$C$3:$C$32,Worksheet!$S$3:$S$32)</f>
        <v>0.78048780487804881</v>
      </c>
    </row>
    <row r="769" spans="1:6" x14ac:dyDescent="0.2">
      <c r="A769" t="s">
        <v>553</v>
      </c>
      <c r="B769" s="4">
        <v>44493</v>
      </c>
      <c r="C769">
        <v>18.3</v>
      </c>
      <c r="D769" t="s">
        <v>42</v>
      </c>
      <c r="E769">
        <f>_xlfn.XLOOKUP(D769,Worksheet!$C$3:$C$32,Worksheet!$M$3:$M$32)</f>
        <v>109</v>
      </c>
      <c r="F769" s="19">
        <f>_xlfn.XLOOKUP(D769,Worksheet!$C$3:$C$32,Worksheet!$S$3:$S$32)</f>
        <v>0.68292682926829273</v>
      </c>
    </row>
    <row r="770" spans="1:6" x14ac:dyDescent="0.2">
      <c r="A770" t="s">
        <v>553</v>
      </c>
      <c r="B770" s="4">
        <v>44495</v>
      </c>
      <c r="C770">
        <v>29.6</v>
      </c>
      <c r="D770" t="s">
        <v>102</v>
      </c>
      <c r="E770">
        <f>_xlfn.XLOOKUP(D770,Worksheet!$C$3:$C$32,Worksheet!$M$3:$M$32)</f>
        <v>112.3</v>
      </c>
      <c r="F770" s="19">
        <f>_xlfn.XLOOKUP(D770,Worksheet!$C$3:$C$32,Worksheet!$S$3:$S$32)</f>
        <v>0.41463414634146339</v>
      </c>
    </row>
    <row r="771" spans="1:6" x14ac:dyDescent="0.2">
      <c r="A771" t="s">
        <v>553</v>
      </c>
      <c r="B771" s="4">
        <v>44496</v>
      </c>
      <c r="C771">
        <v>23</v>
      </c>
      <c r="D771" t="s">
        <v>68</v>
      </c>
      <c r="E771">
        <f>_xlfn.XLOOKUP(D771,Worksheet!$C$3:$C$32,Worksheet!$M$3:$M$32)</f>
        <v>112.8</v>
      </c>
      <c r="F771" s="19">
        <f>_xlfn.XLOOKUP(D771,Worksheet!$C$3:$C$32,Worksheet!$S$3:$S$32)</f>
        <v>0.29268292682926828</v>
      </c>
    </row>
    <row r="772" spans="1:6" x14ac:dyDescent="0.2">
      <c r="A772" t="s">
        <v>553</v>
      </c>
      <c r="B772" s="4">
        <v>44498</v>
      </c>
      <c r="C772">
        <v>13.5</v>
      </c>
      <c r="D772" t="s">
        <v>87</v>
      </c>
      <c r="E772">
        <f>_xlfn.XLOOKUP(D772,Worksheet!$C$3:$C$32,Worksheet!$M$3:$M$32)</f>
        <v>109.7</v>
      </c>
      <c r="F772" s="19">
        <f>_xlfn.XLOOKUP(D772,Worksheet!$C$3:$C$32,Worksheet!$S$3:$S$32)</f>
        <v>0.53658536585365857</v>
      </c>
    </row>
    <row r="773" spans="1:6" x14ac:dyDescent="0.2">
      <c r="A773" t="s">
        <v>553</v>
      </c>
      <c r="B773" s="4">
        <v>44500</v>
      </c>
      <c r="C773">
        <v>12.1</v>
      </c>
      <c r="D773" t="s">
        <v>76</v>
      </c>
      <c r="E773">
        <f>_xlfn.XLOOKUP(D773,Worksheet!$C$3:$C$32,Worksheet!$M$3:$M$32)</f>
        <v>116.7</v>
      </c>
      <c r="F773" s="19">
        <f>_xlfn.XLOOKUP(D773,Worksheet!$C$3:$C$32,Worksheet!$S$3:$S$32)</f>
        <v>0.24390243902439024</v>
      </c>
    </row>
    <row r="774" spans="1:6" x14ac:dyDescent="0.2">
      <c r="A774" t="s">
        <v>553</v>
      </c>
      <c r="B774" s="4">
        <v>44502</v>
      </c>
      <c r="C774">
        <v>23.1</v>
      </c>
      <c r="D774" t="s">
        <v>76</v>
      </c>
      <c r="E774">
        <f>_xlfn.XLOOKUP(D774,Worksheet!$C$3:$C$32,Worksheet!$M$3:$M$32)</f>
        <v>116.7</v>
      </c>
      <c r="F774" s="19">
        <f>_xlfn.XLOOKUP(D774,Worksheet!$C$3:$C$32,Worksheet!$S$3:$S$32)</f>
        <v>0.24390243902439024</v>
      </c>
    </row>
    <row r="775" spans="1:6" x14ac:dyDescent="0.2">
      <c r="A775" t="s">
        <v>553</v>
      </c>
      <c r="B775" s="4">
        <v>44504</v>
      </c>
      <c r="C775">
        <v>27.7</v>
      </c>
      <c r="D775" t="s">
        <v>68</v>
      </c>
      <c r="E775">
        <f>_xlfn.XLOOKUP(D775,Worksheet!$C$3:$C$32,Worksheet!$M$3:$M$32)</f>
        <v>112.8</v>
      </c>
      <c r="F775" s="19">
        <f>_xlfn.XLOOKUP(D775,Worksheet!$C$3:$C$32,Worksheet!$S$3:$S$32)</f>
        <v>0.29268292682926828</v>
      </c>
    </row>
    <row r="776" spans="1:6" x14ac:dyDescent="0.2">
      <c r="A776" t="s">
        <v>553</v>
      </c>
      <c r="B776" s="4">
        <v>44506</v>
      </c>
      <c r="C776">
        <v>0.6</v>
      </c>
      <c r="D776" t="s">
        <v>96</v>
      </c>
      <c r="E776">
        <f>_xlfn.XLOOKUP(D776,Worksheet!$C$3:$C$32,Worksheet!$M$3:$M$32)</f>
        <v>116.9</v>
      </c>
      <c r="F776" s="19">
        <f>_xlfn.XLOOKUP(D776,Worksheet!$C$3:$C$32,Worksheet!$S$3:$S$32)</f>
        <v>0.32926829268292684</v>
      </c>
    </row>
    <row r="777" spans="1:6" x14ac:dyDescent="0.2">
      <c r="A777" t="s">
        <v>553</v>
      </c>
      <c r="B777" s="4">
        <v>44508</v>
      </c>
      <c r="C777">
        <v>27</v>
      </c>
      <c r="D777" t="s">
        <v>72</v>
      </c>
      <c r="E777">
        <f>_xlfn.XLOOKUP(D777,Worksheet!$C$3:$C$32,Worksheet!$M$3:$M$32)</f>
        <v>113.7</v>
      </c>
      <c r="F777" s="19">
        <f>_xlfn.XLOOKUP(D777,Worksheet!$C$3:$C$32,Worksheet!$S$3:$S$32)</f>
        <v>0.52439024390243905</v>
      </c>
    </row>
    <row r="778" spans="1:6" x14ac:dyDescent="0.2">
      <c r="A778" t="s">
        <v>553</v>
      </c>
      <c r="B778" s="4">
        <v>44510</v>
      </c>
      <c r="C778">
        <v>16.7</v>
      </c>
      <c r="D778" t="s">
        <v>120</v>
      </c>
      <c r="E778">
        <f>_xlfn.XLOOKUP(D778,Worksheet!$C$3:$C$32,Worksheet!$M$3:$M$32)</f>
        <v>109.1</v>
      </c>
      <c r="F778" s="19">
        <f>_xlfn.XLOOKUP(D778,Worksheet!$C$3:$C$32,Worksheet!$S$3:$S$32)</f>
        <v>0.64634146341463417</v>
      </c>
    </row>
    <row r="779" spans="1:6" x14ac:dyDescent="0.2">
      <c r="A779" t="s">
        <v>553</v>
      </c>
      <c r="B779" s="4">
        <v>44512</v>
      </c>
      <c r="C779">
        <v>21</v>
      </c>
      <c r="D779" t="s">
        <v>80</v>
      </c>
      <c r="E779">
        <f>_xlfn.XLOOKUP(D779,Worksheet!$C$3:$C$32,Worksheet!$M$3:$M$32)</f>
        <v>111.7</v>
      </c>
      <c r="F779" s="19">
        <f>_xlfn.XLOOKUP(D779,Worksheet!$C$3:$C$32,Worksheet!$S$3:$S$32)</f>
        <v>0.56097560975609762</v>
      </c>
    </row>
    <row r="780" spans="1:6" x14ac:dyDescent="0.2">
      <c r="A780" t="s">
        <v>553</v>
      </c>
      <c r="B780" s="4">
        <v>44514</v>
      </c>
      <c r="C780">
        <v>33.799999999999997</v>
      </c>
      <c r="D780" t="s">
        <v>102</v>
      </c>
      <c r="E780">
        <f>_xlfn.XLOOKUP(D780,Worksheet!$C$3:$C$32,Worksheet!$M$3:$M$32)</f>
        <v>112.3</v>
      </c>
      <c r="F780" s="19">
        <f>_xlfn.XLOOKUP(D780,Worksheet!$C$3:$C$32,Worksheet!$S$3:$S$32)</f>
        <v>0.41463414634146339</v>
      </c>
    </row>
    <row r="781" spans="1:6" x14ac:dyDescent="0.2">
      <c r="A781" t="s">
        <v>553</v>
      </c>
      <c r="B781" s="4">
        <v>44515</v>
      </c>
      <c r="C781">
        <v>15.2</v>
      </c>
      <c r="D781" t="s">
        <v>82</v>
      </c>
      <c r="E781">
        <f>_xlfn.XLOOKUP(D781,Worksheet!$C$3:$C$32,Worksheet!$M$3:$M$32)</f>
        <v>113.6</v>
      </c>
      <c r="F781" s="19">
        <f>_xlfn.XLOOKUP(D781,Worksheet!$C$3:$C$32,Worksheet!$S$3:$S$32)</f>
        <v>0.56097560975609762</v>
      </c>
    </row>
    <row r="782" spans="1:6" x14ac:dyDescent="0.2">
      <c r="A782" t="s">
        <v>553</v>
      </c>
      <c r="B782" s="4">
        <v>44517</v>
      </c>
      <c r="C782">
        <v>16.2</v>
      </c>
      <c r="D782" t="s">
        <v>126</v>
      </c>
      <c r="E782">
        <f>_xlfn.XLOOKUP(D782,Worksheet!$C$3:$C$32,Worksheet!$M$3:$M$32)</f>
        <v>111.8</v>
      </c>
      <c r="F782" s="19">
        <f>_xlfn.XLOOKUP(D782,Worksheet!$C$3:$C$32,Worksheet!$S$3:$S$32)</f>
        <v>0.62195121951219512</v>
      </c>
    </row>
    <row r="783" spans="1:6" x14ac:dyDescent="0.2">
      <c r="A783" t="s">
        <v>553</v>
      </c>
      <c r="B783" s="4">
        <v>44519</v>
      </c>
      <c r="C783">
        <v>24.2</v>
      </c>
      <c r="D783" t="s">
        <v>55</v>
      </c>
      <c r="E783">
        <f>_xlfn.XLOOKUP(D783,Worksheet!$C$3:$C$32,Worksheet!$M$3:$M$32)</f>
        <v>106.9</v>
      </c>
      <c r="F783" s="19">
        <f>_xlfn.XLOOKUP(D783,Worksheet!$C$3:$C$32,Worksheet!$S$3:$S$32)</f>
        <v>0.62195121951219512</v>
      </c>
    </row>
    <row r="784" spans="1:6" x14ac:dyDescent="0.2">
      <c r="A784" t="s">
        <v>553</v>
      </c>
      <c r="B784" s="4">
        <v>44521</v>
      </c>
      <c r="C784">
        <v>31.8</v>
      </c>
      <c r="D784" t="s">
        <v>89</v>
      </c>
      <c r="E784">
        <f>_xlfn.XLOOKUP(D784,Worksheet!$C$3:$C$32,Worksheet!$M$3:$M$32)</f>
        <v>113.8</v>
      </c>
      <c r="F784" s="19">
        <f>_xlfn.XLOOKUP(D784,Worksheet!$C$3:$C$32,Worksheet!$S$3:$S$32)</f>
        <v>0.28048780487804881</v>
      </c>
    </row>
    <row r="785" spans="1:6" x14ac:dyDescent="0.2">
      <c r="A785" t="s">
        <v>553</v>
      </c>
      <c r="B785" s="4">
        <v>44523</v>
      </c>
      <c r="C785">
        <v>13.2</v>
      </c>
      <c r="D785" t="s">
        <v>110</v>
      </c>
      <c r="E785">
        <f>_xlfn.XLOOKUP(D785,Worksheet!$C$3:$C$32,Worksheet!$M$3:$M$32)</f>
        <v>110.5</v>
      </c>
      <c r="F785" s="19">
        <f>_xlfn.XLOOKUP(D785,Worksheet!$C$3:$C$32,Worksheet!$S$3:$S$32)</f>
        <v>0.45121951219512196</v>
      </c>
    </row>
    <row r="786" spans="1:6" x14ac:dyDescent="0.2">
      <c r="A786" t="s">
        <v>553</v>
      </c>
      <c r="B786" s="4">
        <v>44524</v>
      </c>
      <c r="C786" t="s">
        <v>210</v>
      </c>
      <c r="D786" t="s">
        <v>108</v>
      </c>
      <c r="E786">
        <f>_xlfn.XLOOKUP(D786,Worksheet!$C$3:$C$32,Worksheet!$M$3:$M$32)</f>
        <v>116.1</v>
      </c>
      <c r="F786" s="19">
        <f>_xlfn.XLOOKUP(D786,Worksheet!$C$3:$C$32,Worksheet!$S$3:$S$32)</f>
        <v>0.3048780487804878</v>
      </c>
    </row>
    <row r="787" spans="1:6" x14ac:dyDescent="0.2">
      <c r="A787" t="s">
        <v>553</v>
      </c>
      <c r="B787" s="4">
        <v>44526</v>
      </c>
      <c r="C787">
        <v>17.399999999999999</v>
      </c>
      <c r="D787" t="s">
        <v>66</v>
      </c>
      <c r="E787">
        <f>_xlfn.XLOOKUP(D787,Worksheet!$C$3:$C$32,Worksheet!$M$3:$M$32)</f>
        <v>115.3</v>
      </c>
      <c r="F787" s="19">
        <f>_xlfn.XLOOKUP(D787,Worksheet!$C$3:$C$32,Worksheet!$S$3:$S$32)</f>
        <v>0.36585365853658536</v>
      </c>
    </row>
    <row r="788" spans="1:6" x14ac:dyDescent="0.2">
      <c r="A788" t="s">
        <v>553</v>
      </c>
      <c r="B788" s="4">
        <v>44528</v>
      </c>
      <c r="C788">
        <v>24.2</v>
      </c>
      <c r="D788" t="s">
        <v>89</v>
      </c>
      <c r="E788">
        <f>_xlfn.XLOOKUP(D788,Worksheet!$C$3:$C$32,Worksheet!$M$3:$M$32)</f>
        <v>113.8</v>
      </c>
      <c r="F788" s="19">
        <f>_xlfn.XLOOKUP(D788,Worksheet!$C$3:$C$32,Worksheet!$S$3:$S$32)</f>
        <v>0.28048780487804881</v>
      </c>
    </row>
    <row r="789" spans="1:6" x14ac:dyDescent="0.2">
      <c r="A789" t="s">
        <v>553</v>
      </c>
      <c r="B789" s="4">
        <v>44530</v>
      </c>
      <c r="C789">
        <v>20.6</v>
      </c>
      <c r="D789" t="s">
        <v>66</v>
      </c>
      <c r="E789">
        <f>_xlfn.XLOOKUP(D789,Worksheet!$C$3:$C$32,Worksheet!$M$3:$M$32)</f>
        <v>115.3</v>
      </c>
      <c r="F789" s="19">
        <f>_xlfn.XLOOKUP(D789,Worksheet!$C$3:$C$32,Worksheet!$S$3:$S$32)</f>
        <v>0.36585365853658536</v>
      </c>
    </row>
    <row r="790" spans="1:6" x14ac:dyDescent="0.2">
      <c r="A790" t="s">
        <v>553</v>
      </c>
      <c r="B790" s="4">
        <v>44533</v>
      </c>
      <c r="C790">
        <v>24.6</v>
      </c>
      <c r="D790" t="s">
        <v>64</v>
      </c>
      <c r="E790">
        <f>_xlfn.XLOOKUP(D790,Worksheet!$C$3:$C$32,Worksheet!$M$3:$M$32)</f>
        <v>110.1</v>
      </c>
      <c r="F790" s="19">
        <f>_xlfn.XLOOKUP(D790,Worksheet!$C$3:$C$32,Worksheet!$S$3:$S$32)</f>
        <v>0.51219512195121952</v>
      </c>
    </row>
    <row r="791" spans="1:6" x14ac:dyDescent="0.2">
      <c r="A791" t="s">
        <v>553</v>
      </c>
      <c r="B791" s="4">
        <v>44537</v>
      </c>
      <c r="C791">
        <v>18</v>
      </c>
      <c r="D791" t="s">
        <v>55</v>
      </c>
      <c r="E791">
        <f>_xlfn.XLOOKUP(D791,Worksheet!$C$3:$C$32,Worksheet!$M$3:$M$32)</f>
        <v>106.9</v>
      </c>
      <c r="F791" s="19">
        <f>_xlfn.XLOOKUP(D791,Worksheet!$C$3:$C$32,Worksheet!$S$3:$S$32)</f>
        <v>0.62195121951219512</v>
      </c>
    </row>
    <row r="792" spans="1:6" x14ac:dyDescent="0.2">
      <c r="A792" t="s">
        <v>553</v>
      </c>
      <c r="B792" s="4">
        <v>44539</v>
      </c>
      <c r="C792">
        <v>15.4</v>
      </c>
      <c r="D792" t="s">
        <v>42</v>
      </c>
      <c r="E792">
        <f>_xlfn.XLOOKUP(D792,Worksheet!$C$3:$C$32,Worksheet!$M$3:$M$32)</f>
        <v>109</v>
      </c>
      <c r="F792" s="19">
        <f>_xlfn.XLOOKUP(D792,Worksheet!$C$3:$C$32,Worksheet!$S$3:$S$32)</f>
        <v>0.68292682926829273</v>
      </c>
    </row>
    <row r="793" spans="1:6" x14ac:dyDescent="0.2">
      <c r="A793" t="s">
        <v>553</v>
      </c>
      <c r="B793" s="4">
        <v>44540</v>
      </c>
      <c r="C793" t="s">
        <v>210</v>
      </c>
      <c r="D793" t="s">
        <v>68</v>
      </c>
      <c r="E793">
        <f>_xlfn.XLOOKUP(D793,Worksheet!$C$3:$C$32,Worksheet!$M$3:$M$32)</f>
        <v>112.8</v>
      </c>
      <c r="F793" s="19">
        <f>_xlfn.XLOOKUP(D793,Worksheet!$C$3:$C$32,Worksheet!$S$3:$S$32)</f>
        <v>0.29268292682926828</v>
      </c>
    </row>
    <row r="794" spans="1:6" x14ac:dyDescent="0.2">
      <c r="A794" t="s">
        <v>553</v>
      </c>
      <c r="B794" s="4">
        <v>44542</v>
      </c>
      <c r="C794" t="s">
        <v>210</v>
      </c>
      <c r="D794" t="s">
        <v>104</v>
      </c>
      <c r="E794">
        <f>_xlfn.XLOOKUP(D794,Worksheet!$C$3:$C$32,Worksheet!$M$3:$M$32)</f>
        <v>112.5</v>
      </c>
      <c r="F794" s="19">
        <f>_xlfn.XLOOKUP(D794,Worksheet!$C$3:$C$32,Worksheet!$S$3:$S$32)</f>
        <v>0.26829268292682928</v>
      </c>
    </row>
    <row r="795" spans="1:6" x14ac:dyDescent="0.2">
      <c r="A795" t="s">
        <v>553</v>
      </c>
      <c r="B795" s="4">
        <v>44545</v>
      </c>
      <c r="C795">
        <v>7.6</v>
      </c>
      <c r="D795" t="s">
        <v>49</v>
      </c>
      <c r="E795">
        <f>_xlfn.XLOOKUP(D795,Worksheet!$C$3:$C$32,Worksheet!$M$3:$M$32)</f>
        <v>109.4</v>
      </c>
      <c r="F795" s="19">
        <f>_xlfn.XLOOKUP(D795,Worksheet!$C$3:$C$32,Worksheet!$S$3:$S$32)</f>
        <v>0.63414634146341464</v>
      </c>
    </row>
    <row r="796" spans="1:6" x14ac:dyDescent="0.2">
      <c r="A796" t="s">
        <v>553</v>
      </c>
      <c r="B796" s="4">
        <v>44547</v>
      </c>
      <c r="C796">
        <v>2.9</v>
      </c>
      <c r="D796" t="s">
        <v>80</v>
      </c>
      <c r="E796">
        <f>_xlfn.XLOOKUP(D796,Worksheet!$C$3:$C$32,Worksheet!$M$3:$M$32)</f>
        <v>111.7</v>
      </c>
      <c r="F796" s="19">
        <f>_xlfn.XLOOKUP(D796,Worksheet!$C$3:$C$32,Worksheet!$S$3:$S$32)</f>
        <v>0.56097560975609762</v>
      </c>
    </row>
    <row r="797" spans="1:6" x14ac:dyDescent="0.2">
      <c r="A797" t="s">
        <v>553</v>
      </c>
      <c r="B797" s="4">
        <v>44549</v>
      </c>
      <c r="C797" t="s">
        <v>210</v>
      </c>
      <c r="D797" t="s">
        <v>82</v>
      </c>
      <c r="E797">
        <f>_xlfn.XLOOKUP(D797,Worksheet!$C$3:$C$32,Worksheet!$M$3:$M$32)</f>
        <v>113.6</v>
      </c>
      <c r="F797" s="19">
        <f>_xlfn.XLOOKUP(D797,Worksheet!$C$3:$C$32,Worksheet!$S$3:$S$32)</f>
        <v>0.56097560975609762</v>
      </c>
    </row>
    <row r="798" spans="1:6" x14ac:dyDescent="0.2">
      <c r="A798" t="s">
        <v>553</v>
      </c>
      <c r="B798" s="4">
        <v>44551</v>
      </c>
      <c r="C798" t="s">
        <v>91</v>
      </c>
      <c r="D798" t="s">
        <v>99</v>
      </c>
      <c r="E798">
        <f>_xlfn.XLOOKUP(D798,Worksheet!$C$3:$C$32,Worksheet!$M$3:$M$32)</f>
        <v>107.3</v>
      </c>
      <c r="F798" s="19">
        <f>_xlfn.XLOOKUP(D798,Worksheet!$C$3:$C$32,Worksheet!$S$3:$S$32)</f>
        <v>0.78048780487804881</v>
      </c>
    </row>
    <row r="799" spans="1:6" x14ac:dyDescent="0.2">
      <c r="A799" t="s">
        <v>553</v>
      </c>
      <c r="B799" s="4">
        <v>44553</v>
      </c>
      <c r="C799" t="s">
        <v>91</v>
      </c>
      <c r="D799" t="s">
        <v>102</v>
      </c>
      <c r="E799">
        <f>_xlfn.XLOOKUP(D799,Worksheet!$C$3:$C$32,Worksheet!$M$3:$M$32)</f>
        <v>112.3</v>
      </c>
      <c r="F799" s="19">
        <f>_xlfn.XLOOKUP(D799,Worksheet!$C$3:$C$32,Worksheet!$S$3:$S$32)</f>
        <v>0.41463414634146339</v>
      </c>
    </row>
    <row r="800" spans="1:6" x14ac:dyDescent="0.2">
      <c r="A800" t="s">
        <v>553</v>
      </c>
      <c r="B800" s="4">
        <v>44555</v>
      </c>
      <c r="C800" t="s">
        <v>91</v>
      </c>
      <c r="D800" t="s">
        <v>85</v>
      </c>
      <c r="E800">
        <f>_xlfn.XLOOKUP(D800,Worksheet!$C$3:$C$32,Worksheet!$M$3:$M$32)</f>
        <v>112.8</v>
      </c>
      <c r="F800" s="19">
        <f>_xlfn.XLOOKUP(D800,Worksheet!$C$3:$C$32,Worksheet!$S$3:$S$32)</f>
        <v>0.53658536585365857</v>
      </c>
    </row>
    <row r="801" spans="1:6" x14ac:dyDescent="0.2">
      <c r="A801" t="s">
        <v>553</v>
      </c>
      <c r="B801" s="4">
        <v>44558</v>
      </c>
      <c r="C801" t="s">
        <v>91</v>
      </c>
      <c r="D801" t="s">
        <v>76</v>
      </c>
      <c r="E801">
        <f>_xlfn.XLOOKUP(D801,Worksheet!$C$3:$C$32,Worksheet!$M$3:$M$32)</f>
        <v>116.7</v>
      </c>
      <c r="F801" s="19">
        <f>_xlfn.XLOOKUP(D801,Worksheet!$C$3:$C$32,Worksheet!$S$3:$S$32)</f>
        <v>0.24390243902439024</v>
      </c>
    </row>
    <row r="802" spans="1:6" x14ac:dyDescent="0.2">
      <c r="A802" t="s">
        <v>553</v>
      </c>
      <c r="B802" s="4">
        <v>44559</v>
      </c>
      <c r="C802" t="s">
        <v>91</v>
      </c>
      <c r="D802" t="s">
        <v>42</v>
      </c>
      <c r="E802">
        <f>_xlfn.XLOOKUP(D802,Worksheet!$C$3:$C$32,Worksheet!$M$3:$M$32)</f>
        <v>109</v>
      </c>
      <c r="F802" s="19">
        <f>_xlfn.XLOOKUP(D802,Worksheet!$C$3:$C$32,Worksheet!$S$3:$S$32)</f>
        <v>0.68292682926829273</v>
      </c>
    </row>
    <row r="803" spans="1:6" x14ac:dyDescent="0.2">
      <c r="A803" t="s">
        <v>553</v>
      </c>
      <c r="B803" s="4">
        <v>44561</v>
      </c>
      <c r="C803" t="s">
        <v>91</v>
      </c>
      <c r="D803" t="s">
        <v>96</v>
      </c>
      <c r="E803">
        <f>_xlfn.XLOOKUP(D803,Worksheet!$C$3:$C$32,Worksheet!$M$3:$M$32)</f>
        <v>116.9</v>
      </c>
      <c r="F803" s="19">
        <f>_xlfn.XLOOKUP(D803,Worksheet!$C$3:$C$32,Worksheet!$S$3:$S$32)</f>
        <v>0.32926829268292684</v>
      </c>
    </row>
    <row r="804" spans="1:6" x14ac:dyDescent="0.2">
      <c r="A804" t="s">
        <v>553</v>
      </c>
      <c r="B804" s="4">
        <v>44563</v>
      </c>
      <c r="C804" t="s">
        <v>91</v>
      </c>
      <c r="D804" t="s">
        <v>80</v>
      </c>
      <c r="E804">
        <f>_xlfn.XLOOKUP(D804,Worksheet!$C$3:$C$32,Worksheet!$M$3:$M$32)</f>
        <v>111.7</v>
      </c>
      <c r="F804" s="19">
        <f>_xlfn.XLOOKUP(D804,Worksheet!$C$3:$C$32,Worksheet!$S$3:$S$32)</f>
        <v>0.56097560975609762</v>
      </c>
    </row>
    <row r="805" spans="1:6" x14ac:dyDescent="0.2">
      <c r="A805" t="s">
        <v>553</v>
      </c>
      <c r="B805" s="4">
        <v>44565</v>
      </c>
      <c r="C805" t="s">
        <v>91</v>
      </c>
      <c r="D805" t="s">
        <v>66</v>
      </c>
      <c r="E805">
        <f>_xlfn.XLOOKUP(D805,Worksheet!$C$3:$C$32,Worksheet!$M$3:$M$32)</f>
        <v>115.3</v>
      </c>
      <c r="F805" s="19">
        <f>_xlfn.XLOOKUP(D805,Worksheet!$C$3:$C$32,Worksheet!$S$3:$S$32)</f>
        <v>0.36585365853658536</v>
      </c>
    </row>
    <row r="806" spans="1:6" x14ac:dyDescent="0.2">
      <c r="A806" t="s">
        <v>553</v>
      </c>
      <c r="B806" s="4">
        <v>44568</v>
      </c>
      <c r="C806" t="s">
        <v>91</v>
      </c>
      <c r="D806" t="s">
        <v>78</v>
      </c>
      <c r="E806">
        <f>_xlfn.XLOOKUP(D806,Worksheet!$C$3:$C$32,Worksheet!$M$3:$M$32)</f>
        <v>114.9</v>
      </c>
      <c r="F806" s="19">
        <f>_xlfn.XLOOKUP(D806,Worksheet!$C$3:$C$32,Worksheet!$S$3:$S$32)</f>
        <v>0.52439024390243905</v>
      </c>
    </row>
    <row r="807" spans="1:6" x14ac:dyDescent="0.2">
      <c r="A807" t="s">
        <v>553</v>
      </c>
      <c r="B807" s="4">
        <v>44570</v>
      </c>
      <c r="C807" t="s">
        <v>91</v>
      </c>
      <c r="D807" t="s">
        <v>42</v>
      </c>
      <c r="E807">
        <f>_xlfn.XLOOKUP(D807,Worksheet!$C$3:$C$32,Worksheet!$M$3:$M$32)</f>
        <v>109</v>
      </c>
      <c r="F807" s="19">
        <f>_xlfn.XLOOKUP(D807,Worksheet!$C$3:$C$32,Worksheet!$S$3:$S$32)</f>
        <v>0.68292682926829273</v>
      </c>
    </row>
    <row r="808" spans="1:6" x14ac:dyDescent="0.2">
      <c r="A808" t="s">
        <v>553</v>
      </c>
      <c r="B808" s="4">
        <v>44573</v>
      </c>
      <c r="C808" t="s">
        <v>91</v>
      </c>
      <c r="D808" t="s">
        <v>66</v>
      </c>
      <c r="E808">
        <f>_xlfn.XLOOKUP(D808,Worksheet!$C$3:$C$32,Worksheet!$M$3:$M$32)</f>
        <v>115.3</v>
      </c>
      <c r="F808" s="19">
        <f>_xlfn.XLOOKUP(D808,Worksheet!$C$3:$C$32,Worksheet!$S$3:$S$32)</f>
        <v>0.36585365853658536</v>
      </c>
    </row>
    <row r="809" spans="1:6" x14ac:dyDescent="0.2">
      <c r="A809" t="s">
        <v>553</v>
      </c>
      <c r="B809" s="4">
        <v>44576</v>
      </c>
      <c r="C809" t="s">
        <v>91</v>
      </c>
      <c r="D809" t="s">
        <v>34</v>
      </c>
      <c r="E809">
        <f>_xlfn.XLOOKUP(D809,Worksheet!$C$3:$C$32,Worksheet!$M$3:$M$32)</f>
        <v>112.1</v>
      </c>
      <c r="F809" s="19">
        <f>_xlfn.XLOOKUP(D809,Worksheet!$C$3:$C$32,Worksheet!$S$3:$S$32)</f>
        <v>0.58536585365853655</v>
      </c>
    </row>
    <row r="810" spans="1:6" x14ac:dyDescent="0.2">
      <c r="A810" t="s">
        <v>553</v>
      </c>
      <c r="B810" s="4">
        <v>44578</v>
      </c>
      <c r="C810" t="s">
        <v>91</v>
      </c>
      <c r="D810" t="s">
        <v>118</v>
      </c>
      <c r="E810">
        <f>_xlfn.XLOOKUP(D810,Worksheet!$C$3:$C$32,Worksheet!$M$3:$M$32)</f>
        <v>110.5</v>
      </c>
      <c r="F810" s="19">
        <f>_xlfn.XLOOKUP(D810,Worksheet!$C$3:$C$32,Worksheet!$S$3:$S$32)</f>
        <v>0.59756097560975607</v>
      </c>
    </row>
    <row r="811" spans="1:6" x14ac:dyDescent="0.2">
      <c r="A811" t="s">
        <v>553</v>
      </c>
      <c r="B811" s="4">
        <v>44580</v>
      </c>
      <c r="C811" t="s">
        <v>91</v>
      </c>
      <c r="D811" t="s">
        <v>108</v>
      </c>
      <c r="E811">
        <f>_xlfn.XLOOKUP(D811,Worksheet!$C$3:$C$32,Worksheet!$M$3:$M$32)</f>
        <v>116.1</v>
      </c>
      <c r="F811" s="19">
        <f>_xlfn.XLOOKUP(D811,Worksheet!$C$3:$C$32,Worksheet!$S$3:$S$32)</f>
        <v>0.3048780487804878</v>
      </c>
    </row>
    <row r="812" spans="1:6" x14ac:dyDescent="0.2">
      <c r="A812" t="s">
        <v>553</v>
      </c>
      <c r="B812" s="4">
        <v>44582</v>
      </c>
      <c r="C812" t="s">
        <v>91</v>
      </c>
      <c r="D812" t="s">
        <v>104</v>
      </c>
      <c r="E812">
        <f>_xlfn.XLOOKUP(D812,Worksheet!$C$3:$C$32,Worksheet!$M$3:$M$32)</f>
        <v>112.5</v>
      </c>
      <c r="F812" s="19">
        <f>_xlfn.XLOOKUP(D812,Worksheet!$C$3:$C$32,Worksheet!$S$3:$S$32)</f>
        <v>0.26829268292682928</v>
      </c>
    </row>
    <row r="813" spans="1:6" x14ac:dyDescent="0.2">
      <c r="A813" t="s">
        <v>553</v>
      </c>
      <c r="B813" s="4">
        <v>44584</v>
      </c>
      <c r="C813" t="s">
        <v>91</v>
      </c>
      <c r="D813" t="s">
        <v>120</v>
      </c>
      <c r="E813">
        <f>_xlfn.XLOOKUP(D813,Worksheet!$C$3:$C$32,Worksheet!$M$3:$M$32)</f>
        <v>109.1</v>
      </c>
      <c r="F813" s="19">
        <f>_xlfn.XLOOKUP(D813,Worksheet!$C$3:$C$32,Worksheet!$S$3:$S$32)</f>
        <v>0.64634146341463417</v>
      </c>
    </row>
    <row r="814" spans="1:6" x14ac:dyDescent="0.2">
      <c r="A814" t="s">
        <v>553</v>
      </c>
      <c r="B814" s="4">
        <v>44586</v>
      </c>
      <c r="C814">
        <v>7.2</v>
      </c>
      <c r="D814" t="s">
        <v>85</v>
      </c>
      <c r="E814">
        <f>_xlfn.XLOOKUP(D814,Worksheet!$C$3:$C$32,Worksheet!$M$3:$M$32)</f>
        <v>112.8</v>
      </c>
      <c r="F814" s="19">
        <f>_xlfn.XLOOKUP(D814,Worksheet!$C$3:$C$32,Worksheet!$S$3:$S$32)</f>
        <v>0.53658536585365857</v>
      </c>
    </row>
    <row r="815" spans="1:6" x14ac:dyDescent="0.2">
      <c r="A815" t="s">
        <v>553</v>
      </c>
      <c r="B815" s="4">
        <v>44588</v>
      </c>
      <c r="C815">
        <v>27.6</v>
      </c>
      <c r="D815" t="s">
        <v>94</v>
      </c>
      <c r="E815">
        <f>_xlfn.XLOOKUP(D815,Worksheet!$C$3:$C$32,Worksheet!$M$3:$M$32)</f>
        <v>110.8</v>
      </c>
      <c r="F815" s="19">
        <f>_xlfn.XLOOKUP(D815,Worksheet!$C$3:$C$32,Worksheet!$S$3:$S$32)</f>
        <v>0.62195121951219512</v>
      </c>
    </row>
    <row r="816" spans="1:6" x14ac:dyDescent="0.2">
      <c r="A816" t="s">
        <v>553</v>
      </c>
      <c r="B816" s="4">
        <v>44589</v>
      </c>
      <c r="C816" t="s">
        <v>91</v>
      </c>
      <c r="D816" t="s">
        <v>72</v>
      </c>
      <c r="E816">
        <f>_xlfn.XLOOKUP(D816,Worksheet!$C$3:$C$32,Worksheet!$M$3:$M$32)</f>
        <v>113.7</v>
      </c>
      <c r="F816" s="19">
        <f>_xlfn.XLOOKUP(D816,Worksheet!$C$3:$C$32,Worksheet!$S$3:$S$32)</f>
        <v>0.52439024390243905</v>
      </c>
    </row>
    <row r="817" spans="1:6" x14ac:dyDescent="0.2">
      <c r="A817" t="s">
        <v>553</v>
      </c>
      <c r="B817" s="4">
        <v>44591</v>
      </c>
      <c r="C817">
        <v>19</v>
      </c>
      <c r="D817" t="s">
        <v>78</v>
      </c>
      <c r="E817">
        <f>_xlfn.XLOOKUP(D817,Worksheet!$C$3:$C$32,Worksheet!$M$3:$M$32)</f>
        <v>114.9</v>
      </c>
      <c r="F817" s="19">
        <f>_xlfn.XLOOKUP(D817,Worksheet!$C$3:$C$32,Worksheet!$S$3:$S$32)</f>
        <v>0.52439024390243905</v>
      </c>
    </row>
    <row r="818" spans="1:6" x14ac:dyDescent="0.2">
      <c r="A818" t="s">
        <v>553</v>
      </c>
      <c r="B818" s="4">
        <v>44594</v>
      </c>
      <c r="C818">
        <v>24</v>
      </c>
      <c r="D818" t="s">
        <v>96</v>
      </c>
      <c r="E818">
        <f>_xlfn.XLOOKUP(D818,Worksheet!$C$3:$C$32,Worksheet!$M$3:$M$32)</f>
        <v>116.9</v>
      </c>
      <c r="F818" s="19">
        <f>_xlfn.XLOOKUP(D818,Worksheet!$C$3:$C$32,Worksheet!$S$3:$S$32)</f>
        <v>0.32926829268292684</v>
      </c>
    </row>
    <row r="819" spans="1:6" x14ac:dyDescent="0.2">
      <c r="A819" t="s">
        <v>553</v>
      </c>
      <c r="B819" s="4">
        <v>44595</v>
      </c>
      <c r="C819">
        <v>28.5</v>
      </c>
      <c r="D819" t="s">
        <v>64</v>
      </c>
      <c r="E819">
        <f>_xlfn.XLOOKUP(D819,Worksheet!$C$3:$C$32,Worksheet!$M$3:$M$32)</f>
        <v>110.1</v>
      </c>
      <c r="F819" s="19">
        <f>_xlfn.XLOOKUP(D819,Worksheet!$C$3:$C$32,Worksheet!$S$3:$S$32)</f>
        <v>0.51219512195121952</v>
      </c>
    </row>
    <row r="820" spans="1:6" x14ac:dyDescent="0.2">
      <c r="A820" t="s">
        <v>553</v>
      </c>
      <c r="B820" s="4">
        <v>44597</v>
      </c>
      <c r="C820">
        <v>31.3</v>
      </c>
      <c r="D820" t="s">
        <v>110</v>
      </c>
      <c r="E820">
        <f>_xlfn.XLOOKUP(D820,Worksheet!$C$3:$C$32,Worksheet!$M$3:$M$32)</f>
        <v>110.5</v>
      </c>
      <c r="F820" s="19">
        <f>_xlfn.XLOOKUP(D820,Worksheet!$C$3:$C$32,Worksheet!$S$3:$S$32)</f>
        <v>0.45121951219512196</v>
      </c>
    </row>
    <row r="821" spans="1:6" x14ac:dyDescent="0.2">
      <c r="A821" t="s">
        <v>553</v>
      </c>
      <c r="B821" s="4">
        <v>44600</v>
      </c>
      <c r="C821">
        <v>25</v>
      </c>
      <c r="D821" t="s">
        <v>126</v>
      </c>
      <c r="E821">
        <f>_xlfn.XLOOKUP(D821,Worksheet!$C$3:$C$32,Worksheet!$M$3:$M$32)</f>
        <v>111.8</v>
      </c>
      <c r="F821" s="19">
        <f>_xlfn.XLOOKUP(D821,Worksheet!$C$3:$C$32,Worksheet!$S$3:$S$32)</f>
        <v>0.62195121951219512</v>
      </c>
    </row>
    <row r="822" spans="1:6" x14ac:dyDescent="0.2">
      <c r="A822" t="s">
        <v>553</v>
      </c>
      <c r="B822" s="4">
        <v>44601</v>
      </c>
      <c r="C822">
        <v>19.3</v>
      </c>
      <c r="D822" t="s">
        <v>96</v>
      </c>
      <c r="E822">
        <f>_xlfn.XLOOKUP(D822,Worksheet!$C$3:$C$32,Worksheet!$M$3:$M$32)</f>
        <v>116.9</v>
      </c>
      <c r="F822" s="19">
        <f>_xlfn.XLOOKUP(D822,Worksheet!$C$3:$C$32,Worksheet!$S$3:$S$32)</f>
        <v>0.32926829268292684</v>
      </c>
    </row>
    <row r="823" spans="1:6" x14ac:dyDescent="0.2">
      <c r="A823" t="s">
        <v>553</v>
      </c>
      <c r="B823" s="4">
        <v>44604</v>
      </c>
      <c r="C823">
        <v>13.9</v>
      </c>
      <c r="D823" t="s">
        <v>33</v>
      </c>
      <c r="E823">
        <f>_xlfn.XLOOKUP(D823,Worksheet!$C$3:$C$32,Worksheet!$M$3:$M$32)</f>
        <v>106.9</v>
      </c>
      <c r="F823" s="19">
        <f>_xlfn.XLOOKUP(D823,Worksheet!$C$3:$C$32,Worksheet!$S$3:$S$32)</f>
        <v>0.64634146341463417</v>
      </c>
    </row>
    <row r="824" spans="1:6" x14ac:dyDescent="0.2">
      <c r="A824" t="s">
        <v>553</v>
      </c>
      <c r="B824" s="4">
        <v>44608</v>
      </c>
      <c r="C824">
        <v>17.899999999999999</v>
      </c>
      <c r="D824" t="s">
        <v>118</v>
      </c>
      <c r="E824">
        <f>_xlfn.XLOOKUP(D824,Worksheet!$C$3:$C$32,Worksheet!$M$3:$M$32)</f>
        <v>110.5</v>
      </c>
      <c r="F824" s="19">
        <f>_xlfn.XLOOKUP(D824,Worksheet!$C$3:$C$32,Worksheet!$S$3:$S$32)</f>
        <v>0.59756097560975607</v>
      </c>
    </row>
    <row r="825" spans="1:6" x14ac:dyDescent="0.2">
      <c r="A825" t="s">
        <v>553</v>
      </c>
      <c r="B825" s="4">
        <v>44617</v>
      </c>
      <c r="C825" t="s">
        <v>91</v>
      </c>
      <c r="D825" t="s">
        <v>64</v>
      </c>
      <c r="E825">
        <f>_xlfn.XLOOKUP(D825,Worksheet!$C$3:$C$32,Worksheet!$M$3:$M$32)</f>
        <v>110.1</v>
      </c>
      <c r="F825" s="19">
        <f>_xlfn.XLOOKUP(D825,Worksheet!$C$3:$C$32,Worksheet!$S$3:$S$32)</f>
        <v>0.51219512195121952</v>
      </c>
    </row>
    <row r="826" spans="1:6" x14ac:dyDescent="0.2">
      <c r="A826" t="s">
        <v>553</v>
      </c>
      <c r="B826" s="4">
        <v>44619</v>
      </c>
      <c r="C826" t="s">
        <v>91</v>
      </c>
      <c r="D826" t="s">
        <v>74</v>
      </c>
      <c r="E826">
        <f>_xlfn.XLOOKUP(D826,Worksheet!$C$3:$C$32,Worksheet!$M$3:$M$32)</f>
        <v>113</v>
      </c>
      <c r="F826" s="19">
        <f>_xlfn.XLOOKUP(D826,Worksheet!$C$3:$C$32,Worksheet!$S$3:$S$32)</f>
        <v>0.43902439024390244</v>
      </c>
    </row>
    <row r="827" spans="1:6" x14ac:dyDescent="0.2">
      <c r="A827" t="s">
        <v>553</v>
      </c>
      <c r="B827" s="4">
        <v>44621</v>
      </c>
      <c r="C827" t="s">
        <v>91</v>
      </c>
      <c r="D827" t="s">
        <v>49</v>
      </c>
      <c r="E827">
        <f>_xlfn.XLOOKUP(D827,Worksheet!$C$3:$C$32,Worksheet!$M$3:$M$32)</f>
        <v>109.4</v>
      </c>
      <c r="F827" s="19">
        <f>_xlfn.XLOOKUP(D827,Worksheet!$C$3:$C$32,Worksheet!$S$3:$S$32)</f>
        <v>0.63414634146341464</v>
      </c>
    </row>
    <row r="828" spans="1:6" x14ac:dyDescent="0.2">
      <c r="A828" t="s">
        <v>553</v>
      </c>
      <c r="B828" s="4">
        <v>44623</v>
      </c>
      <c r="C828" t="s">
        <v>91</v>
      </c>
      <c r="D828" t="s">
        <v>64</v>
      </c>
      <c r="E828">
        <f>_xlfn.XLOOKUP(D828,Worksheet!$C$3:$C$32,Worksheet!$M$3:$M$32)</f>
        <v>110.1</v>
      </c>
      <c r="F828" s="19">
        <f>_xlfn.XLOOKUP(D828,Worksheet!$C$3:$C$32,Worksheet!$S$3:$S$32)</f>
        <v>0.51219512195121952</v>
      </c>
    </row>
    <row r="829" spans="1:6" x14ac:dyDescent="0.2">
      <c r="A829" t="s">
        <v>553</v>
      </c>
      <c r="B829" s="4">
        <v>44625</v>
      </c>
      <c r="C829" t="s">
        <v>91</v>
      </c>
      <c r="D829" t="s">
        <v>33</v>
      </c>
      <c r="E829">
        <f>_xlfn.XLOOKUP(D829,Worksheet!$C$3:$C$32,Worksheet!$M$3:$M$32)</f>
        <v>106.9</v>
      </c>
      <c r="F829" s="19">
        <f>_xlfn.XLOOKUP(D829,Worksheet!$C$3:$C$32,Worksheet!$S$3:$S$32)</f>
        <v>0.64634146341463417</v>
      </c>
    </row>
    <row r="830" spans="1:6" x14ac:dyDescent="0.2">
      <c r="A830" t="s">
        <v>553</v>
      </c>
      <c r="B830" s="4">
        <v>44627</v>
      </c>
      <c r="C830" t="s">
        <v>91</v>
      </c>
      <c r="D830" t="s">
        <v>102</v>
      </c>
      <c r="E830">
        <f>_xlfn.XLOOKUP(D830,Worksheet!$C$3:$C$32,Worksheet!$M$3:$M$32)</f>
        <v>112.3</v>
      </c>
      <c r="F830" s="19">
        <f>_xlfn.XLOOKUP(D830,Worksheet!$C$3:$C$32,Worksheet!$S$3:$S$32)</f>
        <v>0.41463414634146339</v>
      </c>
    </row>
    <row r="831" spans="1:6" x14ac:dyDescent="0.2">
      <c r="A831" t="s">
        <v>553</v>
      </c>
      <c r="B831" s="4">
        <v>44629</v>
      </c>
      <c r="C831" t="s">
        <v>91</v>
      </c>
      <c r="D831" t="s">
        <v>76</v>
      </c>
      <c r="E831">
        <f>_xlfn.XLOOKUP(D831,Worksheet!$C$3:$C$32,Worksheet!$M$3:$M$32)</f>
        <v>116.7</v>
      </c>
      <c r="F831" s="19">
        <f>_xlfn.XLOOKUP(D831,Worksheet!$C$3:$C$32,Worksheet!$S$3:$S$32)</f>
        <v>0.24390243902439024</v>
      </c>
    </row>
    <row r="832" spans="1:6" x14ac:dyDescent="0.2">
      <c r="A832" t="s">
        <v>553</v>
      </c>
      <c r="B832" s="4">
        <v>44631</v>
      </c>
      <c r="C832" t="s">
        <v>91</v>
      </c>
      <c r="D832" t="s">
        <v>155</v>
      </c>
      <c r="E832">
        <f>_xlfn.XLOOKUP(D832,Worksheet!$C$3:$C$32,Worksheet!$M$3:$M$32)</f>
        <v>114.5</v>
      </c>
      <c r="F832" s="19">
        <f>_xlfn.XLOOKUP(D832,Worksheet!$C$3:$C$32,Worksheet!$S$3:$S$32)</f>
        <v>0.42682926829268292</v>
      </c>
    </row>
    <row r="833" spans="1:6" x14ac:dyDescent="0.2">
      <c r="A833" t="s">
        <v>553</v>
      </c>
      <c r="B833" s="4">
        <v>44633</v>
      </c>
      <c r="C833" t="s">
        <v>91</v>
      </c>
      <c r="D833" t="s">
        <v>99</v>
      </c>
      <c r="E833">
        <f>_xlfn.XLOOKUP(D833,Worksheet!$C$3:$C$32,Worksheet!$M$3:$M$32)</f>
        <v>107.3</v>
      </c>
      <c r="F833" s="19">
        <f>_xlfn.XLOOKUP(D833,Worksheet!$C$3:$C$32,Worksheet!$S$3:$S$32)</f>
        <v>0.78048780487804881</v>
      </c>
    </row>
    <row r="834" spans="1:6" x14ac:dyDescent="0.2">
      <c r="A834" t="s">
        <v>553</v>
      </c>
      <c r="B834" s="4">
        <v>44634</v>
      </c>
      <c r="C834" t="s">
        <v>91</v>
      </c>
      <c r="D834" t="s">
        <v>92</v>
      </c>
      <c r="E834">
        <f>_xlfn.XLOOKUP(D834,Worksheet!$C$3:$C$32,Worksheet!$M$3:$M$32)</f>
        <v>110.5</v>
      </c>
      <c r="F834" s="19">
        <f>_xlfn.XLOOKUP(D834,Worksheet!$C$3:$C$32,Worksheet!$S$3:$S$32)</f>
        <v>0.58536585365853655</v>
      </c>
    </row>
    <row r="835" spans="1:6" x14ac:dyDescent="0.2">
      <c r="A835" t="s">
        <v>553</v>
      </c>
      <c r="B835" s="4">
        <v>44636</v>
      </c>
      <c r="C835" t="s">
        <v>91</v>
      </c>
      <c r="D835" t="s">
        <v>80</v>
      </c>
      <c r="E835">
        <f>_xlfn.XLOOKUP(D835,Worksheet!$C$3:$C$32,Worksheet!$M$3:$M$32)</f>
        <v>111.7</v>
      </c>
      <c r="F835" s="19">
        <f>_xlfn.XLOOKUP(D835,Worksheet!$C$3:$C$32,Worksheet!$S$3:$S$32)</f>
        <v>0.56097560975609762</v>
      </c>
    </row>
    <row r="836" spans="1:6" x14ac:dyDescent="0.2">
      <c r="A836" t="s">
        <v>553</v>
      </c>
      <c r="B836" s="4">
        <v>44638</v>
      </c>
      <c r="C836" t="s">
        <v>91</v>
      </c>
      <c r="D836" t="s">
        <v>92</v>
      </c>
      <c r="E836">
        <f>_xlfn.XLOOKUP(D836,Worksheet!$C$3:$C$32,Worksheet!$M$3:$M$32)</f>
        <v>110.5</v>
      </c>
      <c r="F836" s="19">
        <f>_xlfn.XLOOKUP(D836,Worksheet!$C$3:$C$32,Worksheet!$S$3:$S$32)</f>
        <v>0.58536585365853655</v>
      </c>
    </row>
    <row r="837" spans="1:6" x14ac:dyDescent="0.2">
      <c r="A837" t="s">
        <v>553</v>
      </c>
      <c r="B837" s="4">
        <v>44639</v>
      </c>
      <c r="C837" t="s">
        <v>91</v>
      </c>
      <c r="D837" t="s">
        <v>155</v>
      </c>
      <c r="E837">
        <f>_xlfn.XLOOKUP(D837,Worksheet!$C$3:$C$32,Worksheet!$M$3:$M$32)</f>
        <v>114.5</v>
      </c>
      <c r="F837" s="19">
        <f>_xlfn.XLOOKUP(D837,Worksheet!$C$3:$C$32,Worksheet!$S$3:$S$32)</f>
        <v>0.42682926829268292</v>
      </c>
    </row>
    <row r="838" spans="1:6" x14ac:dyDescent="0.2">
      <c r="A838" t="s">
        <v>553</v>
      </c>
      <c r="B838" s="4">
        <v>44641</v>
      </c>
      <c r="C838" t="s">
        <v>91</v>
      </c>
      <c r="D838" t="s">
        <v>87</v>
      </c>
      <c r="E838">
        <f>_xlfn.XLOOKUP(D838,Worksheet!$C$3:$C$32,Worksheet!$M$3:$M$32)</f>
        <v>109.7</v>
      </c>
      <c r="F838" s="19">
        <f>_xlfn.XLOOKUP(D838,Worksheet!$C$3:$C$32,Worksheet!$S$3:$S$32)</f>
        <v>0.53658536585365857</v>
      </c>
    </row>
    <row r="839" spans="1:6" x14ac:dyDescent="0.2">
      <c r="A839" t="s">
        <v>553</v>
      </c>
      <c r="B839" s="4">
        <v>44643</v>
      </c>
      <c r="C839" t="s">
        <v>91</v>
      </c>
      <c r="D839" t="s">
        <v>94</v>
      </c>
      <c r="E839">
        <f>_xlfn.XLOOKUP(D839,Worksheet!$C$3:$C$32,Worksheet!$M$3:$M$32)</f>
        <v>110.8</v>
      </c>
      <c r="F839" s="19">
        <f>_xlfn.XLOOKUP(D839,Worksheet!$C$3:$C$32,Worksheet!$S$3:$S$32)</f>
        <v>0.62195121951219512</v>
      </c>
    </row>
    <row r="840" spans="1:6" x14ac:dyDescent="0.2">
      <c r="A840" t="s">
        <v>553</v>
      </c>
      <c r="B840" s="4">
        <v>44647</v>
      </c>
      <c r="C840" t="s">
        <v>91</v>
      </c>
      <c r="D840" t="s">
        <v>74</v>
      </c>
      <c r="E840">
        <f>_xlfn.XLOOKUP(D840,Worksheet!$C$3:$C$32,Worksheet!$M$3:$M$32)</f>
        <v>113</v>
      </c>
      <c r="F840" s="19">
        <f>_xlfn.XLOOKUP(D840,Worksheet!$C$3:$C$32,Worksheet!$S$3:$S$32)</f>
        <v>0.43902439024390244</v>
      </c>
    </row>
    <row r="841" spans="1:6" x14ac:dyDescent="0.2">
      <c r="A841" t="s">
        <v>553</v>
      </c>
      <c r="B841" s="4">
        <v>44649</v>
      </c>
      <c r="C841" t="s">
        <v>91</v>
      </c>
      <c r="D841" t="s">
        <v>49</v>
      </c>
      <c r="E841">
        <f>_xlfn.XLOOKUP(D841,Worksheet!$C$3:$C$32,Worksheet!$M$3:$M$32)</f>
        <v>109.4</v>
      </c>
      <c r="F841" s="19">
        <f>_xlfn.XLOOKUP(D841,Worksheet!$C$3:$C$32,Worksheet!$S$3:$S$32)</f>
        <v>0.63414634146341464</v>
      </c>
    </row>
    <row r="842" spans="1:6" x14ac:dyDescent="0.2">
      <c r="A842" t="s">
        <v>553</v>
      </c>
      <c r="B842" s="4">
        <v>44651</v>
      </c>
      <c r="C842" t="s">
        <v>91</v>
      </c>
      <c r="D842" t="s">
        <v>118</v>
      </c>
      <c r="E842">
        <f>_xlfn.XLOOKUP(D842,Worksheet!$C$3:$C$32,Worksheet!$M$3:$M$32)</f>
        <v>110.5</v>
      </c>
      <c r="F842" s="19">
        <f>_xlfn.XLOOKUP(D842,Worksheet!$C$3:$C$32,Worksheet!$S$3:$S$32)</f>
        <v>0.59756097560975607</v>
      </c>
    </row>
    <row r="843" spans="1:6" x14ac:dyDescent="0.2">
      <c r="A843" t="s">
        <v>553</v>
      </c>
      <c r="B843" s="4">
        <v>44652</v>
      </c>
      <c r="C843">
        <v>18.3</v>
      </c>
      <c r="D843" t="s">
        <v>74</v>
      </c>
      <c r="E843">
        <f>_xlfn.XLOOKUP(D843,Worksheet!$C$3:$C$32,Worksheet!$M$3:$M$32)</f>
        <v>113</v>
      </c>
      <c r="F843" s="19">
        <f>_xlfn.XLOOKUP(D843,Worksheet!$C$3:$C$32,Worksheet!$S$3:$S$32)</f>
        <v>0.43902439024390244</v>
      </c>
    </row>
    <row r="844" spans="1:6" x14ac:dyDescent="0.2">
      <c r="A844" t="s">
        <v>553</v>
      </c>
      <c r="B844" s="4">
        <v>44654</v>
      </c>
      <c r="C844">
        <v>25.7</v>
      </c>
      <c r="D844" t="s">
        <v>34</v>
      </c>
      <c r="E844">
        <f>_xlfn.XLOOKUP(D844,Worksheet!$C$3:$C$32,Worksheet!$M$3:$M$32)</f>
        <v>112.1</v>
      </c>
      <c r="F844" s="19">
        <f>_xlfn.XLOOKUP(D844,Worksheet!$C$3:$C$32,Worksheet!$S$3:$S$32)</f>
        <v>0.58536585365853655</v>
      </c>
    </row>
    <row r="845" spans="1:6" x14ac:dyDescent="0.2">
      <c r="A845" t="s">
        <v>553</v>
      </c>
      <c r="B845" s="4">
        <v>44656</v>
      </c>
      <c r="C845">
        <v>16.7</v>
      </c>
      <c r="D845" t="s">
        <v>99</v>
      </c>
      <c r="E845">
        <f>_xlfn.XLOOKUP(D845,Worksheet!$C$3:$C$32,Worksheet!$M$3:$M$32)</f>
        <v>107.3</v>
      </c>
      <c r="F845" s="19">
        <f>_xlfn.XLOOKUP(D845,Worksheet!$C$3:$C$32,Worksheet!$S$3:$S$32)</f>
        <v>0.78048780487804881</v>
      </c>
    </row>
    <row r="846" spans="1:6" x14ac:dyDescent="0.2">
      <c r="A846" t="s">
        <v>553</v>
      </c>
      <c r="B846" s="4">
        <v>44658</v>
      </c>
      <c r="C846" t="s">
        <v>91</v>
      </c>
      <c r="D846" t="s">
        <v>33</v>
      </c>
      <c r="E846">
        <f>_xlfn.XLOOKUP(D846,Worksheet!$C$3:$C$32,Worksheet!$M$3:$M$32)</f>
        <v>106.9</v>
      </c>
      <c r="F846" s="19">
        <f>_xlfn.XLOOKUP(D846,Worksheet!$C$3:$C$32,Worksheet!$S$3:$S$32)</f>
        <v>0.64634146341463417</v>
      </c>
    </row>
    <row r="847" spans="1:6" x14ac:dyDescent="0.2">
      <c r="A847" t="s">
        <v>553</v>
      </c>
      <c r="B847" s="4">
        <v>44659</v>
      </c>
      <c r="C847" t="s">
        <v>91</v>
      </c>
      <c r="D847" t="s">
        <v>68</v>
      </c>
      <c r="E847">
        <f>_xlfn.XLOOKUP(D847,Worksheet!$C$3:$C$32,Worksheet!$M$3:$M$32)</f>
        <v>112.8</v>
      </c>
      <c r="F847" s="19">
        <f>_xlfn.XLOOKUP(D847,Worksheet!$C$3:$C$32,Worksheet!$S$3:$S$32)</f>
        <v>0.29268292682926828</v>
      </c>
    </row>
    <row r="848" spans="1:6" x14ac:dyDescent="0.2">
      <c r="A848" t="s">
        <v>553</v>
      </c>
      <c r="B848" s="4">
        <v>44661</v>
      </c>
      <c r="C848" t="s">
        <v>91</v>
      </c>
      <c r="D848" t="s">
        <v>34</v>
      </c>
      <c r="E848">
        <f>_xlfn.XLOOKUP(D848,Worksheet!$C$3:$C$32,Worksheet!$M$3:$M$32)</f>
        <v>112.1</v>
      </c>
      <c r="F848" s="19">
        <f>_xlfn.XLOOKUP(D848,Worksheet!$C$3:$C$32,Worksheet!$S$3:$S$32)</f>
        <v>0.58536585365853655</v>
      </c>
    </row>
    <row r="849" spans="1:6" x14ac:dyDescent="0.2">
      <c r="A849" t="s">
        <v>554</v>
      </c>
      <c r="B849" s="4">
        <v>44488</v>
      </c>
      <c r="C849">
        <v>8</v>
      </c>
      <c r="D849" t="s">
        <v>62</v>
      </c>
      <c r="E849">
        <f>_xlfn.XLOOKUP(D849,Worksheet!$C$3:$C$32,Worksheet!$M$3:$M$32)</f>
        <v>113.3</v>
      </c>
      <c r="F849" s="19">
        <f>_xlfn.XLOOKUP(D849,Worksheet!$C$3:$C$32,Worksheet!$S$3:$S$32)</f>
        <v>0.40243902439024393</v>
      </c>
    </row>
    <row r="850" spans="1:6" x14ac:dyDescent="0.2">
      <c r="A850" t="s">
        <v>554</v>
      </c>
      <c r="B850" s="4">
        <v>44490</v>
      </c>
      <c r="C850">
        <v>13.3</v>
      </c>
      <c r="D850" t="s">
        <v>64</v>
      </c>
      <c r="E850">
        <f>_xlfn.XLOOKUP(D850,Worksheet!$C$3:$C$32,Worksheet!$M$3:$M$32)</f>
        <v>110.1</v>
      </c>
      <c r="F850" s="19">
        <f>_xlfn.XLOOKUP(D850,Worksheet!$C$3:$C$32,Worksheet!$S$3:$S$32)</f>
        <v>0.51219512195121952</v>
      </c>
    </row>
    <row r="851" spans="1:6" x14ac:dyDescent="0.2">
      <c r="A851" t="s">
        <v>554</v>
      </c>
      <c r="B851" s="4">
        <v>44493</v>
      </c>
      <c r="C851">
        <v>11.5</v>
      </c>
      <c r="D851" t="s">
        <v>66</v>
      </c>
      <c r="E851">
        <f>_xlfn.XLOOKUP(D851,Worksheet!$C$3:$C$32,Worksheet!$M$3:$M$32)</f>
        <v>115.3</v>
      </c>
      <c r="F851" s="19">
        <f>_xlfn.XLOOKUP(D851,Worksheet!$C$3:$C$32,Worksheet!$S$3:$S$32)</f>
        <v>0.36585365853658536</v>
      </c>
    </row>
    <row r="852" spans="1:6" x14ac:dyDescent="0.2">
      <c r="A852" t="s">
        <v>554</v>
      </c>
      <c r="B852" s="4">
        <v>44495</v>
      </c>
      <c r="C852">
        <v>18</v>
      </c>
      <c r="D852" t="s">
        <v>68</v>
      </c>
      <c r="E852">
        <f>_xlfn.XLOOKUP(D852,Worksheet!$C$3:$C$32,Worksheet!$M$3:$M$32)</f>
        <v>112.8</v>
      </c>
      <c r="F852" s="19">
        <f>_xlfn.XLOOKUP(D852,Worksheet!$C$3:$C$32,Worksheet!$S$3:$S$32)</f>
        <v>0.29268292682926828</v>
      </c>
    </row>
    <row r="853" spans="1:6" x14ac:dyDescent="0.2">
      <c r="A853" t="s">
        <v>554</v>
      </c>
      <c r="B853" s="4">
        <v>44497</v>
      </c>
      <c r="C853">
        <v>9.1</v>
      </c>
      <c r="D853" t="s">
        <v>42</v>
      </c>
      <c r="E853">
        <f>_xlfn.XLOOKUP(D853,Worksheet!$C$3:$C$32,Worksheet!$M$3:$M$32)</f>
        <v>109</v>
      </c>
      <c r="F853" s="19">
        <f>_xlfn.XLOOKUP(D853,Worksheet!$C$3:$C$32,Worksheet!$S$3:$S$32)</f>
        <v>0.68292682926829273</v>
      </c>
    </row>
    <row r="854" spans="1:6" x14ac:dyDescent="0.2">
      <c r="A854" t="s">
        <v>554</v>
      </c>
      <c r="B854" s="4">
        <v>44499</v>
      </c>
      <c r="C854">
        <v>9.6</v>
      </c>
      <c r="D854" t="s">
        <v>68</v>
      </c>
      <c r="E854">
        <f>_xlfn.XLOOKUP(D854,Worksheet!$C$3:$C$32,Worksheet!$M$3:$M$32)</f>
        <v>112.8</v>
      </c>
      <c r="F854" s="19">
        <f>_xlfn.XLOOKUP(D854,Worksheet!$C$3:$C$32,Worksheet!$S$3:$S$32)</f>
        <v>0.29268292682926828</v>
      </c>
    </row>
    <row r="855" spans="1:6" x14ac:dyDescent="0.2">
      <c r="A855" t="s">
        <v>554</v>
      </c>
      <c r="B855" s="4">
        <v>44503</v>
      </c>
      <c r="C855">
        <v>9.3000000000000007</v>
      </c>
      <c r="D855" t="s">
        <v>72</v>
      </c>
      <c r="E855">
        <f>_xlfn.XLOOKUP(D855,Worksheet!$C$3:$C$32,Worksheet!$M$3:$M$32)</f>
        <v>113.7</v>
      </c>
      <c r="F855" s="19">
        <f>_xlfn.XLOOKUP(D855,Worksheet!$C$3:$C$32,Worksheet!$S$3:$S$32)</f>
        <v>0.52439024390243905</v>
      </c>
    </row>
    <row r="856" spans="1:6" x14ac:dyDescent="0.2">
      <c r="A856" t="s">
        <v>554</v>
      </c>
      <c r="B856" s="4">
        <v>44505</v>
      </c>
      <c r="C856">
        <v>8</v>
      </c>
      <c r="D856" t="s">
        <v>74</v>
      </c>
      <c r="E856">
        <f>_xlfn.XLOOKUP(D856,Worksheet!$C$3:$C$32,Worksheet!$M$3:$M$32)</f>
        <v>113</v>
      </c>
      <c r="F856" s="19">
        <f>_xlfn.XLOOKUP(D856,Worksheet!$C$3:$C$32,Worksheet!$S$3:$S$32)</f>
        <v>0.43902439024390244</v>
      </c>
    </row>
    <row r="857" spans="1:6" x14ac:dyDescent="0.2">
      <c r="A857" t="s">
        <v>554</v>
      </c>
      <c r="B857" s="4">
        <v>44507</v>
      </c>
      <c r="C857">
        <v>8</v>
      </c>
      <c r="D857" t="s">
        <v>76</v>
      </c>
      <c r="E857">
        <f>_xlfn.XLOOKUP(D857,Worksheet!$C$3:$C$32,Worksheet!$M$3:$M$32)</f>
        <v>116.7</v>
      </c>
      <c r="F857" s="19">
        <f>_xlfn.XLOOKUP(D857,Worksheet!$C$3:$C$32,Worksheet!$S$3:$S$32)</f>
        <v>0.24390243902439024</v>
      </c>
    </row>
    <row r="858" spans="1:6" x14ac:dyDescent="0.2">
      <c r="A858" t="s">
        <v>554</v>
      </c>
      <c r="B858" s="4">
        <v>44508</v>
      </c>
      <c r="C858">
        <v>8.9</v>
      </c>
      <c r="D858" t="s">
        <v>78</v>
      </c>
      <c r="E858">
        <f>_xlfn.XLOOKUP(D858,Worksheet!$C$3:$C$32,Worksheet!$M$3:$M$32)</f>
        <v>114.9</v>
      </c>
      <c r="F858" s="19">
        <f>_xlfn.XLOOKUP(D858,Worksheet!$C$3:$C$32,Worksheet!$S$3:$S$32)</f>
        <v>0.52439024390243905</v>
      </c>
    </row>
    <row r="859" spans="1:6" x14ac:dyDescent="0.2">
      <c r="A859" t="s">
        <v>554</v>
      </c>
      <c r="B859" s="4">
        <v>44510</v>
      </c>
      <c r="C859">
        <v>25.7</v>
      </c>
      <c r="D859" t="s">
        <v>80</v>
      </c>
      <c r="E859">
        <f>_xlfn.XLOOKUP(D859,Worksheet!$C$3:$C$32,Worksheet!$M$3:$M$32)</f>
        <v>111.7</v>
      </c>
      <c r="F859" s="19">
        <f>_xlfn.XLOOKUP(D859,Worksheet!$C$3:$C$32,Worksheet!$S$3:$S$32)</f>
        <v>0.56097560975609762</v>
      </c>
    </row>
    <row r="860" spans="1:6" x14ac:dyDescent="0.2">
      <c r="A860" t="s">
        <v>554</v>
      </c>
      <c r="B860" s="4">
        <v>44512</v>
      </c>
      <c r="C860">
        <v>11.7</v>
      </c>
      <c r="D860" t="s">
        <v>82</v>
      </c>
      <c r="E860">
        <f>_xlfn.XLOOKUP(D860,Worksheet!$C$3:$C$32,Worksheet!$M$3:$M$32)</f>
        <v>113.6</v>
      </c>
      <c r="F860" s="19">
        <f>_xlfn.XLOOKUP(D860,Worksheet!$C$3:$C$32,Worksheet!$S$3:$S$32)</f>
        <v>0.56097560975609762</v>
      </c>
    </row>
    <row r="861" spans="1:6" x14ac:dyDescent="0.2">
      <c r="A861" t="s">
        <v>554</v>
      </c>
      <c r="B861" s="4">
        <v>44514</v>
      </c>
      <c r="C861">
        <v>21.5</v>
      </c>
      <c r="D861" t="s">
        <v>72</v>
      </c>
      <c r="E861">
        <f>_xlfn.XLOOKUP(D861,Worksheet!$C$3:$C$32,Worksheet!$M$3:$M$32)</f>
        <v>113.7</v>
      </c>
      <c r="F861" s="19">
        <f>_xlfn.XLOOKUP(D861,Worksheet!$C$3:$C$32,Worksheet!$S$3:$S$32)</f>
        <v>0.52439024390243905</v>
      </c>
    </row>
    <row r="862" spans="1:6" x14ac:dyDescent="0.2">
      <c r="A862" t="s">
        <v>554</v>
      </c>
      <c r="B862" s="4">
        <v>44516</v>
      </c>
      <c r="C862">
        <v>11.5</v>
      </c>
      <c r="D862" t="s">
        <v>85</v>
      </c>
      <c r="E862">
        <f>_xlfn.XLOOKUP(D862,Worksheet!$C$3:$C$32,Worksheet!$M$3:$M$32)</f>
        <v>112.8</v>
      </c>
      <c r="F862" s="19">
        <f>_xlfn.XLOOKUP(D862,Worksheet!$C$3:$C$32,Worksheet!$S$3:$S$32)</f>
        <v>0.53658536585365857</v>
      </c>
    </row>
    <row r="863" spans="1:6" x14ac:dyDescent="0.2">
      <c r="A863" t="s">
        <v>554</v>
      </c>
      <c r="B863" s="4">
        <v>44518</v>
      </c>
      <c r="C863">
        <v>5</v>
      </c>
      <c r="D863" t="s">
        <v>87</v>
      </c>
      <c r="E863">
        <f>_xlfn.XLOOKUP(D863,Worksheet!$C$3:$C$32,Worksheet!$M$3:$M$32)</f>
        <v>109.7</v>
      </c>
      <c r="F863" s="19">
        <f>_xlfn.XLOOKUP(D863,Worksheet!$C$3:$C$32,Worksheet!$S$3:$S$32)</f>
        <v>0.53658536585365857</v>
      </c>
    </row>
    <row r="864" spans="1:6" x14ac:dyDescent="0.2">
      <c r="A864" t="s">
        <v>554</v>
      </c>
      <c r="B864" s="4">
        <v>44519</v>
      </c>
      <c r="C864">
        <v>17</v>
      </c>
      <c r="D864" t="s">
        <v>89</v>
      </c>
      <c r="E864">
        <f>_xlfn.XLOOKUP(D864,Worksheet!$C$3:$C$32,Worksheet!$M$3:$M$32)</f>
        <v>113.8</v>
      </c>
      <c r="F864" s="19">
        <f>_xlfn.XLOOKUP(D864,Worksheet!$C$3:$C$32,Worksheet!$S$3:$S$32)</f>
        <v>0.28048780487804881</v>
      </c>
    </row>
    <row r="865" spans="1:6" x14ac:dyDescent="0.2">
      <c r="A865" t="s">
        <v>554</v>
      </c>
      <c r="B865" s="4">
        <v>44521</v>
      </c>
      <c r="C865">
        <v>25.8</v>
      </c>
      <c r="D865" t="s">
        <v>92</v>
      </c>
      <c r="E865">
        <f>_xlfn.XLOOKUP(D865,Worksheet!$C$3:$C$32,Worksheet!$M$3:$M$32)</f>
        <v>110.5</v>
      </c>
      <c r="F865" s="19">
        <f>_xlfn.XLOOKUP(D865,Worksheet!$C$3:$C$32,Worksheet!$S$3:$S$32)</f>
        <v>0.58536585365853655</v>
      </c>
    </row>
    <row r="866" spans="1:6" x14ac:dyDescent="0.2">
      <c r="A866" t="s">
        <v>554</v>
      </c>
      <c r="B866" s="4">
        <v>44524</v>
      </c>
      <c r="C866">
        <v>14.3</v>
      </c>
      <c r="D866" t="s">
        <v>94</v>
      </c>
      <c r="E866">
        <f>_xlfn.XLOOKUP(D866,Worksheet!$C$3:$C$32,Worksheet!$M$3:$M$32)</f>
        <v>110.8</v>
      </c>
      <c r="F866" s="19">
        <f>_xlfn.XLOOKUP(D866,Worksheet!$C$3:$C$32,Worksheet!$S$3:$S$32)</f>
        <v>0.62195121951219512</v>
      </c>
    </row>
    <row r="867" spans="1:6" x14ac:dyDescent="0.2">
      <c r="A867" t="s">
        <v>554</v>
      </c>
      <c r="B867" s="4">
        <v>44526</v>
      </c>
      <c r="C867">
        <v>20.3</v>
      </c>
      <c r="D867" t="s">
        <v>96</v>
      </c>
      <c r="E867">
        <f>_xlfn.XLOOKUP(D867,Worksheet!$C$3:$C$32,Worksheet!$M$3:$M$32)</f>
        <v>116.9</v>
      </c>
      <c r="F867" s="19">
        <f>_xlfn.XLOOKUP(D867,Worksheet!$C$3:$C$32,Worksheet!$S$3:$S$32)</f>
        <v>0.32926829268292684</v>
      </c>
    </row>
    <row r="868" spans="1:6" x14ac:dyDescent="0.2">
      <c r="A868" t="s">
        <v>554</v>
      </c>
      <c r="B868" s="4">
        <v>44528</v>
      </c>
      <c r="C868">
        <v>7.9</v>
      </c>
      <c r="D868" t="s">
        <v>64</v>
      </c>
      <c r="E868">
        <f>_xlfn.XLOOKUP(D868,Worksheet!$C$3:$C$32,Worksheet!$M$3:$M$32)</f>
        <v>110.1</v>
      </c>
      <c r="F868" s="19">
        <f>_xlfn.XLOOKUP(D868,Worksheet!$C$3:$C$32,Worksheet!$S$3:$S$32)</f>
        <v>0.51219512195121952</v>
      </c>
    </row>
    <row r="869" spans="1:6" x14ac:dyDescent="0.2">
      <c r="A869" t="s">
        <v>554</v>
      </c>
      <c r="B869" s="4">
        <v>44530</v>
      </c>
      <c r="C869">
        <v>5.4</v>
      </c>
      <c r="D869" t="s">
        <v>99</v>
      </c>
      <c r="E869">
        <f>_xlfn.XLOOKUP(D869,Worksheet!$C$3:$C$32,Worksheet!$M$3:$M$32)</f>
        <v>107.3</v>
      </c>
      <c r="F869" s="19">
        <f>_xlfn.XLOOKUP(D869,Worksheet!$C$3:$C$32,Worksheet!$S$3:$S$32)</f>
        <v>0.78048780487804881</v>
      </c>
    </row>
    <row r="870" spans="1:6" x14ac:dyDescent="0.2">
      <c r="A870" t="s">
        <v>554</v>
      </c>
      <c r="B870" s="4">
        <v>44533</v>
      </c>
      <c r="C870">
        <v>10.7</v>
      </c>
      <c r="D870" t="s">
        <v>99</v>
      </c>
      <c r="E870">
        <f>_xlfn.XLOOKUP(D870,Worksheet!$C$3:$C$32,Worksheet!$M$3:$M$32)</f>
        <v>107.3</v>
      </c>
      <c r="F870" s="19">
        <f>_xlfn.XLOOKUP(D870,Worksheet!$C$3:$C$32,Worksheet!$S$3:$S$32)</f>
        <v>0.78048780487804881</v>
      </c>
    </row>
    <row r="871" spans="1:6" x14ac:dyDescent="0.2">
      <c r="A871" t="s">
        <v>554</v>
      </c>
      <c r="B871" s="4">
        <v>44534</v>
      </c>
      <c r="C871">
        <v>7.9</v>
      </c>
      <c r="D871" t="s">
        <v>102</v>
      </c>
      <c r="E871">
        <f>_xlfn.XLOOKUP(D871,Worksheet!$C$3:$C$32,Worksheet!$M$3:$M$32)</f>
        <v>112.3</v>
      </c>
      <c r="F871" s="19">
        <f>_xlfn.XLOOKUP(D871,Worksheet!$C$3:$C$32,Worksheet!$S$3:$S$32)</f>
        <v>0.41463414634146339</v>
      </c>
    </row>
    <row r="872" spans="1:6" x14ac:dyDescent="0.2">
      <c r="A872" t="s">
        <v>554</v>
      </c>
      <c r="B872" s="4">
        <v>44536</v>
      </c>
      <c r="C872">
        <v>21.5</v>
      </c>
      <c r="D872" t="s">
        <v>104</v>
      </c>
      <c r="E872">
        <f>_xlfn.XLOOKUP(D872,Worksheet!$C$3:$C$32,Worksheet!$M$3:$M$32)</f>
        <v>112.5</v>
      </c>
      <c r="F872" s="19">
        <f>_xlfn.XLOOKUP(D872,Worksheet!$C$3:$C$32,Worksheet!$S$3:$S$32)</f>
        <v>0.26829268292682928</v>
      </c>
    </row>
    <row r="873" spans="1:6" x14ac:dyDescent="0.2">
      <c r="A873" t="s">
        <v>554</v>
      </c>
      <c r="B873" s="4">
        <v>44538</v>
      </c>
      <c r="C873">
        <v>12.5</v>
      </c>
      <c r="D873" t="s">
        <v>96</v>
      </c>
      <c r="E873">
        <f>_xlfn.XLOOKUP(D873,Worksheet!$C$3:$C$32,Worksheet!$M$3:$M$32)</f>
        <v>116.9</v>
      </c>
      <c r="F873" s="19">
        <f>_xlfn.XLOOKUP(D873,Worksheet!$C$3:$C$32,Worksheet!$S$3:$S$32)</f>
        <v>0.32926829268292684</v>
      </c>
    </row>
    <row r="874" spans="1:6" x14ac:dyDescent="0.2">
      <c r="A874" t="s">
        <v>554</v>
      </c>
      <c r="B874" s="4">
        <v>44541</v>
      </c>
      <c r="C874">
        <v>15.9</v>
      </c>
      <c r="D874" t="s">
        <v>94</v>
      </c>
      <c r="E874">
        <f>_xlfn.XLOOKUP(D874,Worksheet!$C$3:$C$32,Worksheet!$M$3:$M$32)</f>
        <v>110.8</v>
      </c>
      <c r="F874" s="19">
        <f>_xlfn.XLOOKUP(D874,Worksheet!$C$3:$C$32,Worksheet!$S$3:$S$32)</f>
        <v>0.62195121951219512</v>
      </c>
    </row>
    <row r="875" spans="1:6" x14ac:dyDescent="0.2">
      <c r="A875" t="s">
        <v>554</v>
      </c>
      <c r="B875" s="4">
        <v>44543</v>
      </c>
      <c r="C875">
        <v>9.8000000000000007</v>
      </c>
      <c r="D875" t="s">
        <v>108</v>
      </c>
      <c r="E875">
        <f>_xlfn.XLOOKUP(D875,Worksheet!$C$3:$C$32,Worksheet!$M$3:$M$32)</f>
        <v>116.1</v>
      </c>
      <c r="F875" s="19">
        <f>_xlfn.XLOOKUP(D875,Worksheet!$C$3:$C$32,Worksheet!$S$3:$S$32)</f>
        <v>0.3048780487804878</v>
      </c>
    </row>
    <row r="876" spans="1:6" x14ac:dyDescent="0.2">
      <c r="A876" t="s">
        <v>554</v>
      </c>
      <c r="B876" s="4">
        <v>44544</v>
      </c>
      <c r="C876">
        <v>12</v>
      </c>
      <c r="D876" t="s">
        <v>110</v>
      </c>
      <c r="E876">
        <f>_xlfn.XLOOKUP(D876,Worksheet!$C$3:$C$32,Worksheet!$M$3:$M$32)</f>
        <v>110.5</v>
      </c>
      <c r="F876" s="19">
        <f>_xlfn.XLOOKUP(D876,Worksheet!$C$3:$C$32,Worksheet!$S$3:$S$32)</f>
        <v>0.45121951219512196</v>
      </c>
    </row>
    <row r="877" spans="1:6" x14ac:dyDescent="0.2">
      <c r="A877" t="s">
        <v>554</v>
      </c>
      <c r="B877" s="4">
        <v>44547</v>
      </c>
      <c r="C877">
        <v>21.9</v>
      </c>
      <c r="D877" t="s">
        <v>55</v>
      </c>
      <c r="E877">
        <f>_xlfn.XLOOKUP(D877,Worksheet!$C$3:$C$32,Worksheet!$M$3:$M$32)</f>
        <v>106.9</v>
      </c>
      <c r="F877" s="19">
        <f>_xlfn.XLOOKUP(D877,Worksheet!$C$3:$C$32,Worksheet!$S$3:$S$32)</f>
        <v>0.62195121951219512</v>
      </c>
    </row>
    <row r="878" spans="1:6" x14ac:dyDescent="0.2">
      <c r="A878" t="s">
        <v>554</v>
      </c>
      <c r="B878" s="4">
        <v>44548</v>
      </c>
      <c r="C878" t="s">
        <v>169</v>
      </c>
      <c r="D878" t="s">
        <v>92</v>
      </c>
      <c r="E878">
        <f>_xlfn.XLOOKUP(D878,Worksheet!$C$3:$C$32,Worksheet!$M$3:$M$32)</f>
        <v>110.5</v>
      </c>
      <c r="F878" s="19">
        <f>_xlfn.XLOOKUP(D878,Worksheet!$C$3:$C$32,Worksheet!$S$3:$S$32)</f>
        <v>0.58536585365853655</v>
      </c>
    </row>
    <row r="879" spans="1:6" x14ac:dyDescent="0.2">
      <c r="A879" t="s">
        <v>554</v>
      </c>
      <c r="B879" s="4">
        <v>44550</v>
      </c>
      <c r="C879" t="s">
        <v>91</v>
      </c>
      <c r="D879" t="s">
        <v>66</v>
      </c>
      <c r="E879">
        <f>_xlfn.XLOOKUP(D879,Worksheet!$C$3:$C$32,Worksheet!$M$3:$M$32)</f>
        <v>115.3</v>
      </c>
      <c r="F879" s="19">
        <f>_xlfn.XLOOKUP(D879,Worksheet!$C$3:$C$32,Worksheet!$S$3:$S$32)</f>
        <v>0.36585365853658536</v>
      </c>
    </row>
    <row r="880" spans="1:6" x14ac:dyDescent="0.2">
      <c r="A880" t="s">
        <v>554</v>
      </c>
      <c r="B880" s="4">
        <v>44553</v>
      </c>
      <c r="C880" t="s">
        <v>91</v>
      </c>
      <c r="D880" t="s">
        <v>42</v>
      </c>
      <c r="E880">
        <f>_xlfn.XLOOKUP(D880,Worksheet!$C$3:$C$32,Worksheet!$M$3:$M$32)</f>
        <v>109</v>
      </c>
      <c r="F880" s="19">
        <f>_xlfn.XLOOKUP(D880,Worksheet!$C$3:$C$32,Worksheet!$S$3:$S$32)</f>
        <v>0.68292682926829273</v>
      </c>
    </row>
    <row r="881" spans="1:6" x14ac:dyDescent="0.2">
      <c r="A881" t="s">
        <v>554</v>
      </c>
      <c r="B881" s="4">
        <v>44555</v>
      </c>
      <c r="C881" t="s">
        <v>91</v>
      </c>
      <c r="D881" t="s">
        <v>99</v>
      </c>
      <c r="E881">
        <f>_xlfn.XLOOKUP(D881,Worksheet!$C$3:$C$32,Worksheet!$M$3:$M$32)</f>
        <v>107.3</v>
      </c>
      <c r="F881" s="19">
        <f>_xlfn.XLOOKUP(D881,Worksheet!$C$3:$C$32,Worksheet!$S$3:$S$32)</f>
        <v>0.78048780487804881</v>
      </c>
    </row>
    <row r="882" spans="1:6" x14ac:dyDescent="0.2">
      <c r="A882" t="s">
        <v>554</v>
      </c>
      <c r="B882" s="4">
        <v>44558</v>
      </c>
      <c r="C882">
        <v>14</v>
      </c>
      <c r="D882" t="s">
        <v>34</v>
      </c>
      <c r="E882">
        <f>_xlfn.XLOOKUP(D882,Worksheet!$C$3:$C$32,Worksheet!$M$3:$M$32)</f>
        <v>112.1</v>
      </c>
      <c r="F882" s="19">
        <f>_xlfn.XLOOKUP(D882,Worksheet!$C$3:$C$32,Worksheet!$S$3:$S$32)</f>
        <v>0.58536585365853655</v>
      </c>
    </row>
    <row r="883" spans="1:6" x14ac:dyDescent="0.2">
      <c r="A883" t="s">
        <v>554</v>
      </c>
      <c r="B883" s="4">
        <v>44562</v>
      </c>
      <c r="C883">
        <v>15.1</v>
      </c>
      <c r="D883" t="s">
        <v>118</v>
      </c>
      <c r="E883">
        <f>_xlfn.XLOOKUP(D883,Worksheet!$C$3:$C$32,Worksheet!$M$3:$M$32)</f>
        <v>110.5</v>
      </c>
      <c r="F883" s="19">
        <f>_xlfn.XLOOKUP(D883,Worksheet!$C$3:$C$32,Worksheet!$S$3:$S$32)</f>
        <v>0.59756097560975607</v>
      </c>
    </row>
    <row r="884" spans="1:6" x14ac:dyDescent="0.2">
      <c r="A884" t="s">
        <v>554</v>
      </c>
      <c r="B884" s="4">
        <v>44564</v>
      </c>
      <c r="C884">
        <v>19.3</v>
      </c>
      <c r="D884" t="s">
        <v>120</v>
      </c>
      <c r="E884">
        <f>_xlfn.XLOOKUP(D884,Worksheet!$C$3:$C$32,Worksheet!$M$3:$M$32)</f>
        <v>109.1</v>
      </c>
      <c r="F884" s="19">
        <f>_xlfn.XLOOKUP(D884,Worksheet!$C$3:$C$32,Worksheet!$S$3:$S$32)</f>
        <v>0.64634146341463417</v>
      </c>
    </row>
    <row r="885" spans="1:6" x14ac:dyDescent="0.2">
      <c r="A885" t="s">
        <v>554</v>
      </c>
      <c r="B885" s="4">
        <v>44566</v>
      </c>
      <c r="C885">
        <v>14.9</v>
      </c>
      <c r="D885" t="s">
        <v>49</v>
      </c>
      <c r="E885">
        <f>_xlfn.XLOOKUP(D885,Worksheet!$C$3:$C$32,Worksheet!$M$3:$M$32)</f>
        <v>109.4</v>
      </c>
      <c r="F885" s="19">
        <f>_xlfn.XLOOKUP(D885,Worksheet!$C$3:$C$32,Worksheet!$S$3:$S$32)</f>
        <v>0.63414634146341464</v>
      </c>
    </row>
    <row r="886" spans="1:6" x14ac:dyDescent="0.2">
      <c r="A886" t="s">
        <v>554</v>
      </c>
      <c r="B886" s="4">
        <v>44567</v>
      </c>
      <c r="C886">
        <v>12.9</v>
      </c>
      <c r="D886" t="s">
        <v>74</v>
      </c>
      <c r="E886">
        <f>_xlfn.XLOOKUP(D886,Worksheet!$C$3:$C$32,Worksheet!$M$3:$M$32)</f>
        <v>113</v>
      </c>
      <c r="F886" s="19">
        <f>_xlfn.XLOOKUP(D886,Worksheet!$C$3:$C$32,Worksheet!$S$3:$S$32)</f>
        <v>0.43902439024390244</v>
      </c>
    </row>
    <row r="887" spans="1:6" x14ac:dyDescent="0.2">
      <c r="A887" t="s">
        <v>554</v>
      </c>
      <c r="B887" s="4">
        <v>44570</v>
      </c>
      <c r="C887">
        <v>6.8</v>
      </c>
      <c r="D887" t="s">
        <v>87</v>
      </c>
      <c r="E887">
        <f>_xlfn.XLOOKUP(D887,Worksheet!$C$3:$C$32,Worksheet!$M$3:$M$32)</f>
        <v>109.7</v>
      </c>
      <c r="F887" s="19">
        <f>_xlfn.XLOOKUP(D887,Worksheet!$C$3:$C$32,Worksheet!$S$3:$S$32)</f>
        <v>0.53658536585365857</v>
      </c>
    </row>
    <row r="888" spans="1:6" x14ac:dyDescent="0.2">
      <c r="A888" t="s">
        <v>554</v>
      </c>
      <c r="B888" s="4">
        <v>44572</v>
      </c>
      <c r="C888">
        <v>4</v>
      </c>
      <c r="D888" t="s">
        <v>42</v>
      </c>
      <c r="E888">
        <f>_xlfn.XLOOKUP(D888,Worksheet!$C$3:$C$32,Worksheet!$M$3:$M$32)</f>
        <v>109</v>
      </c>
      <c r="F888" s="19">
        <f>_xlfn.XLOOKUP(D888,Worksheet!$C$3:$C$32,Worksheet!$S$3:$S$32)</f>
        <v>0.68292682926829273</v>
      </c>
    </row>
    <row r="889" spans="1:6" x14ac:dyDescent="0.2">
      <c r="A889" t="s">
        <v>554</v>
      </c>
      <c r="B889" s="4">
        <v>44574</v>
      </c>
      <c r="C889">
        <v>10.3</v>
      </c>
      <c r="D889" t="s">
        <v>126</v>
      </c>
      <c r="E889">
        <f>_xlfn.XLOOKUP(D889,Worksheet!$C$3:$C$32,Worksheet!$M$3:$M$32)</f>
        <v>111.8</v>
      </c>
      <c r="F889" s="19">
        <f>_xlfn.XLOOKUP(D889,Worksheet!$C$3:$C$32,Worksheet!$S$3:$S$32)</f>
        <v>0.62195121951219512</v>
      </c>
    </row>
    <row r="890" spans="1:6" x14ac:dyDescent="0.2">
      <c r="A890" t="s">
        <v>554</v>
      </c>
      <c r="B890" s="4">
        <v>44575</v>
      </c>
      <c r="C890">
        <v>20.3</v>
      </c>
      <c r="D890" t="s">
        <v>82</v>
      </c>
      <c r="E890">
        <f>_xlfn.XLOOKUP(D890,Worksheet!$C$3:$C$32,Worksheet!$M$3:$M$32)</f>
        <v>113.6</v>
      </c>
      <c r="F890" s="19">
        <f>_xlfn.XLOOKUP(D890,Worksheet!$C$3:$C$32,Worksheet!$S$3:$S$32)</f>
        <v>0.56097560975609762</v>
      </c>
    </row>
    <row r="891" spans="1:6" x14ac:dyDescent="0.2">
      <c r="A891" t="s">
        <v>554</v>
      </c>
      <c r="B891" s="4">
        <v>44577</v>
      </c>
      <c r="C891">
        <v>7.8</v>
      </c>
      <c r="D891" t="s">
        <v>80</v>
      </c>
      <c r="E891">
        <f>_xlfn.XLOOKUP(D891,Worksheet!$C$3:$C$32,Worksheet!$M$3:$M$32)</f>
        <v>111.7</v>
      </c>
      <c r="F891" s="19">
        <f>_xlfn.XLOOKUP(D891,Worksheet!$C$3:$C$32,Worksheet!$S$3:$S$32)</f>
        <v>0.56097560975609762</v>
      </c>
    </row>
    <row r="892" spans="1:6" x14ac:dyDescent="0.2">
      <c r="A892" t="s">
        <v>554</v>
      </c>
      <c r="B892" s="4">
        <v>44579</v>
      </c>
      <c r="C892">
        <v>16.2</v>
      </c>
      <c r="D892" t="s">
        <v>89</v>
      </c>
      <c r="E892">
        <f>_xlfn.XLOOKUP(D892,Worksheet!$C$3:$C$32,Worksheet!$M$3:$M$32)</f>
        <v>113.8</v>
      </c>
      <c r="F892" s="19">
        <f>_xlfn.XLOOKUP(D892,Worksheet!$C$3:$C$32,Worksheet!$S$3:$S$32)</f>
        <v>0.28048780487804881</v>
      </c>
    </row>
    <row r="893" spans="1:6" x14ac:dyDescent="0.2">
      <c r="A893" t="s">
        <v>554</v>
      </c>
      <c r="B893" s="4">
        <v>44581</v>
      </c>
      <c r="C893">
        <v>3.2</v>
      </c>
      <c r="D893" t="s">
        <v>108</v>
      </c>
      <c r="E893">
        <f>_xlfn.XLOOKUP(D893,Worksheet!$C$3:$C$32,Worksheet!$M$3:$M$32)</f>
        <v>116.1</v>
      </c>
      <c r="F893" s="19">
        <f>_xlfn.XLOOKUP(D893,Worksheet!$C$3:$C$32,Worksheet!$S$3:$S$32)</f>
        <v>0.3048780487804878</v>
      </c>
    </row>
    <row r="894" spans="1:6" x14ac:dyDescent="0.2">
      <c r="A894" t="s">
        <v>554</v>
      </c>
      <c r="B894" s="4">
        <v>44582</v>
      </c>
      <c r="C894">
        <v>10.4</v>
      </c>
      <c r="D894" t="s">
        <v>76</v>
      </c>
      <c r="E894">
        <f>_xlfn.XLOOKUP(D894,Worksheet!$C$3:$C$32,Worksheet!$M$3:$M$32)</f>
        <v>116.7</v>
      </c>
      <c r="F894" s="19">
        <f>_xlfn.XLOOKUP(D894,Worksheet!$C$3:$C$32,Worksheet!$S$3:$S$32)</f>
        <v>0.24390243902439024</v>
      </c>
    </row>
    <row r="895" spans="1:6" x14ac:dyDescent="0.2">
      <c r="A895" t="s">
        <v>554</v>
      </c>
      <c r="B895" s="4">
        <v>44584</v>
      </c>
      <c r="C895">
        <v>7.2</v>
      </c>
      <c r="D895" t="s">
        <v>118</v>
      </c>
      <c r="E895">
        <f>_xlfn.XLOOKUP(D895,Worksheet!$C$3:$C$32,Worksheet!$M$3:$M$32)</f>
        <v>110.5</v>
      </c>
      <c r="F895" s="19">
        <f>_xlfn.XLOOKUP(D895,Worksheet!$C$3:$C$32,Worksheet!$S$3:$S$32)</f>
        <v>0.59756097560975607</v>
      </c>
    </row>
    <row r="896" spans="1:6" x14ac:dyDescent="0.2">
      <c r="A896" t="s">
        <v>554</v>
      </c>
      <c r="B896" s="4">
        <v>44586</v>
      </c>
      <c r="C896">
        <v>10.5</v>
      </c>
      <c r="D896" t="s">
        <v>49</v>
      </c>
      <c r="E896">
        <f>_xlfn.XLOOKUP(D896,Worksheet!$C$3:$C$32,Worksheet!$M$3:$M$32)</f>
        <v>109.4</v>
      </c>
      <c r="F896" s="19">
        <f>_xlfn.XLOOKUP(D896,Worksheet!$C$3:$C$32,Worksheet!$S$3:$S$32)</f>
        <v>0.63414634146341464</v>
      </c>
    </row>
    <row r="897" spans="1:6" x14ac:dyDescent="0.2">
      <c r="A897" t="s">
        <v>554</v>
      </c>
      <c r="B897" s="4">
        <v>44588</v>
      </c>
      <c r="C897">
        <v>18.899999999999999</v>
      </c>
      <c r="D897" t="s">
        <v>80</v>
      </c>
      <c r="E897">
        <f>_xlfn.XLOOKUP(D897,Worksheet!$C$3:$C$32,Worksheet!$M$3:$M$32)</f>
        <v>111.7</v>
      </c>
      <c r="F897" s="19">
        <f>_xlfn.XLOOKUP(D897,Worksheet!$C$3:$C$32,Worksheet!$S$3:$S$32)</f>
        <v>0.56097560975609762</v>
      </c>
    </row>
    <row r="898" spans="1:6" x14ac:dyDescent="0.2">
      <c r="A898" t="s">
        <v>554</v>
      </c>
      <c r="B898" s="4">
        <v>44590</v>
      </c>
      <c r="C898">
        <v>22.8</v>
      </c>
      <c r="D898" t="s">
        <v>85</v>
      </c>
      <c r="E898">
        <f>_xlfn.XLOOKUP(D898,Worksheet!$C$3:$C$32,Worksheet!$M$3:$M$32)</f>
        <v>112.8</v>
      </c>
      <c r="F898" s="19">
        <f>_xlfn.XLOOKUP(D898,Worksheet!$C$3:$C$32,Worksheet!$S$3:$S$32)</f>
        <v>0.53658536585365857</v>
      </c>
    </row>
    <row r="899" spans="1:6" x14ac:dyDescent="0.2">
      <c r="A899" t="s">
        <v>554</v>
      </c>
      <c r="B899" s="4">
        <v>44592</v>
      </c>
      <c r="C899">
        <v>21.6</v>
      </c>
      <c r="D899" t="s">
        <v>76</v>
      </c>
      <c r="E899">
        <f>_xlfn.XLOOKUP(D899,Worksheet!$C$3:$C$32,Worksheet!$M$3:$M$32)</f>
        <v>116.7</v>
      </c>
      <c r="F899" s="19">
        <f>_xlfn.XLOOKUP(D899,Worksheet!$C$3:$C$32,Worksheet!$S$3:$S$32)</f>
        <v>0.24390243902439024</v>
      </c>
    </row>
    <row r="900" spans="1:6" x14ac:dyDescent="0.2">
      <c r="A900" t="s">
        <v>554</v>
      </c>
      <c r="B900" s="4">
        <v>44593</v>
      </c>
      <c r="C900" t="s">
        <v>91</v>
      </c>
      <c r="D900" t="s">
        <v>102</v>
      </c>
      <c r="E900">
        <f>_xlfn.XLOOKUP(D900,Worksheet!$C$3:$C$32,Worksheet!$M$3:$M$32)</f>
        <v>112.3</v>
      </c>
      <c r="F900" s="19">
        <f>_xlfn.XLOOKUP(D900,Worksheet!$C$3:$C$32,Worksheet!$S$3:$S$32)</f>
        <v>0.41463414634146339</v>
      </c>
    </row>
    <row r="901" spans="1:6" x14ac:dyDescent="0.2">
      <c r="A901" t="s">
        <v>554</v>
      </c>
      <c r="B901" s="4">
        <v>44595</v>
      </c>
      <c r="C901">
        <v>6.9</v>
      </c>
      <c r="D901" t="s">
        <v>66</v>
      </c>
      <c r="E901">
        <f>_xlfn.XLOOKUP(D901,Worksheet!$C$3:$C$32,Worksheet!$M$3:$M$32)</f>
        <v>115.3</v>
      </c>
      <c r="F901" s="19">
        <f>_xlfn.XLOOKUP(D901,Worksheet!$C$3:$C$32,Worksheet!$S$3:$S$32)</f>
        <v>0.36585365853658536</v>
      </c>
    </row>
    <row r="902" spans="1:6" x14ac:dyDescent="0.2">
      <c r="A902" t="s">
        <v>554</v>
      </c>
      <c r="B902" s="4">
        <v>44599</v>
      </c>
      <c r="C902">
        <v>5.9</v>
      </c>
      <c r="D902" t="s">
        <v>68</v>
      </c>
      <c r="E902">
        <f>_xlfn.XLOOKUP(D902,Worksheet!$C$3:$C$32,Worksheet!$M$3:$M$32)</f>
        <v>112.8</v>
      </c>
      <c r="F902" s="19">
        <f>_xlfn.XLOOKUP(D902,Worksheet!$C$3:$C$32,Worksheet!$S$3:$S$32)</f>
        <v>0.29268292682926828</v>
      </c>
    </row>
    <row r="903" spans="1:6" x14ac:dyDescent="0.2">
      <c r="A903" t="s">
        <v>554</v>
      </c>
      <c r="B903" s="4">
        <v>44601</v>
      </c>
      <c r="C903">
        <v>10.5</v>
      </c>
      <c r="D903" t="s">
        <v>118</v>
      </c>
      <c r="E903">
        <f>_xlfn.XLOOKUP(D903,Worksheet!$C$3:$C$32,Worksheet!$M$3:$M$32)</f>
        <v>110.5</v>
      </c>
      <c r="F903" s="19">
        <f>_xlfn.XLOOKUP(D903,Worksheet!$C$3:$C$32,Worksheet!$S$3:$S$32)</f>
        <v>0.59756097560975607</v>
      </c>
    </row>
    <row r="904" spans="1:6" x14ac:dyDescent="0.2">
      <c r="A904" t="s">
        <v>554</v>
      </c>
      <c r="B904" s="4">
        <v>44602</v>
      </c>
      <c r="C904">
        <v>15.3</v>
      </c>
      <c r="D904" t="s">
        <v>110</v>
      </c>
      <c r="E904">
        <f>_xlfn.XLOOKUP(D904,Worksheet!$C$3:$C$32,Worksheet!$M$3:$M$32)</f>
        <v>110.5</v>
      </c>
      <c r="F904" s="19">
        <f>_xlfn.XLOOKUP(D904,Worksheet!$C$3:$C$32,Worksheet!$S$3:$S$32)</f>
        <v>0.45121951219512196</v>
      </c>
    </row>
    <row r="905" spans="1:6" x14ac:dyDescent="0.2">
      <c r="A905" t="s">
        <v>554</v>
      </c>
      <c r="B905" s="4">
        <v>44604</v>
      </c>
      <c r="C905">
        <v>12.5</v>
      </c>
      <c r="D905" t="s">
        <v>62</v>
      </c>
      <c r="E905">
        <f>_xlfn.XLOOKUP(D905,Worksheet!$C$3:$C$32,Worksheet!$M$3:$M$32)</f>
        <v>113.3</v>
      </c>
      <c r="F905" s="19">
        <f>_xlfn.XLOOKUP(D905,Worksheet!$C$3:$C$32,Worksheet!$S$3:$S$32)</f>
        <v>0.40243902439024393</v>
      </c>
    </row>
    <row r="906" spans="1:6" x14ac:dyDescent="0.2">
      <c r="A906" t="s">
        <v>554</v>
      </c>
      <c r="B906" s="4">
        <v>44606</v>
      </c>
      <c r="C906">
        <v>8.6</v>
      </c>
      <c r="D906" t="s">
        <v>64</v>
      </c>
      <c r="E906">
        <f>_xlfn.XLOOKUP(D906,Worksheet!$C$3:$C$32,Worksheet!$M$3:$M$32)</f>
        <v>110.1</v>
      </c>
      <c r="F906" s="19">
        <f>_xlfn.XLOOKUP(D906,Worksheet!$C$3:$C$32,Worksheet!$S$3:$S$32)</f>
        <v>0.51219512195121952</v>
      </c>
    </row>
    <row r="907" spans="1:6" x14ac:dyDescent="0.2">
      <c r="A907" t="s">
        <v>554</v>
      </c>
      <c r="B907" s="4">
        <v>44608</v>
      </c>
      <c r="C907">
        <v>7.3</v>
      </c>
      <c r="D907" t="s">
        <v>34</v>
      </c>
      <c r="E907">
        <f>_xlfn.XLOOKUP(D907,Worksheet!$C$3:$C$32,Worksheet!$M$3:$M$32)</f>
        <v>112.1</v>
      </c>
      <c r="F907" s="19">
        <f>_xlfn.XLOOKUP(D907,Worksheet!$C$3:$C$32,Worksheet!$S$3:$S$32)</f>
        <v>0.58536585365853655</v>
      </c>
    </row>
    <row r="908" spans="1:6" x14ac:dyDescent="0.2">
      <c r="A908" t="s">
        <v>554</v>
      </c>
      <c r="B908" s="4">
        <v>44616</v>
      </c>
      <c r="C908">
        <v>5.2</v>
      </c>
      <c r="D908" t="s">
        <v>96</v>
      </c>
      <c r="E908">
        <f>_xlfn.XLOOKUP(D908,Worksheet!$C$3:$C$32,Worksheet!$M$3:$M$32)</f>
        <v>116.9</v>
      </c>
      <c r="F908" s="19">
        <f>_xlfn.XLOOKUP(D908,Worksheet!$C$3:$C$32,Worksheet!$S$3:$S$32)</f>
        <v>0.32926829268292684</v>
      </c>
    </row>
    <row r="909" spans="1:6" x14ac:dyDescent="0.2">
      <c r="A909" t="s">
        <v>554</v>
      </c>
      <c r="B909" s="4">
        <v>44619</v>
      </c>
      <c r="C909">
        <v>10.4</v>
      </c>
      <c r="D909" t="s">
        <v>49</v>
      </c>
      <c r="E909">
        <f>_xlfn.XLOOKUP(D909,Worksheet!$C$3:$C$32,Worksheet!$M$3:$M$32)</f>
        <v>109.4</v>
      </c>
      <c r="F909" s="19">
        <f>_xlfn.XLOOKUP(D909,Worksheet!$C$3:$C$32,Worksheet!$S$3:$S$32)</f>
        <v>0.63414634146341464</v>
      </c>
    </row>
    <row r="910" spans="1:6" x14ac:dyDescent="0.2">
      <c r="A910" t="s">
        <v>554</v>
      </c>
      <c r="B910" s="4">
        <v>44621</v>
      </c>
      <c r="C910">
        <v>8</v>
      </c>
      <c r="D910" t="s">
        <v>80</v>
      </c>
      <c r="E910">
        <f>_xlfn.XLOOKUP(D910,Worksheet!$C$3:$C$32,Worksheet!$M$3:$M$32)</f>
        <v>111.7</v>
      </c>
      <c r="F910" s="19">
        <f>_xlfn.XLOOKUP(D910,Worksheet!$C$3:$C$32,Worksheet!$S$3:$S$32)</f>
        <v>0.56097560975609762</v>
      </c>
    </row>
    <row r="911" spans="1:6" x14ac:dyDescent="0.2">
      <c r="A911" t="s">
        <v>554</v>
      </c>
      <c r="B911" s="4">
        <v>44623</v>
      </c>
      <c r="C911">
        <v>11.8</v>
      </c>
      <c r="D911" t="s">
        <v>49</v>
      </c>
      <c r="E911">
        <f>_xlfn.XLOOKUP(D911,Worksheet!$C$3:$C$32,Worksheet!$M$3:$M$32)</f>
        <v>109.4</v>
      </c>
      <c r="F911" s="19">
        <f>_xlfn.XLOOKUP(D911,Worksheet!$C$3:$C$32,Worksheet!$S$3:$S$32)</f>
        <v>0.63414634146341464</v>
      </c>
    </row>
    <row r="912" spans="1:6" x14ac:dyDescent="0.2">
      <c r="A912" t="s">
        <v>554</v>
      </c>
      <c r="B912" s="4">
        <v>44625</v>
      </c>
      <c r="C912">
        <v>10.199999999999999</v>
      </c>
      <c r="D912" t="s">
        <v>62</v>
      </c>
      <c r="E912">
        <f>_xlfn.XLOOKUP(D912,Worksheet!$C$3:$C$32,Worksheet!$M$3:$M$32)</f>
        <v>113.3</v>
      </c>
      <c r="F912" s="19">
        <f>_xlfn.XLOOKUP(D912,Worksheet!$C$3:$C$32,Worksheet!$S$3:$S$32)</f>
        <v>0.40243902439024393</v>
      </c>
    </row>
    <row r="913" spans="1:6" x14ac:dyDescent="0.2">
      <c r="A913" t="s">
        <v>554</v>
      </c>
      <c r="B913" s="4">
        <v>44627</v>
      </c>
      <c r="C913" t="s">
        <v>91</v>
      </c>
      <c r="D913" t="s">
        <v>34</v>
      </c>
      <c r="E913">
        <f>_xlfn.XLOOKUP(D913,Worksheet!$C$3:$C$32,Worksheet!$M$3:$M$32)</f>
        <v>112.1</v>
      </c>
      <c r="F913" s="19">
        <f>_xlfn.XLOOKUP(D913,Worksheet!$C$3:$C$32,Worksheet!$S$3:$S$32)</f>
        <v>0.58536585365853655</v>
      </c>
    </row>
    <row r="914" spans="1:6" x14ac:dyDescent="0.2">
      <c r="A914" t="s">
        <v>554</v>
      </c>
      <c r="B914" s="4">
        <v>44628</v>
      </c>
      <c r="C914">
        <v>8.6999999999999993</v>
      </c>
      <c r="D914" t="s">
        <v>64</v>
      </c>
      <c r="E914">
        <f>_xlfn.XLOOKUP(D914,Worksheet!$C$3:$C$32,Worksheet!$M$3:$M$32)</f>
        <v>110.1</v>
      </c>
      <c r="F914" s="19">
        <f>_xlfn.XLOOKUP(D914,Worksheet!$C$3:$C$32,Worksheet!$S$3:$S$32)</f>
        <v>0.51219512195121952</v>
      </c>
    </row>
    <row r="915" spans="1:6" x14ac:dyDescent="0.2">
      <c r="A915" t="s">
        <v>554</v>
      </c>
      <c r="B915" s="4">
        <v>44630</v>
      </c>
      <c r="C915">
        <v>4.4000000000000004</v>
      </c>
      <c r="D915" t="s">
        <v>34</v>
      </c>
      <c r="E915">
        <f>_xlfn.XLOOKUP(D915,Worksheet!$C$3:$C$32,Worksheet!$M$3:$M$32)</f>
        <v>112.1</v>
      </c>
      <c r="F915" s="19">
        <f>_xlfn.XLOOKUP(D915,Worksheet!$C$3:$C$32,Worksheet!$S$3:$S$32)</f>
        <v>0.58536585365853655</v>
      </c>
    </row>
    <row r="916" spans="1:6" x14ac:dyDescent="0.2">
      <c r="A916" t="s">
        <v>554</v>
      </c>
      <c r="B916" s="4">
        <v>44632</v>
      </c>
      <c r="C916">
        <v>19.100000000000001</v>
      </c>
      <c r="D916" t="s">
        <v>126</v>
      </c>
      <c r="E916">
        <f>_xlfn.XLOOKUP(D916,Worksheet!$C$3:$C$32,Worksheet!$M$3:$M$32)</f>
        <v>111.8</v>
      </c>
      <c r="F916" s="19">
        <f>_xlfn.XLOOKUP(D916,Worksheet!$C$3:$C$32,Worksheet!$S$3:$S$32)</f>
        <v>0.62195121951219512</v>
      </c>
    </row>
    <row r="917" spans="1:6" x14ac:dyDescent="0.2">
      <c r="A917" t="s">
        <v>554</v>
      </c>
      <c r="B917" s="4">
        <v>44634</v>
      </c>
      <c r="C917" t="s">
        <v>91</v>
      </c>
      <c r="D917" t="s">
        <v>155</v>
      </c>
      <c r="E917">
        <f>_xlfn.XLOOKUP(D917,Worksheet!$C$3:$C$32,Worksheet!$M$3:$M$32)</f>
        <v>114.5</v>
      </c>
      <c r="F917" s="19">
        <f>_xlfn.XLOOKUP(D917,Worksheet!$C$3:$C$32,Worksheet!$S$3:$S$32)</f>
        <v>0.42682926829268292</v>
      </c>
    </row>
    <row r="918" spans="1:6" x14ac:dyDescent="0.2">
      <c r="A918" t="s">
        <v>554</v>
      </c>
      <c r="B918" s="4">
        <v>44636</v>
      </c>
      <c r="C918" t="s">
        <v>91</v>
      </c>
      <c r="D918" t="s">
        <v>55</v>
      </c>
      <c r="E918">
        <f>_xlfn.XLOOKUP(D918,Worksheet!$C$3:$C$32,Worksheet!$M$3:$M$32)</f>
        <v>106.9</v>
      </c>
      <c r="F918" s="19">
        <f>_xlfn.XLOOKUP(D918,Worksheet!$C$3:$C$32,Worksheet!$S$3:$S$32)</f>
        <v>0.62195121951219512</v>
      </c>
    </row>
    <row r="919" spans="1:6" x14ac:dyDescent="0.2">
      <c r="A919" t="s">
        <v>554</v>
      </c>
      <c r="B919" s="4">
        <v>44640</v>
      </c>
      <c r="C919">
        <v>13.7</v>
      </c>
      <c r="D919" t="s">
        <v>102</v>
      </c>
      <c r="E919">
        <f>_xlfn.XLOOKUP(D919,Worksheet!$C$3:$C$32,Worksheet!$M$3:$M$32)</f>
        <v>112.3</v>
      </c>
      <c r="F919" s="19">
        <f>_xlfn.XLOOKUP(D919,Worksheet!$C$3:$C$32,Worksheet!$S$3:$S$32)</f>
        <v>0.41463414634146339</v>
      </c>
    </row>
    <row r="920" spans="1:6" x14ac:dyDescent="0.2">
      <c r="A920" t="s">
        <v>554</v>
      </c>
      <c r="B920" s="4">
        <v>44642</v>
      </c>
      <c r="C920">
        <v>3.7</v>
      </c>
      <c r="D920" t="s">
        <v>104</v>
      </c>
      <c r="E920">
        <f>_xlfn.XLOOKUP(D920,Worksheet!$C$3:$C$32,Worksheet!$M$3:$M$32)</f>
        <v>112.5</v>
      </c>
      <c r="F920" s="19">
        <f>_xlfn.XLOOKUP(D920,Worksheet!$C$3:$C$32,Worksheet!$S$3:$S$32)</f>
        <v>0.26829268292682928</v>
      </c>
    </row>
    <row r="921" spans="1:6" x14ac:dyDescent="0.2">
      <c r="A921" t="s">
        <v>554</v>
      </c>
      <c r="B921" s="4">
        <v>44643</v>
      </c>
      <c r="C921">
        <v>15.9</v>
      </c>
      <c r="D921" t="s">
        <v>120</v>
      </c>
      <c r="E921">
        <f>_xlfn.XLOOKUP(D921,Worksheet!$C$3:$C$32,Worksheet!$M$3:$M$32)</f>
        <v>109.1</v>
      </c>
      <c r="F921" s="19">
        <f>_xlfn.XLOOKUP(D921,Worksheet!$C$3:$C$32,Worksheet!$S$3:$S$32)</f>
        <v>0.64634146341463417</v>
      </c>
    </row>
    <row r="922" spans="1:6" x14ac:dyDescent="0.2">
      <c r="A922" t="s">
        <v>554</v>
      </c>
      <c r="B922" s="4">
        <v>44645</v>
      </c>
      <c r="C922">
        <v>6.1</v>
      </c>
      <c r="D922" t="s">
        <v>78</v>
      </c>
      <c r="E922">
        <f>_xlfn.XLOOKUP(D922,Worksheet!$C$3:$C$32,Worksheet!$M$3:$M$32)</f>
        <v>114.9</v>
      </c>
      <c r="F922" s="19">
        <f>_xlfn.XLOOKUP(D922,Worksheet!$C$3:$C$32,Worksheet!$S$3:$S$32)</f>
        <v>0.52439024390243905</v>
      </c>
    </row>
    <row r="923" spans="1:6" x14ac:dyDescent="0.2">
      <c r="A923" t="s">
        <v>554</v>
      </c>
      <c r="B923" s="4">
        <v>44647</v>
      </c>
      <c r="C923">
        <v>12.6</v>
      </c>
      <c r="D923" t="s">
        <v>155</v>
      </c>
      <c r="E923">
        <f>_xlfn.XLOOKUP(D923,Worksheet!$C$3:$C$32,Worksheet!$M$3:$M$32)</f>
        <v>114.5</v>
      </c>
      <c r="F923" s="19">
        <f>_xlfn.XLOOKUP(D923,Worksheet!$C$3:$C$32,Worksheet!$S$3:$S$32)</f>
        <v>0.42682926829268292</v>
      </c>
    </row>
    <row r="924" spans="1:6" x14ac:dyDescent="0.2">
      <c r="A924" t="s">
        <v>554</v>
      </c>
      <c r="B924" s="4">
        <v>44648</v>
      </c>
      <c r="C924">
        <v>2.7</v>
      </c>
      <c r="D924" t="s">
        <v>42</v>
      </c>
      <c r="E924">
        <f>_xlfn.XLOOKUP(D924,Worksheet!$C$3:$C$32,Worksheet!$M$3:$M$32)</f>
        <v>109</v>
      </c>
      <c r="F924" s="19">
        <f>_xlfn.XLOOKUP(D924,Worksheet!$C$3:$C$32,Worksheet!$S$3:$S$32)</f>
        <v>0.68292682926829273</v>
      </c>
    </row>
    <row r="925" spans="1:6" x14ac:dyDescent="0.2">
      <c r="A925" t="s">
        <v>554</v>
      </c>
      <c r="B925" s="4">
        <v>44650</v>
      </c>
      <c r="C925">
        <v>10.6</v>
      </c>
      <c r="D925" t="s">
        <v>99</v>
      </c>
      <c r="E925">
        <f>_xlfn.XLOOKUP(D925,Worksheet!$C$3:$C$32,Worksheet!$M$3:$M$32)</f>
        <v>107.3</v>
      </c>
      <c r="F925" s="19">
        <f>_xlfn.XLOOKUP(D925,Worksheet!$C$3:$C$32,Worksheet!$S$3:$S$32)</f>
        <v>0.78048780487804881</v>
      </c>
    </row>
    <row r="926" spans="1:6" x14ac:dyDescent="0.2">
      <c r="A926" t="s">
        <v>554</v>
      </c>
      <c r="B926" s="4">
        <v>44653</v>
      </c>
      <c r="C926">
        <v>15</v>
      </c>
      <c r="D926" t="s">
        <v>118</v>
      </c>
      <c r="E926">
        <f>_xlfn.XLOOKUP(D926,Worksheet!$C$3:$C$32,Worksheet!$M$3:$M$32)</f>
        <v>110.5</v>
      </c>
      <c r="F926" s="19">
        <f>_xlfn.XLOOKUP(D926,Worksheet!$C$3:$C$32,Worksheet!$S$3:$S$32)</f>
        <v>0.59756097560975607</v>
      </c>
    </row>
    <row r="927" spans="1:6" x14ac:dyDescent="0.2">
      <c r="A927" t="s">
        <v>554</v>
      </c>
      <c r="B927" s="4">
        <v>44654</v>
      </c>
      <c r="C927">
        <v>20.8</v>
      </c>
      <c r="D927" t="s">
        <v>66</v>
      </c>
      <c r="E927">
        <f>_xlfn.XLOOKUP(D927,Worksheet!$C$3:$C$32,Worksheet!$M$3:$M$32)</f>
        <v>115.3</v>
      </c>
      <c r="F927" s="19">
        <f>_xlfn.XLOOKUP(D927,Worksheet!$C$3:$C$32,Worksheet!$S$3:$S$32)</f>
        <v>0.36585365853658536</v>
      </c>
    </row>
    <row r="928" spans="1:6" x14ac:dyDescent="0.2">
      <c r="A928" t="s">
        <v>554</v>
      </c>
      <c r="B928" s="4">
        <v>44658</v>
      </c>
      <c r="C928">
        <v>11.6</v>
      </c>
      <c r="D928" t="s">
        <v>62</v>
      </c>
      <c r="E928">
        <f>_xlfn.XLOOKUP(D928,Worksheet!$C$3:$C$32,Worksheet!$M$3:$M$32)</f>
        <v>113.3</v>
      </c>
      <c r="F928" s="19">
        <f>_xlfn.XLOOKUP(D928,Worksheet!$C$3:$C$32,Worksheet!$S$3:$S$32)</f>
        <v>0.40243902439024393</v>
      </c>
    </row>
    <row r="929" spans="1:6" x14ac:dyDescent="0.2">
      <c r="A929" t="s">
        <v>554</v>
      </c>
      <c r="B929" s="4">
        <v>44660</v>
      </c>
      <c r="C929">
        <v>4.3</v>
      </c>
      <c r="D929" t="s">
        <v>102</v>
      </c>
      <c r="E929">
        <f>_xlfn.XLOOKUP(D929,Worksheet!$C$3:$C$32,Worksheet!$M$3:$M$32)</f>
        <v>112.3</v>
      </c>
      <c r="F929" s="19">
        <f>_xlfn.XLOOKUP(D929,Worksheet!$C$3:$C$32,Worksheet!$S$3:$S$32)</f>
        <v>0.41463414634146339</v>
      </c>
    </row>
    <row r="930" spans="1:6" x14ac:dyDescent="0.2">
      <c r="A930" t="s">
        <v>554</v>
      </c>
      <c r="B930" s="4">
        <v>44661</v>
      </c>
      <c r="C930" t="s">
        <v>91</v>
      </c>
      <c r="D930" t="s">
        <v>74</v>
      </c>
      <c r="E930">
        <f>_xlfn.XLOOKUP(D930,Worksheet!$C$3:$C$32,Worksheet!$M$3:$M$32)</f>
        <v>113</v>
      </c>
      <c r="F930" s="19">
        <f>_xlfn.XLOOKUP(D930,Worksheet!$C$3:$C$32,Worksheet!$S$3:$S$32)</f>
        <v>0.43902439024390244</v>
      </c>
    </row>
    <row r="931" spans="1:6" x14ac:dyDescent="0.2">
      <c r="A931" t="s">
        <v>554</v>
      </c>
      <c r="B931" s="4">
        <v>44667</v>
      </c>
      <c r="C931">
        <v>14</v>
      </c>
      <c r="D931" t="s">
        <v>34</v>
      </c>
      <c r="E931">
        <f>_xlfn.XLOOKUP(D931,Worksheet!$C$3:$C$32,Worksheet!$M$3:$M$32)</f>
        <v>112.1</v>
      </c>
      <c r="F931" s="19">
        <f>_xlfn.XLOOKUP(D931,Worksheet!$C$3:$C$32,Worksheet!$S$3:$S$32)</f>
        <v>0.58536585365853655</v>
      </c>
    </row>
    <row r="932" spans="1:6" x14ac:dyDescent="0.2">
      <c r="A932" t="s">
        <v>554</v>
      </c>
      <c r="B932" s="4">
        <v>44669</v>
      </c>
      <c r="C932">
        <v>12.4</v>
      </c>
      <c r="D932" t="s">
        <v>34</v>
      </c>
      <c r="E932">
        <f>_xlfn.XLOOKUP(D932,Worksheet!$C$3:$C$32,Worksheet!$M$3:$M$32)</f>
        <v>112.1</v>
      </c>
      <c r="F932" s="19">
        <f>_xlfn.XLOOKUP(D932,Worksheet!$C$3:$C$32,Worksheet!$S$3:$S$32)</f>
        <v>0.58536585365853655</v>
      </c>
    </row>
    <row r="933" spans="1:6" x14ac:dyDescent="0.2">
      <c r="A933" t="s">
        <v>554</v>
      </c>
      <c r="B933" s="4">
        <v>44672</v>
      </c>
      <c r="C933">
        <v>7.7</v>
      </c>
      <c r="D933" t="s">
        <v>34</v>
      </c>
      <c r="E933">
        <f>_xlfn.XLOOKUP(D933,Worksheet!$C$3:$C$32,Worksheet!$M$3:$M$32)</f>
        <v>112.1</v>
      </c>
      <c r="F933" s="19">
        <f>_xlfn.XLOOKUP(D933,Worksheet!$C$3:$C$32,Worksheet!$S$3:$S$32)</f>
        <v>0.58536585365853655</v>
      </c>
    </row>
    <row r="934" spans="1:6" x14ac:dyDescent="0.2">
      <c r="A934" t="s">
        <v>554</v>
      </c>
      <c r="B934" s="4">
        <v>44675</v>
      </c>
      <c r="C934">
        <v>17.3</v>
      </c>
      <c r="D934" t="s">
        <v>34</v>
      </c>
      <c r="E934">
        <f>_xlfn.XLOOKUP(D934,Worksheet!$C$3:$C$32,Worksheet!$M$3:$M$32)</f>
        <v>112.1</v>
      </c>
      <c r="F934" s="19">
        <f>_xlfn.XLOOKUP(D934,Worksheet!$C$3:$C$32,Worksheet!$S$3:$S$32)</f>
        <v>0.58536585365853655</v>
      </c>
    </row>
    <row r="935" spans="1:6" x14ac:dyDescent="0.2">
      <c r="A935" t="s">
        <v>554</v>
      </c>
      <c r="B935" s="4">
        <v>44678</v>
      </c>
      <c r="C935">
        <v>7.3</v>
      </c>
      <c r="D935" t="s">
        <v>34</v>
      </c>
      <c r="E935">
        <f>_xlfn.XLOOKUP(D935,Worksheet!$C$3:$C$32,Worksheet!$M$3:$M$32)</f>
        <v>112.1</v>
      </c>
      <c r="F935" s="19">
        <f>_xlfn.XLOOKUP(D935,Worksheet!$C$3:$C$32,Worksheet!$S$3:$S$32)</f>
        <v>0.58536585365853655</v>
      </c>
    </row>
    <row r="936" spans="1:6" x14ac:dyDescent="0.2">
      <c r="A936" t="s">
        <v>554</v>
      </c>
      <c r="B936" s="4">
        <v>44682</v>
      </c>
      <c r="C936">
        <v>10.5</v>
      </c>
      <c r="D936" t="s">
        <v>42</v>
      </c>
      <c r="E936">
        <f>_xlfn.XLOOKUP(D936,Worksheet!$C$3:$C$32,Worksheet!$M$3:$M$32)</f>
        <v>109</v>
      </c>
      <c r="F936" s="19">
        <f>_xlfn.XLOOKUP(D936,Worksheet!$C$3:$C$32,Worksheet!$S$3:$S$32)</f>
        <v>0.68292682926829273</v>
      </c>
    </row>
    <row r="937" spans="1:6" x14ac:dyDescent="0.2">
      <c r="A937" t="s">
        <v>554</v>
      </c>
      <c r="B937" s="4">
        <v>44684</v>
      </c>
      <c r="C937">
        <v>10.4</v>
      </c>
      <c r="D937" t="s">
        <v>42</v>
      </c>
      <c r="E937">
        <f>_xlfn.XLOOKUP(D937,Worksheet!$C$3:$C$32,Worksheet!$M$3:$M$32)</f>
        <v>109</v>
      </c>
      <c r="F937" s="19">
        <f>_xlfn.XLOOKUP(D937,Worksheet!$C$3:$C$32,Worksheet!$S$3:$S$32)</f>
        <v>0.68292682926829273</v>
      </c>
    </row>
    <row r="938" spans="1:6" x14ac:dyDescent="0.2">
      <c r="A938" t="s">
        <v>554</v>
      </c>
      <c r="B938" s="4">
        <v>44688</v>
      </c>
      <c r="C938">
        <v>15.5</v>
      </c>
      <c r="D938" t="s">
        <v>42</v>
      </c>
      <c r="E938">
        <f>_xlfn.XLOOKUP(D938,Worksheet!$C$3:$C$32,Worksheet!$M$3:$M$32)</f>
        <v>109</v>
      </c>
      <c r="F938" s="19">
        <f>_xlfn.XLOOKUP(D938,Worksheet!$C$3:$C$32,Worksheet!$S$3:$S$32)</f>
        <v>0.68292682926829273</v>
      </c>
    </row>
    <row r="939" spans="1:6" x14ac:dyDescent="0.2">
      <c r="A939" t="s">
        <v>554</v>
      </c>
      <c r="B939" s="4">
        <v>44690</v>
      </c>
      <c r="C939">
        <v>16.399999999999999</v>
      </c>
      <c r="D939" t="s">
        <v>42</v>
      </c>
      <c r="E939">
        <f>_xlfn.XLOOKUP(D939,Worksheet!$C$3:$C$32,Worksheet!$M$3:$M$32)</f>
        <v>109</v>
      </c>
      <c r="F939" s="19">
        <f>_xlfn.XLOOKUP(D939,Worksheet!$C$3:$C$32,Worksheet!$S$3:$S$32)</f>
        <v>0.68292682926829273</v>
      </c>
    </row>
    <row r="940" spans="1:6" x14ac:dyDescent="0.2">
      <c r="A940" t="s">
        <v>554</v>
      </c>
      <c r="B940" s="4">
        <v>44692</v>
      </c>
      <c r="C940">
        <v>0.4</v>
      </c>
      <c r="D940" t="s">
        <v>42</v>
      </c>
      <c r="E940">
        <f>_xlfn.XLOOKUP(D940,Worksheet!$C$3:$C$32,Worksheet!$M$3:$M$32)</f>
        <v>109</v>
      </c>
      <c r="F940" s="19">
        <f>_xlfn.XLOOKUP(D940,Worksheet!$C$3:$C$32,Worksheet!$S$3:$S$32)</f>
        <v>0.68292682926829273</v>
      </c>
    </row>
    <row r="941" spans="1:6" x14ac:dyDescent="0.2">
      <c r="A941" t="s">
        <v>554</v>
      </c>
      <c r="B941" s="4">
        <v>44694</v>
      </c>
      <c r="C941">
        <v>15.2</v>
      </c>
      <c r="D941" t="s">
        <v>42</v>
      </c>
      <c r="E941">
        <f>_xlfn.XLOOKUP(D941,Worksheet!$C$3:$C$32,Worksheet!$M$3:$M$32)</f>
        <v>109</v>
      </c>
      <c r="F941" s="19">
        <f>_xlfn.XLOOKUP(D941,Worksheet!$C$3:$C$32,Worksheet!$S$3:$S$32)</f>
        <v>0.68292682926829273</v>
      </c>
    </row>
    <row r="942" spans="1:6" x14ac:dyDescent="0.2">
      <c r="A942" t="s">
        <v>554</v>
      </c>
      <c r="B942" s="4">
        <v>44699</v>
      </c>
      <c r="C942">
        <v>12</v>
      </c>
      <c r="D942" t="s">
        <v>49</v>
      </c>
      <c r="E942">
        <f>_xlfn.XLOOKUP(D942,Worksheet!$C$3:$C$32,Worksheet!$M$3:$M$32)</f>
        <v>109.4</v>
      </c>
      <c r="F942" s="19">
        <f>_xlfn.XLOOKUP(D942,Worksheet!$C$3:$C$32,Worksheet!$S$3:$S$32)</f>
        <v>0.63414634146341464</v>
      </c>
    </row>
    <row r="943" spans="1:6" x14ac:dyDescent="0.2">
      <c r="A943" t="s">
        <v>554</v>
      </c>
      <c r="B943" s="4">
        <v>44701</v>
      </c>
      <c r="C943">
        <v>11.9</v>
      </c>
      <c r="D943" t="s">
        <v>49</v>
      </c>
      <c r="E943">
        <f>_xlfn.XLOOKUP(D943,Worksheet!$C$3:$C$32,Worksheet!$M$3:$M$32)</f>
        <v>109.4</v>
      </c>
      <c r="F943" s="19">
        <f>_xlfn.XLOOKUP(D943,Worksheet!$C$3:$C$32,Worksheet!$S$3:$S$32)</f>
        <v>0.63414634146341464</v>
      </c>
    </row>
    <row r="944" spans="1:6" x14ac:dyDescent="0.2">
      <c r="A944" t="s">
        <v>554</v>
      </c>
      <c r="B944" s="4">
        <v>44703</v>
      </c>
      <c r="C944">
        <v>23.2</v>
      </c>
      <c r="D944" t="s">
        <v>49</v>
      </c>
      <c r="E944">
        <f>_xlfn.XLOOKUP(D944,Worksheet!$C$3:$C$32,Worksheet!$M$3:$M$32)</f>
        <v>109.4</v>
      </c>
      <c r="F944" s="19">
        <f>_xlfn.XLOOKUP(D944,Worksheet!$C$3:$C$32,Worksheet!$S$3:$S$32)</f>
        <v>0.63414634146341464</v>
      </c>
    </row>
    <row r="945" spans="1:6" x14ac:dyDescent="0.2">
      <c r="A945" t="s">
        <v>554</v>
      </c>
      <c r="B945" s="4">
        <v>44705</v>
      </c>
      <c r="C945">
        <v>9.5</v>
      </c>
      <c r="D945" t="s">
        <v>49</v>
      </c>
      <c r="E945">
        <f>_xlfn.XLOOKUP(D945,Worksheet!$C$3:$C$32,Worksheet!$M$3:$M$32)</f>
        <v>109.4</v>
      </c>
      <c r="F945" s="19">
        <f>_xlfn.XLOOKUP(D945,Worksheet!$C$3:$C$32,Worksheet!$S$3:$S$32)</f>
        <v>0.63414634146341464</v>
      </c>
    </row>
    <row r="946" spans="1:6" x14ac:dyDescent="0.2">
      <c r="A946" t="s">
        <v>554</v>
      </c>
      <c r="B946" s="4">
        <v>44707</v>
      </c>
      <c r="C946">
        <v>14.8</v>
      </c>
      <c r="D946" t="s">
        <v>49</v>
      </c>
      <c r="E946">
        <f>_xlfn.XLOOKUP(D946,Worksheet!$C$3:$C$32,Worksheet!$M$3:$M$32)</f>
        <v>109.4</v>
      </c>
      <c r="F946" s="19">
        <f>_xlfn.XLOOKUP(D946,Worksheet!$C$3:$C$32,Worksheet!$S$3:$S$32)</f>
        <v>0.63414634146341464</v>
      </c>
    </row>
    <row r="947" spans="1:6" x14ac:dyDescent="0.2">
      <c r="A947" t="s">
        <v>554</v>
      </c>
      <c r="B947" s="4">
        <v>44714</v>
      </c>
      <c r="C947">
        <v>15.5</v>
      </c>
      <c r="D947" t="s">
        <v>55</v>
      </c>
      <c r="E947">
        <f>_xlfn.XLOOKUP(D947,Worksheet!$C$3:$C$32,Worksheet!$M$3:$M$32)</f>
        <v>106.9</v>
      </c>
      <c r="F947" s="19">
        <f>_xlfn.XLOOKUP(D947,Worksheet!$C$3:$C$32,Worksheet!$S$3:$S$32)</f>
        <v>0.62195121951219512</v>
      </c>
    </row>
    <row r="948" spans="1:6" x14ac:dyDescent="0.2">
      <c r="A948" t="s">
        <v>554</v>
      </c>
      <c r="B948" s="4">
        <v>44717</v>
      </c>
      <c r="C948">
        <v>5.4</v>
      </c>
      <c r="D948" t="s">
        <v>55</v>
      </c>
      <c r="E948">
        <f>_xlfn.XLOOKUP(D948,Worksheet!$C$3:$C$32,Worksheet!$M$3:$M$32)</f>
        <v>106.9</v>
      </c>
      <c r="F948" s="19">
        <f>_xlfn.XLOOKUP(D948,Worksheet!$C$3:$C$32,Worksheet!$S$3:$S$32)</f>
        <v>0.62195121951219512</v>
      </c>
    </row>
    <row r="949" spans="1:6" x14ac:dyDescent="0.2">
      <c r="A949" t="s">
        <v>554</v>
      </c>
      <c r="B949" s="4">
        <v>44720</v>
      </c>
      <c r="C949">
        <v>11.9</v>
      </c>
      <c r="D949" t="s">
        <v>55</v>
      </c>
      <c r="E949">
        <f>_xlfn.XLOOKUP(D949,Worksheet!$C$3:$C$32,Worksheet!$M$3:$M$32)</f>
        <v>106.9</v>
      </c>
      <c r="F949" s="19">
        <f>_xlfn.XLOOKUP(D949,Worksheet!$C$3:$C$32,Worksheet!$S$3:$S$32)</f>
        <v>0.62195121951219512</v>
      </c>
    </row>
    <row r="950" spans="1:6" x14ac:dyDescent="0.2">
      <c r="A950" t="s">
        <v>554</v>
      </c>
      <c r="B950" s="4">
        <v>44722</v>
      </c>
      <c r="C950">
        <v>13.1</v>
      </c>
      <c r="D950" t="s">
        <v>55</v>
      </c>
      <c r="E950">
        <f>_xlfn.XLOOKUP(D950,Worksheet!$C$3:$C$32,Worksheet!$M$3:$M$32)</f>
        <v>106.9</v>
      </c>
      <c r="F950" s="19">
        <f>_xlfn.XLOOKUP(D950,Worksheet!$C$3:$C$32,Worksheet!$S$3:$S$32)</f>
        <v>0.62195121951219512</v>
      </c>
    </row>
    <row r="951" spans="1:6" x14ac:dyDescent="0.2">
      <c r="A951" t="s">
        <v>554</v>
      </c>
      <c r="B951" s="4">
        <v>44725</v>
      </c>
      <c r="C951">
        <v>20.9</v>
      </c>
      <c r="D951" t="s">
        <v>55</v>
      </c>
      <c r="E951">
        <f>_xlfn.XLOOKUP(D951,Worksheet!$C$3:$C$32,Worksheet!$M$3:$M$32)</f>
        <v>106.9</v>
      </c>
      <c r="F951" s="19">
        <f>_xlfn.XLOOKUP(D951,Worksheet!$C$3:$C$32,Worksheet!$S$3:$S$32)</f>
        <v>0.62195121951219512</v>
      </c>
    </row>
    <row r="952" spans="1:6" x14ac:dyDescent="0.2">
      <c r="A952" t="s">
        <v>554</v>
      </c>
      <c r="B952" s="4">
        <v>44728</v>
      </c>
      <c r="C952">
        <v>17.8</v>
      </c>
      <c r="D952" t="s">
        <v>55</v>
      </c>
      <c r="E952">
        <f>_xlfn.XLOOKUP(D952,Worksheet!$C$3:$C$32,Worksheet!$M$3:$M$32)</f>
        <v>106.9</v>
      </c>
      <c r="F952" s="19">
        <f>_xlfn.XLOOKUP(D952,Worksheet!$C$3:$C$32,Worksheet!$S$3:$S$32)</f>
        <v>0.62195121951219512</v>
      </c>
    </row>
    <row r="953" spans="1:6" x14ac:dyDescent="0.2">
      <c r="A953" t="s">
        <v>555</v>
      </c>
      <c r="B953" s="6">
        <v>44667</v>
      </c>
      <c r="C953" s="3">
        <v>13</v>
      </c>
      <c r="D953" s="3" t="s">
        <v>34</v>
      </c>
      <c r="E953">
        <f>_xlfn.XLOOKUP(D953,Worksheet!$C$3:$C$32,Worksheet!$M$3:$M$32)</f>
        <v>112.1</v>
      </c>
      <c r="F953" s="19">
        <f>_xlfn.XLOOKUP(D953,Worksheet!$C$3:$C$32,Worksheet!$S$3:$S$32)</f>
        <v>0.58536585365853655</v>
      </c>
    </row>
    <row r="954" spans="1:6" x14ac:dyDescent="0.2">
      <c r="A954" t="s">
        <v>555</v>
      </c>
      <c r="B954" s="6">
        <v>44669</v>
      </c>
      <c r="C954" s="3">
        <v>28.3</v>
      </c>
      <c r="D954" s="3" t="s">
        <v>34</v>
      </c>
      <c r="E954">
        <f>_xlfn.XLOOKUP(D954,Worksheet!$C$3:$C$32,Worksheet!$M$3:$M$32)</f>
        <v>112.1</v>
      </c>
      <c r="F954" s="19">
        <f>_xlfn.XLOOKUP(D954,Worksheet!$C$3:$C$32,Worksheet!$S$3:$S$32)</f>
        <v>0.58536585365853655</v>
      </c>
    </row>
    <row r="955" spans="1:6" x14ac:dyDescent="0.2">
      <c r="A955" t="s">
        <v>555</v>
      </c>
      <c r="B955" s="6">
        <v>44672</v>
      </c>
      <c r="C955" s="3">
        <v>17.8</v>
      </c>
      <c r="D955" s="3" t="s">
        <v>34</v>
      </c>
      <c r="E955">
        <f>_xlfn.XLOOKUP(D955,Worksheet!$C$3:$C$32,Worksheet!$M$3:$M$32)</f>
        <v>112.1</v>
      </c>
      <c r="F955" s="19">
        <f>_xlfn.XLOOKUP(D955,Worksheet!$C$3:$C$32,Worksheet!$S$3:$S$32)</f>
        <v>0.58536585365853655</v>
      </c>
    </row>
    <row r="956" spans="1:6" x14ac:dyDescent="0.2">
      <c r="A956" t="s">
        <v>555</v>
      </c>
      <c r="B956" s="6">
        <v>44675</v>
      </c>
      <c r="C956" s="3">
        <v>28.1</v>
      </c>
      <c r="D956" s="3" t="s">
        <v>34</v>
      </c>
      <c r="E956">
        <f>_xlfn.XLOOKUP(D956,Worksheet!$C$3:$C$32,Worksheet!$M$3:$M$32)</f>
        <v>112.1</v>
      </c>
      <c r="F956" s="19">
        <f>_xlfn.XLOOKUP(D956,Worksheet!$C$3:$C$32,Worksheet!$S$3:$S$32)</f>
        <v>0.58536585365853655</v>
      </c>
    </row>
    <row r="957" spans="1:6" x14ac:dyDescent="0.2">
      <c r="A957" t="s">
        <v>555</v>
      </c>
      <c r="B957" s="6">
        <v>44678</v>
      </c>
      <c r="C957" s="3">
        <v>19.399999999999999</v>
      </c>
      <c r="D957" s="3" t="s">
        <v>34</v>
      </c>
      <c r="E957">
        <f>_xlfn.XLOOKUP(D957,Worksheet!$C$3:$C$32,Worksheet!$M$3:$M$32)</f>
        <v>112.1</v>
      </c>
      <c r="F957" s="19">
        <f>_xlfn.XLOOKUP(D957,Worksheet!$C$3:$C$32,Worksheet!$S$3:$S$32)</f>
        <v>0.58536585365853655</v>
      </c>
    </row>
    <row r="958" spans="1:6" x14ac:dyDescent="0.2">
      <c r="A958" t="s">
        <v>555</v>
      </c>
      <c r="B958" s="6">
        <v>44682</v>
      </c>
      <c r="C958" s="3">
        <v>14.2</v>
      </c>
      <c r="D958" s="3" t="s">
        <v>42</v>
      </c>
      <c r="E958">
        <f>_xlfn.XLOOKUP(D958,Worksheet!$C$3:$C$32,Worksheet!$M$3:$M$32)</f>
        <v>109</v>
      </c>
      <c r="F958" s="19">
        <f>_xlfn.XLOOKUP(D958,Worksheet!$C$3:$C$32,Worksheet!$S$3:$S$32)</f>
        <v>0.68292682926829273</v>
      </c>
    </row>
    <row r="959" spans="1:6" x14ac:dyDescent="0.2">
      <c r="A959" t="s">
        <v>555</v>
      </c>
      <c r="B959" s="6">
        <v>44684</v>
      </c>
      <c r="C959" s="3">
        <v>19</v>
      </c>
      <c r="D959" s="3" t="s">
        <v>42</v>
      </c>
      <c r="E959">
        <f>_xlfn.XLOOKUP(D959,Worksheet!$C$3:$C$32,Worksheet!$M$3:$M$32)</f>
        <v>109</v>
      </c>
      <c r="F959" s="19">
        <f>_xlfn.XLOOKUP(D959,Worksheet!$C$3:$C$32,Worksheet!$S$3:$S$32)</f>
        <v>0.68292682926829273</v>
      </c>
    </row>
    <row r="960" spans="1:6" x14ac:dyDescent="0.2">
      <c r="A960" t="s">
        <v>555</v>
      </c>
      <c r="B960" s="6">
        <v>44688</v>
      </c>
      <c r="C960" s="3">
        <v>27</v>
      </c>
      <c r="D960" s="3" t="s">
        <v>42</v>
      </c>
      <c r="E960">
        <f>_xlfn.XLOOKUP(D960,Worksheet!$C$3:$C$32,Worksheet!$M$3:$M$32)</f>
        <v>109</v>
      </c>
      <c r="F960" s="19">
        <f>_xlfn.XLOOKUP(D960,Worksheet!$C$3:$C$32,Worksheet!$S$3:$S$32)</f>
        <v>0.68292682926829273</v>
      </c>
    </row>
    <row r="961" spans="1:6" x14ac:dyDescent="0.2">
      <c r="A961" t="s">
        <v>555</v>
      </c>
      <c r="B961" s="6">
        <v>44690</v>
      </c>
      <c r="C961" s="3">
        <v>22</v>
      </c>
      <c r="D961" s="3" t="s">
        <v>42</v>
      </c>
      <c r="E961">
        <f>_xlfn.XLOOKUP(D961,Worksheet!$C$3:$C$32,Worksheet!$M$3:$M$32)</f>
        <v>109</v>
      </c>
      <c r="F961" s="19">
        <f>_xlfn.XLOOKUP(D961,Worksheet!$C$3:$C$32,Worksheet!$S$3:$S$32)</f>
        <v>0.68292682926829273</v>
      </c>
    </row>
    <row r="962" spans="1:6" x14ac:dyDescent="0.2">
      <c r="A962" t="s">
        <v>555</v>
      </c>
      <c r="B962" s="6">
        <v>44692</v>
      </c>
      <c r="C962" s="3">
        <v>9.5</v>
      </c>
      <c r="D962" s="3" t="s">
        <v>42</v>
      </c>
      <c r="E962">
        <f>_xlfn.XLOOKUP(D962,Worksheet!$C$3:$C$32,Worksheet!$M$3:$M$32)</f>
        <v>109</v>
      </c>
      <c r="F962" s="19">
        <f>_xlfn.XLOOKUP(D962,Worksheet!$C$3:$C$32,Worksheet!$S$3:$S$32)</f>
        <v>0.68292682926829273</v>
      </c>
    </row>
    <row r="963" spans="1:6" x14ac:dyDescent="0.2">
      <c r="A963" t="s">
        <v>555</v>
      </c>
      <c r="B963" s="6">
        <v>44694</v>
      </c>
      <c r="C963" s="3">
        <v>17.5</v>
      </c>
      <c r="D963" s="3" t="s">
        <v>42</v>
      </c>
      <c r="E963">
        <f>_xlfn.XLOOKUP(D963,Worksheet!$C$3:$C$32,Worksheet!$M$3:$M$32)</f>
        <v>109</v>
      </c>
      <c r="F963" s="19">
        <f>_xlfn.XLOOKUP(D963,Worksheet!$C$3:$C$32,Worksheet!$S$3:$S$32)</f>
        <v>0.68292682926829273</v>
      </c>
    </row>
    <row r="964" spans="1:6" x14ac:dyDescent="0.2">
      <c r="A964" t="s">
        <v>555</v>
      </c>
      <c r="B964" s="6">
        <v>44699</v>
      </c>
      <c r="C964" s="3">
        <v>16.100000000000001</v>
      </c>
      <c r="D964" s="3" t="s">
        <v>49</v>
      </c>
      <c r="E964">
        <f>_xlfn.XLOOKUP(D964,Worksheet!$C$3:$C$32,Worksheet!$M$3:$M$32)</f>
        <v>109.4</v>
      </c>
      <c r="F964" s="19">
        <f>_xlfn.XLOOKUP(D964,Worksheet!$C$3:$C$32,Worksheet!$S$3:$S$32)</f>
        <v>0.63414634146341464</v>
      </c>
    </row>
    <row r="965" spans="1:6" x14ac:dyDescent="0.2">
      <c r="A965" t="s">
        <v>555</v>
      </c>
      <c r="B965" s="6">
        <v>44701</v>
      </c>
      <c r="C965" s="3">
        <v>23</v>
      </c>
      <c r="D965" s="3" t="s">
        <v>49</v>
      </c>
      <c r="E965">
        <f>_xlfn.XLOOKUP(D965,Worksheet!$C$3:$C$32,Worksheet!$M$3:$M$32)</f>
        <v>109.4</v>
      </c>
      <c r="F965" s="19">
        <f>_xlfn.XLOOKUP(D965,Worksheet!$C$3:$C$32,Worksheet!$S$3:$S$32)</f>
        <v>0.63414634146341464</v>
      </c>
    </row>
    <row r="966" spans="1:6" x14ac:dyDescent="0.2">
      <c r="A966" t="s">
        <v>555</v>
      </c>
      <c r="B966" s="6">
        <v>44703</v>
      </c>
      <c r="C966" s="3">
        <v>25.6</v>
      </c>
      <c r="D966" s="3" t="s">
        <v>49</v>
      </c>
      <c r="E966">
        <f>_xlfn.XLOOKUP(D966,Worksheet!$C$3:$C$32,Worksheet!$M$3:$M$32)</f>
        <v>109.4</v>
      </c>
      <c r="F966" s="19">
        <f>_xlfn.XLOOKUP(D966,Worksheet!$C$3:$C$32,Worksheet!$S$3:$S$32)</f>
        <v>0.63414634146341464</v>
      </c>
    </row>
    <row r="967" spans="1:6" x14ac:dyDescent="0.2">
      <c r="A967" t="s">
        <v>555</v>
      </c>
      <c r="B967" s="6">
        <v>44705</v>
      </c>
      <c r="C967" s="3">
        <v>16.5</v>
      </c>
      <c r="D967" s="3" t="s">
        <v>49</v>
      </c>
      <c r="E967">
        <f>_xlfn.XLOOKUP(D967,Worksheet!$C$3:$C$32,Worksheet!$M$3:$M$32)</f>
        <v>109.4</v>
      </c>
      <c r="F967" s="19">
        <f>_xlfn.XLOOKUP(D967,Worksheet!$C$3:$C$32,Worksheet!$S$3:$S$32)</f>
        <v>0.63414634146341464</v>
      </c>
    </row>
    <row r="968" spans="1:6" x14ac:dyDescent="0.2">
      <c r="A968" t="s">
        <v>555</v>
      </c>
      <c r="B968" s="6">
        <v>44707</v>
      </c>
      <c r="C968" s="3">
        <v>13.2</v>
      </c>
      <c r="D968" s="3" t="s">
        <v>49</v>
      </c>
      <c r="E968">
        <f>_xlfn.XLOOKUP(D968,Worksheet!$C$3:$C$32,Worksheet!$M$3:$M$32)</f>
        <v>109.4</v>
      </c>
      <c r="F968" s="19">
        <f>_xlfn.XLOOKUP(D968,Worksheet!$C$3:$C$32,Worksheet!$S$3:$S$32)</f>
        <v>0.63414634146341464</v>
      </c>
    </row>
    <row r="969" spans="1:6" x14ac:dyDescent="0.2">
      <c r="A969" t="s">
        <v>555</v>
      </c>
      <c r="B969" s="6">
        <v>44714</v>
      </c>
      <c r="C969" s="3">
        <v>25.7</v>
      </c>
      <c r="D969" s="3" t="s">
        <v>55</v>
      </c>
      <c r="E969">
        <f>_xlfn.XLOOKUP(D969,Worksheet!$C$3:$C$32,Worksheet!$M$3:$M$32)</f>
        <v>106.9</v>
      </c>
      <c r="F969" s="19">
        <f>_xlfn.XLOOKUP(D969,Worksheet!$C$3:$C$32,Worksheet!$S$3:$S$32)</f>
        <v>0.62195121951219512</v>
      </c>
    </row>
    <row r="970" spans="1:6" x14ac:dyDescent="0.2">
      <c r="A970" t="s">
        <v>555</v>
      </c>
      <c r="B970" s="6">
        <v>44717</v>
      </c>
      <c r="C970" s="3">
        <v>22.3</v>
      </c>
      <c r="D970" s="3" t="s">
        <v>55</v>
      </c>
      <c r="E970">
        <f>_xlfn.XLOOKUP(D970,Worksheet!$C$3:$C$32,Worksheet!$M$3:$M$32)</f>
        <v>106.9</v>
      </c>
      <c r="F970" s="19">
        <f>_xlfn.XLOOKUP(D970,Worksheet!$C$3:$C$32,Worksheet!$S$3:$S$32)</f>
        <v>0.62195121951219512</v>
      </c>
    </row>
    <row r="971" spans="1:6" x14ac:dyDescent="0.2">
      <c r="A971" t="s">
        <v>555</v>
      </c>
      <c r="B971" s="6">
        <v>44720</v>
      </c>
      <c r="C971" s="3">
        <v>20.399999999999999</v>
      </c>
      <c r="D971" s="3" t="s">
        <v>55</v>
      </c>
      <c r="E971">
        <f>_xlfn.XLOOKUP(D971,Worksheet!$C$3:$C$32,Worksheet!$M$3:$M$32)</f>
        <v>106.9</v>
      </c>
      <c r="F971" s="19">
        <f>_xlfn.XLOOKUP(D971,Worksheet!$C$3:$C$32,Worksheet!$S$3:$S$32)</f>
        <v>0.62195121951219512</v>
      </c>
    </row>
    <row r="972" spans="1:6" x14ac:dyDescent="0.2">
      <c r="A972" t="s">
        <v>555</v>
      </c>
      <c r="B972" s="6">
        <v>44722</v>
      </c>
      <c r="C972" s="3">
        <v>30.4</v>
      </c>
      <c r="D972" s="3" t="s">
        <v>55</v>
      </c>
      <c r="E972">
        <f>_xlfn.XLOOKUP(D972,Worksheet!$C$3:$C$32,Worksheet!$M$3:$M$32)</f>
        <v>106.9</v>
      </c>
      <c r="F972" s="19">
        <f>_xlfn.XLOOKUP(D972,Worksheet!$C$3:$C$32,Worksheet!$S$3:$S$32)</f>
        <v>0.62195121951219512</v>
      </c>
    </row>
    <row r="973" spans="1:6" x14ac:dyDescent="0.2">
      <c r="A973" t="s">
        <v>555</v>
      </c>
      <c r="B973" s="6">
        <v>44725</v>
      </c>
      <c r="C973" s="3">
        <v>10</v>
      </c>
      <c r="D973" s="3" t="s">
        <v>55</v>
      </c>
      <c r="E973">
        <f>_xlfn.XLOOKUP(D973,Worksheet!$C$3:$C$32,Worksheet!$M$3:$M$32)</f>
        <v>106.9</v>
      </c>
      <c r="F973" s="19">
        <f>_xlfn.XLOOKUP(D973,Worksheet!$C$3:$C$32,Worksheet!$S$3:$S$32)</f>
        <v>0.62195121951219512</v>
      </c>
    </row>
    <row r="974" spans="1:6" x14ac:dyDescent="0.2">
      <c r="A974" t="s">
        <v>555</v>
      </c>
      <c r="B974" s="6">
        <v>44728</v>
      </c>
      <c r="C974" s="3">
        <v>30.2</v>
      </c>
      <c r="D974" s="3" t="s">
        <v>55</v>
      </c>
      <c r="E974">
        <f>_xlfn.XLOOKUP(D974,Worksheet!$C$3:$C$32,Worksheet!$M$3:$M$32)</f>
        <v>106.9</v>
      </c>
      <c r="F974" s="19">
        <f>_xlfn.XLOOKUP(D974,Worksheet!$C$3:$C$32,Worksheet!$S$3:$S$32)</f>
        <v>0.62195121951219512</v>
      </c>
    </row>
    <row r="975" spans="1:6" ht="17" x14ac:dyDescent="0.2">
      <c r="A975" t="s">
        <v>555</v>
      </c>
      <c r="B975" s="5">
        <v>44488</v>
      </c>
      <c r="C975" s="3">
        <v>17.3</v>
      </c>
      <c r="D975" s="2" t="s">
        <v>62</v>
      </c>
      <c r="E975">
        <f>_xlfn.XLOOKUP(D975,Worksheet!$C$3:$C$32,Worksheet!$M$3:$M$32)</f>
        <v>113.3</v>
      </c>
      <c r="F975" s="19">
        <f>_xlfn.XLOOKUP(D975,Worksheet!$C$3:$C$32,Worksheet!$S$3:$S$32)</f>
        <v>0.40243902439024393</v>
      </c>
    </row>
    <row r="976" spans="1:6" x14ac:dyDescent="0.2">
      <c r="A976" t="s">
        <v>555</v>
      </c>
      <c r="B976" s="4">
        <v>44490</v>
      </c>
      <c r="C976">
        <v>32.5</v>
      </c>
      <c r="D976" t="s">
        <v>64</v>
      </c>
      <c r="E976">
        <f>_xlfn.XLOOKUP(D976,Worksheet!$C$3:$C$32,Worksheet!$M$3:$M$32)</f>
        <v>110.1</v>
      </c>
      <c r="F976" s="19">
        <f>_xlfn.XLOOKUP(D976,Worksheet!$C$3:$C$32,Worksheet!$S$3:$S$32)</f>
        <v>0.51219512195121952</v>
      </c>
    </row>
    <row r="977" spans="1:6" x14ac:dyDescent="0.2">
      <c r="A977" t="s">
        <v>555</v>
      </c>
      <c r="B977" s="4">
        <v>44493</v>
      </c>
      <c r="C977">
        <v>23.2</v>
      </c>
      <c r="D977" t="s">
        <v>66</v>
      </c>
      <c r="E977">
        <f>_xlfn.XLOOKUP(D977,Worksheet!$C$3:$C$32,Worksheet!$M$3:$M$32)</f>
        <v>115.3</v>
      </c>
      <c r="F977" s="19">
        <f>_xlfn.XLOOKUP(D977,Worksheet!$C$3:$C$32,Worksheet!$S$3:$S$32)</f>
        <v>0.36585365853658536</v>
      </c>
    </row>
    <row r="978" spans="1:6" x14ac:dyDescent="0.2">
      <c r="A978" t="s">
        <v>555</v>
      </c>
      <c r="B978" s="4">
        <v>44495</v>
      </c>
      <c r="C978">
        <v>16.899999999999999</v>
      </c>
      <c r="D978" t="s">
        <v>68</v>
      </c>
      <c r="E978">
        <f>_xlfn.XLOOKUP(D978,Worksheet!$C$3:$C$32,Worksheet!$M$3:$M$32)</f>
        <v>112.8</v>
      </c>
      <c r="F978" s="19">
        <f>_xlfn.XLOOKUP(D978,Worksheet!$C$3:$C$32,Worksheet!$S$3:$S$32)</f>
        <v>0.29268292682926828</v>
      </c>
    </row>
    <row r="979" spans="1:6" x14ac:dyDescent="0.2">
      <c r="A979" t="s">
        <v>555</v>
      </c>
      <c r="B979" s="4">
        <v>44497</v>
      </c>
      <c r="C979">
        <v>23.4</v>
      </c>
      <c r="D979" t="s">
        <v>42</v>
      </c>
      <c r="E979">
        <f>_xlfn.XLOOKUP(D979,Worksheet!$C$3:$C$32,Worksheet!$M$3:$M$32)</f>
        <v>109</v>
      </c>
      <c r="F979" s="19">
        <f>_xlfn.XLOOKUP(D979,Worksheet!$C$3:$C$32,Worksheet!$S$3:$S$32)</f>
        <v>0.68292682926829273</v>
      </c>
    </row>
    <row r="980" spans="1:6" x14ac:dyDescent="0.2">
      <c r="A980" t="s">
        <v>555</v>
      </c>
      <c r="B980" s="4">
        <v>44499</v>
      </c>
      <c r="C980">
        <v>16.600000000000001</v>
      </c>
      <c r="D980" t="s">
        <v>68</v>
      </c>
      <c r="E980">
        <f>_xlfn.XLOOKUP(D980,Worksheet!$C$3:$C$32,Worksheet!$M$3:$M$32)</f>
        <v>112.8</v>
      </c>
      <c r="F980" s="19">
        <f>_xlfn.XLOOKUP(D980,Worksheet!$C$3:$C$32,Worksheet!$S$3:$S$32)</f>
        <v>0.29268292682926828</v>
      </c>
    </row>
    <row r="981" spans="1:6" x14ac:dyDescent="0.2">
      <c r="A981" t="s">
        <v>555</v>
      </c>
      <c r="B981" s="4">
        <v>44503</v>
      </c>
      <c r="C981">
        <v>12.5</v>
      </c>
      <c r="D981" t="s">
        <v>72</v>
      </c>
      <c r="E981">
        <f>_xlfn.XLOOKUP(D981,Worksheet!$C$3:$C$32,Worksheet!$M$3:$M$32)</f>
        <v>113.7</v>
      </c>
      <c r="F981" s="19">
        <f>_xlfn.XLOOKUP(D981,Worksheet!$C$3:$C$32,Worksheet!$S$3:$S$32)</f>
        <v>0.52439024390243905</v>
      </c>
    </row>
    <row r="982" spans="1:6" x14ac:dyDescent="0.2">
      <c r="A982" t="s">
        <v>555</v>
      </c>
      <c r="B982" s="4">
        <v>44505</v>
      </c>
      <c r="C982">
        <v>14.9</v>
      </c>
      <c r="D982" t="s">
        <v>74</v>
      </c>
      <c r="E982">
        <f>_xlfn.XLOOKUP(D982,Worksheet!$C$3:$C$32,Worksheet!$M$3:$M$32)</f>
        <v>113</v>
      </c>
      <c r="F982" s="19">
        <f>_xlfn.XLOOKUP(D982,Worksheet!$C$3:$C$32,Worksheet!$S$3:$S$32)</f>
        <v>0.43902439024390244</v>
      </c>
    </row>
    <row r="983" spans="1:6" x14ac:dyDescent="0.2">
      <c r="A983" t="s">
        <v>555</v>
      </c>
      <c r="B983" s="4">
        <v>44507</v>
      </c>
      <c r="C983">
        <v>16.899999999999999</v>
      </c>
      <c r="D983" t="s">
        <v>76</v>
      </c>
      <c r="E983">
        <f>_xlfn.XLOOKUP(D983,Worksheet!$C$3:$C$32,Worksheet!$M$3:$M$32)</f>
        <v>116.7</v>
      </c>
      <c r="F983" s="19">
        <f>_xlfn.XLOOKUP(D983,Worksheet!$C$3:$C$32,Worksheet!$S$3:$S$32)</f>
        <v>0.24390243902439024</v>
      </c>
    </row>
    <row r="984" spans="1:6" x14ac:dyDescent="0.2">
      <c r="A984" t="s">
        <v>555</v>
      </c>
      <c r="B984" s="4">
        <v>44508</v>
      </c>
      <c r="C984">
        <v>48.6</v>
      </c>
      <c r="D984" t="s">
        <v>78</v>
      </c>
      <c r="E984">
        <f>_xlfn.XLOOKUP(D984,Worksheet!$C$3:$C$32,Worksheet!$M$3:$M$32)</f>
        <v>114.9</v>
      </c>
      <c r="F984" s="19">
        <f>_xlfn.XLOOKUP(D984,Worksheet!$C$3:$C$32,Worksheet!$S$3:$S$32)</f>
        <v>0.52439024390243905</v>
      </c>
    </row>
    <row r="985" spans="1:6" x14ac:dyDescent="0.2">
      <c r="A985" t="s">
        <v>555</v>
      </c>
      <c r="B985" s="4">
        <v>44510</v>
      </c>
      <c r="C985">
        <v>19.100000000000001</v>
      </c>
      <c r="D985" t="s">
        <v>80</v>
      </c>
      <c r="E985">
        <f>_xlfn.XLOOKUP(D985,Worksheet!$C$3:$C$32,Worksheet!$M$3:$M$32)</f>
        <v>111.7</v>
      </c>
      <c r="F985" s="19">
        <f>_xlfn.XLOOKUP(D985,Worksheet!$C$3:$C$32,Worksheet!$S$3:$S$32)</f>
        <v>0.56097560975609762</v>
      </c>
    </row>
    <row r="986" spans="1:6" x14ac:dyDescent="0.2">
      <c r="A986" t="s">
        <v>555</v>
      </c>
      <c r="B986" s="4">
        <v>44512</v>
      </c>
      <c r="C986">
        <v>29.2</v>
      </c>
      <c r="D986" t="s">
        <v>82</v>
      </c>
      <c r="E986">
        <f>_xlfn.XLOOKUP(D986,Worksheet!$C$3:$C$32,Worksheet!$M$3:$M$32)</f>
        <v>113.6</v>
      </c>
      <c r="F986" s="19">
        <f>_xlfn.XLOOKUP(D986,Worksheet!$C$3:$C$32,Worksheet!$S$3:$S$32)</f>
        <v>0.56097560975609762</v>
      </c>
    </row>
    <row r="987" spans="1:6" x14ac:dyDescent="0.2">
      <c r="A987" t="s">
        <v>555</v>
      </c>
      <c r="B987" s="4">
        <v>44514</v>
      </c>
      <c r="C987">
        <v>20.5</v>
      </c>
      <c r="D987" t="s">
        <v>72</v>
      </c>
      <c r="E987">
        <f>_xlfn.XLOOKUP(D987,Worksheet!$C$3:$C$32,Worksheet!$M$3:$M$32)</f>
        <v>113.7</v>
      </c>
      <c r="F987" s="19">
        <f>_xlfn.XLOOKUP(D987,Worksheet!$C$3:$C$32,Worksheet!$S$3:$S$32)</f>
        <v>0.52439024390243905</v>
      </c>
    </row>
    <row r="988" spans="1:6" x14ac:dyDescent="0.2">
      <c r="A988" t="s">
        <v>555</v>
      </c>
      <c r="B988" s="4">
        <v>44516</v>
      </c>
      <c r="C988">
        <v>33.200000000000003</v>
      </c>
      <c r="D988" t="s">
        <v>85</v>
      </c>
      <c r="E988">
        <f>_xlfn.XLOOKUP(D988,Worksheet!$C$3:$C$32,Worksheet!$M$3:$M$32)</f>
        <v>112.8</v>
      </c>
      <c r="F988" s="19">
        <f>_xlfn.XLOOKUP(D988,Worksheet!$C$3:$C$32,Worksheet!$S$3:$S$32)</f>
        <v>0.53658536585365857</v>
      </c>
    </row>
    <row r="989" spans="1:6" x14ac:dyDescent="0.2">
      <c r="A989" t="s">
        <v>555</v>
      </c>
      <c r="B989" s="4">
        <v>44518</v>
      </c>
      <c r="C989">
        <v>29.9</v>
      </c>
      <c r="D989" t="s">
        <v>87</v>
      </c>
      <c r="E989">
        <f>_xlfn.XLOOKUP(D989,Worksheet!$C$3:$C$32,Worksheet!$M$3:$M$32)</f>
        <v>109.7</v>
      </c>
      <c r="F989" s="19">
        <f>_xlfn.XLOOKUP(D989,Worksheet!$C$3:$C$32,Worksheet!$S$3:$S$32)</f>
        <v>0.53658536585365857</v>
      </c>
    </row>
    <row r="990" spans="1:6" x14ac:dyDescent="0.2">
      <c r="A990" t="s">
        <v>555</v>
      </c>
      <c r="B990" s="4">
        <v>44519</v>
      </c>
      <c r="C990" t="s">
        <v>91</v>
      </c>
      <c r="D990" t="s">
        <v>89</v>
      </c>
      <c r="E990">
        <f>_xlfn.XLOOKUP(D990,Worksheet!$C$3:$C$32,Worksheet!$M$3:$M$32)</f>
        <v>113.8</v>
      </c>
      <c r="F990" s="19">
        <f>_xlfn.XLOOKUP(D990,Worksheet!$C$3:$C$32,Worksheet!$S$3:$S$32)</f>
        <v>0.28048780487804881</v>
      </c>
    </row>
    <row r="991" spans="1:6" x14ac:dyDescent="0.2">
      <c r="A991" t="s">
        <v>555</v>
      </c>
      <c r="B991" s="4">
        <v>44521</v>
      </c>
      <c r="C991">
        <v>8.6</v>
      </c>
      <c r="D991" t="s">
        <v>92</v>
      </c>
      <c r="E991">
        <f>_xlfn.XLOOKUP(D991,Worksheet!$C$3:$C$32,Worksheet!$M$3:$M$32)</f>
        <v>110.5</v>
      </c>
      <c r="F991" s="19">
        <f>_xlfn.XLOOKUP(D991,Worksheet!$C$3:$C$32,Worksheet!$S$3:$S$32)</f>
        <v>0.58536585365853655</v>
      </c>
    </row>
    <row r="992" spans="1:6" x14ac:dyDescent="0.2">
      <c r="A992" t="s">
        <v>555</v>
      </c>
      <c r="B992" s="4">
        <v>44524</v>
      </c>
      <c r="C992">
        <v>21.8</v>
      </c>
      <c r="D992" t="s">
        <v>94</v>
      </c>
      <c r="E992">
        <f>_xlfn.XLOOKUP(D992,Worksheet!$C$3:$C$32,Worksheet!$M$3:$M$32)</f>
        <v>110.8</v>
      </c>
      <c r="F992" s="19">
        <f>_xlfn.XLOOKUP(D992,Worksheet!$C$3:$C$32,Worksheet!$S$3:$S$32)</f>
        <v>0.62195121951219512</v>
      </c>
    </row>
    <row r="993" spans="1:6" x14ac:dyDescent="0.2">
      <c r="A993" t="s">
        <v>555</v>
      </c>
      <c r="B993" s="4">
        <v>44526</v>
      </c>
      <c r="C993">
        <v>23.8</v>
      </c>
      <c r="D993" t="s">
        <v>96</v>
      </c>
      <c r="E993">
        <f>_xlfn.XLOOKUP(D993,Worksheet!$C$3:$C$32,Worksheet!$M$3:$M$32)</f>
        <v>116.9</v>
      </c>
      <c r="F993" s="19">
        <f>_xlfn.XLOOKUP(D993,Worksheet!$C$3:$C$32,Worksheet!$S$3:$S$32)</f>
        <v>0.32926829268292684</v>
      </c>
    </row>
    <row r="994" spans="1:6" x14ac:dyDescent="0.2">
      <c r="A994" t="s">
        <v>555</v>
      </c>
      <c r="B994" s="4">
        <v>44528</v>
      </c>
      <c r="C994">
        <v>29.5</v>
      </c>
      <c r="D994" t="s">
        <v>64</v>
      </c>
      <c r="E994">
        <f>_xlfn.XLOOKUP(D994,Worksheet!$C$3:$C$32,Worksheet!$M$3:$M$32)</f>
        <v>110.1</v>
      </c>
      <c r="F994" s="19">
        <f>_xlfn.XLOOKUP(D994,Worksheet!$C$3:$C$32,Worksheet!$S$3:$S$32)</f>
        <v>0.51219512195121952</v>
      </c>
    </row>
    <row r="995" spans="1:6" x14ac:dyDescent="0.2">
      <c r="A995" t="s">
        <v>555</v>
      </c>
      <c r="B995" s="4">
        <v>44530</v>
      </c>
      <c r="C995">
        <v>1.3</v>
      </c>
      <c r="D995" t="s">
        <v>99</v>
      </c>
      <c r="E995">
        <f>_xlfn.XLOOKUP(D995,Worksheet!$C$3:$C$32,Worksheet!$M$3:$M$32)</f>
        <v>107.3</v>
      </c>
      <c r="F995" s="19">
        <f>_xlfn.XLOOKUP(D995,Worksheet!$C$3:$C$32,Worksheet!$S$3:$S$32)</f>
        <v>0.78048780487804881</v>
      </c>
    </row>
    <row r="996" spans="1:6" x14ac:dyDescent="0.2">
      <c r="A996" t="s">
        <v>555</v>
      </c>
      <c r="B996" s="4">
        <v>44533</v>
      </c>
      <c r="C996">
        <v>13.8</v>
      </c>
      <c r="D996" t="s">
        <v>99</v>
      </c>
      <c r="E996">
        <f>_xlfn.XLOOKUP(D996,Worksheet!$C$3:$C$32,Worksheet!$M$3:$M$32)</f>
        <v>107.3</v>
      </c>
      <c r="F996" s="19">
        <f>_xlfn.XLOOKUP(D996,Worksheet!$C$3:$C$32,Worksheet!$S$3:$S$32)</f>
        <v>0.78048780487804881</v>
      </c>
    </row>
    <row r="997" spans="1:6" x14ac:dyDescent="0.2">
      <c r="A997" t="s">
        <v>555</v>
      </c>
      <c r="B997" s="4">
        <v>44534</v>
      </c>
      <c r="C997">
        <v>17.7</v>
      </c>
      <c r="D997" t="s">
        <v>102</v>
      </c>
      <c r="E997">
        <f>_xlfn.XLOOKUP(D997,Worksheet!$C$3:$C$32,Worksheet!$M$3:$M$32)</f>
        <v>112.3</v>
      </c>
      <c r="F997" s="19">
        <f>_xlfn.XLOOKUP(D997,Worksheet!$C$3:$C$32,Worksheet!$S$3:$S$32)</f>
        <v>0.41463414634146339</v>
      </c>
    </row>
    <row r="998" spans="1:6" x14ac:dyDescent="0.2">
      <c r="A998" t="s">
        <v>555</v>
      </c>
      <c r="B998" s="4">
        <v>44536</v>
      </c>
      <c r="C998">
        <v>27.7</v>
      </c>
      <c r="D998" t="s">
        <v>104</v>
      </c>
      <c r="E998">
        <f>_xlfn.XLOOKUP(D998,Worksheet!$C$3:$C$32,Worksheet!$M$3:$M$32)</f>
        <v>112.5</v>
      </c>
      <c r="F998" s="19">
        <f>_xlfn.XLOOKUP(D998,Worksheet!$C$3:$C$32,Worksheet!$S$3:$S$32)</f>
        <v>0.26829268292682928</v>
      </c>
    </row>
    <row r="999" spans="1:6" x14ac:dyDescent="0.2">
      <c r="A999" t="s">
        <v>555</v>
      </c>
      <c r="B999" s="4">
        <v>44538</v>
      </c>
      <c r="C999">
        <v>10.5</v>
      </c>
      <c r="D999" t="s">
        <v>96</v>
      </c>
      <c r="E999">
        <f>_xlfn.XLOOKUP(D999,Worksheet!$C$3:$C$32,Worksheet!$M$3:$M$32)</f>
        <v>116.9</v>
      </c>
      <c r="F999" s="19">
        <f>_xlfn.XLOOKUP(D999,Worksheet!$C$3:$C$32,Worksheet!$S$3:$S$32)</f>
        <v>0.32926829268292684</v>
      </c>
    </row>
    <row r="1000" spans="1:6" x14ac:dyDescent="0.2">
      <c r="A1000" t="s">
        <v>555</v>
      </c>
      <c r="B1000" s="4">
        <v>44541</v>
      </c>
      <c r="C1000">
        <v>9.6</v>
      </c>
      <c r="D1000" t="s">
        <v>94</v>
      </c>
      <c r="E1000">
        <f>_xlfn.XLOOKUP(D1000,Worksheet!$C$3:$C$32,Worksheet!$M$3:$M$32)</f>
        <v>110.8</v>
      </c>
      <c r="F1000" s="19">
        <f>_xlfn.XLOOKUP(D1000,Worksheet!$C$3:$C$32,Worksheet!$S$3:$S$32)</f>
        <v>0.62195121951219512</v>
      </c>
    </row>
    <row r="1001" spans="1:6" x14ac:dyDescent="0.2">
      <c r="A1001" t="s">
        <v>555</v>
      </c>
      <c r="B1001" s="4">
        <v>44543</v>
      </c>
      <c r="C1001">
        <v>15.9</v>
      </c>
      <c r="D1001" t="s">
        <v>108</v>
      </c>
      <c r="E1001">
        <f>_xlfn.XLOOKUP(D1001,Worksheet!$C$3:$C$32,Worksheet!$M$3:$M$32)</f>
        <v>116.1</v>
      </c>
      <c r="F1001" s="19">
        <f>_xlfn.XLOOKUP(D1001,Worksheet!$C$3:$C$32,Worksheet!$S$3:$S$32)</f>
        <v>0.3048780487804878</v>
      </c>
    </row>
    <row r="1002" spans="1:6" x14ac:dyDescent="0.2">
      <c r="A1002" t="s">
        <v>555</v>
      </c>
      <c r="B1002" s="4">
        <v>44544</v>
      </c>
      <c r="C1002">
        <v>10.6</v>
      </c>
      <c r="D1002" t="s">
        <v>110</v>
      </c>
      <c r="E1002">
        <f>_xlfn.XLOOKUP(D1002,Worksheet!$C$3:$C$32,Worksheet!$M$3:$M$32)</f>
        <v>110.5</v>
      </c>
      <c r="F1002" s="19">
        <f>_xlfn.XLOOKUP(D1002,Worksheet!$C$3:$C$32,Worksheet!$S$3:$S$32)</f>
        <v>0.45121951219512196</v>
      </c>
    </row>
    <row r="1003" spans="1:6" x14ac:dyDescent="0.2">
      <c r="A1003" t="s">
        <v>555</v>
      </c>
      <c r="B1003" s="4">
        <v>44547</v>
      </c>
      <c r="C1003">
        <v>15.8</v>
      </c>
      <c r="D1003" t="s">
        <v>55</v>
      </c>
      <c r="E1003">
        <f>_xlfn.XLOOKUP(D1003,Worksheet!$C$3:$C$32,Worksheet!$M$3:$M$32)</f>
        <v>106.9</v>
      </c>
      <c r="F1003" s="19">
        <f>_xlfn.XLOOKUP(D1003,Worksheet!$C$3:$C$32,Worksheet!$S$3:$S$32)</f>
        <v>0.62195121951219512</v>
      </c>
    </row>
    <row r="1004" spans="1:6" x14ac:dyDescent="0.2">
      <c r="A1004" t="s">
        <v>555</v>
      </c>
      <c r="B1004" s="4">
        <v>44548</v>
      </c>
      <c r="C1004" t="s">
        <v>91</v>
      </c>
      <c r="D1004" t="s">
        <v>92</v>
      </c>
      <c r="E1004">
        <f>_xlfn.XLOOKUP(D1004,Worksheet!$C$3:$C$32,Worksheet!$M$3:$M$32)</f>
        <v>110.5</v>
      </c>
      <c r="F1004" s="19">
        <f>_xlfn.XLOOKUP(D1004,Worksheet!$C$3:$C$32,Worksheet!$S$3:$S$32)</f>
        <v>0.58536585365853655</v>
      </c>
    </row>
    <row r="1005" spans="1:6" x14ac:dyDescent="0.2">
      <c r="A1005" t="s">
        <v>555</v>
      </c>
      <c r="B1005" s="4">
        <v>44550</v>
      </c>
      <c r="C1005">
        <v>16.600000000000001</v>
      </c>
      <c r="D1005" t="s">
        <v>66</v>
      </c>
      <c r="E1005">
        <f>_xlfn.XLOOKUP(D1005,Worksheet!$C$3:$C$32,Worksheet!$M$3:$M$32)</f>
        <v>115.3</v>
      </c>
      <c r="F1005" s="19">
        <f>_xlfn.XLOOKUP(D1005,Worksheet!$C$3:$C$32,Worksheet!$S$3:$S$32)</f>
        <v>0.36585365853658536</v>
      </c>
    </row>
    <row r="1006" spans="1:6" x14ac:dyDescent="0.2">
      <c r="A1006" t="s">
        <v>555</v>
      </c>
      <c r="B1006" s="4">
        <v>44553</v>
      </c>
      <c r="C1006">
        <v>38.4</v>
      </c>
      <c r="D1006" t="s">
        <v>42</v>
      </c>
      <c r="E1006">
        <f>_xlfn.XLOOKUP(D1006,Worksheet!$C$3:$C$32,Worksheet!$M$3:$M$32)</f>
        <v>109</v>
      </c>
      <c r="F1006" s="19">
        <f>_xlfn.XLOOKUP(D1006,Worksheet!$C$3:$C$32,Worksheet!$S$3:$S$32)</f>
        <v>0.68292682926829273</v>
      </c>
    </row>
    <row r="1007" spans="1:6" x14ac:dyDescent="0.2">
      <c r="A1007" t="s">
        <v>555</v>
      </c>
      <c r="B1007" s="4">
        <v>44555</v>
      </c>
      <c r="C1007">
        <v>24.6</v>
      </c>
      <c r="D1007" t="s">
        <v>99</v>
      </c>
      <c r="E1007">
        <f>_xlfn.XLOOKUP(D1007,Worksheet!$C$3:$C$32,Worksheet!$M$3:$M$32)</f>
        <v>107.3</v>
      </c>
      <c r="F1007" s="19">
        <f>_xlfn.XLOOKUP(D1007,Worksheet!$C$3:$C$32,Worksheet!$S$3:$S$32)</f>
        <v>0.78048780487804881</v>
      </c>
    </row>
    <row r="1008" spans="1:6" x14ac:dyDescent="0.2">
      <c r="A1008" t="s">
        <v>555</v>
      </c>
      <c r="B1008" s="4">
        <v>44558</v>
      </c>
      <c r="C1008">
        <v>10.6</v>
      </c>
      <c r="D1008" t="s">
        <v>34</v>
      </c>
      <c r="E1008">
        <f>_xlfn.XLOOKUP(D1008,Worksheet!$C$3:$C$32,Worksheet!$M$3:$M$32)</f>
        <v>112.1</v>
      </c>
      <c r="F1008" s="19">
        <f>_xlfn.XLOOKUP(D1008,Worksheet!$C$3:$C$32,Worksheet!$S$3:$S$32)</f>
        <v>0.58536585365853655</v>
      </c>
    </row>
    <row r="1009" spans="1:6" x14ac:dyDescent="0.2">
      <c r="A1009" t="s">
        <v>555</v>
      </c>
      <c r="B1009" s="4">
        <v>44562</v>
      </c>
      <c r="C1009">
        <v>22.8</v>
      </c>
      <c r="D1009" t="s">
        <v>118</v>
      </c>
      <c r="E1009">
        <f>_xlfn.XLOOKUP(D1009,Worksheet!$C$3:$C$32,Worksheet!$M$3:$M$32)</f>
        <v>110.5</v>
      </c>
      <c r="F1009" s="19">
        <f>_xlfn.XLOOKUP(D1009,Worksheet!$C$3:$C$32,Worksheet!$S$3:$S$32)</f>
        <v>0.59756097560975607</v>
      </c>
    </row>
    <row r="1010" spans="1:6" x14ac:dyDescent="0.2">
      <c r="A1010" t="s">
        <v>555</v>
      </c>
      <c r="B1010" s="4">
        <v>44564</v>
      </c>
      <c r="C1010">
        <v>3.7</v>
      </c>
      <c r="D1010" t="s">
        <v>120</v>
      </c>
      <c r="E1010">
        <f>_xlfn.XLOOKUP(D1010,Worksheet!$C$3:$C$32,Worksheet!$M$3:$M$32)</f>
        <v>109.1</v>
      </c>
      <c r="F1010" s="19">
        <f>_xlfn.XLOOKUP(D1010,Worksheet!$C$3:$C$32,Worksheet!$S$3:$S$32)</f>
        <v>0.64634146341463417</v>
      </c>
    </row>
    <row r="1011" spans="1:6" x14ac:dyDescent="0.2">
      <c r="A1011" t="s">
        <v>555</v>
      </c>
      <c r="B1011" s="4">
        <v>44566</v>
      </c>
      <c r="C1011">
        <v>-0.1</v>
      </c>
      <c r="D1011" t="s">
        <v>49</v>
      </c>
      <c r="E1011">
        <f>_xlfn.XLOOKUP(D1011,Worksheet!$C$3:$C$32,Worksheet!$M$3:$M$32)</f>
        <v>109.4</v>
      </c>
      <c r="F1011" s="19">
        <f>_xlfn.XLOOKUP(D1011,Worksheet!$C$3:$C$32,Worksheet!$S$3:$S$32)</f>
        <v>0.63414634146341464</v>
      </c>
    </row>
    <row r="1012" spans="1:6" x14ac:dyDescent="0.2">
      <c r="A1012" t="s">
        <v>555</v>
      </c>
      <c r="B1012" s="4">
        <v>44567</v>
      </c>
      <c r="C1012" t="s">
        <v>91</v>
      </c>
      <c r="D1012" t="s">
        <v>74</v>
      </c>
      <c r="E1012">
        <f>_xlfn.XLOOKUP(D1012,Worksheet!$C$3:$C$32,Worksheet!$M$3:$M$32)</f>
        <v>113</v>
      </c>
      <c r="F1012" s="19">
        <f>_xlfn.XLOOKUP(D1012,Worksheet!$C$3:$C$32,Worksheet!$S$3:$S$32)</f>
        <v>0.43902439024390244</v>
      </c>
    </row>
    <row r="1013" spans="1:6" x14ac:dyDescent="0.2">
      <c r="A1013" t="s">
        <v>555</v>
      </c>
      <c r="B1013" s="4">
        <v>44570</v>
      </c>
      <c r="C1013">
        <v>18.3</v>
      </c>
      <c r="D1013" t="s">
        <v>87</v>
      </c>
      <c r="E1013">
        <f>_xlfn.XLOOKUP(D1013,Worksheet!$C$3:$C$32,Worksheet!$M$3:$M$32)</f>
        <v>109.7</v>
      </c>
      <c r="F1013" s="19">
        <f>_xlfn.XLOOKUP(D1013,Worksheet!$C$3:$C$32,Worksheet!$S$3:$S$32)</f>
        <v>0.53658536585365857</v>
      </c>
    </row>
    <row r="1014" spans="1:6" x14ac:dyDescent="0.2">
      <c r="A1014" t="s">
        <v>555</v>
      </c>
      <c r="B1014" s="4">
        <v>44572</v>
      </c>
      <c r="C1014">
        <v>23.3</v>
      </c>
      <c r="D1014" t="s">
        <v>42</v>
      </c>
      <c r="E1014">
        <f>_xlfn.XLOOKUP(D1014,Worksheet!$C$3:$C$32,Worksheet!$M$3:$M$32)</f>
        <v>109</v>
      </c>
      <c r="F1014" s="19">
        <f>_xlfn.XLOOKUP(D1014,Worksheet!$C$3:$C$32,Worksheet!$S$3:$S$32)</f>
        <v>0.68292682926829273</v>
      </c>
    </row>
    <row r="1015" spans="1:6" x14ac:dyDescent="0.2">
      <c r="A1015" t="s">
        <v>555</v>
      </c>
      <c r="B1015" s="4">
        <v>44574</v>
      </c>
      <c r="C1015">
        <v>9.1</v>
      </c>
      <c r="D1015" t="s">
        <v>126</v>
      </c>
      <c r="E1015">
        <f>_xlfn.XLOOKUP(D1015,Worksheet!$C$3:$C$32,Worksheet!$M$3:$M$32)</f>
        <v>111.8</v>
      </c>
      <c r="F1015" s="19">
        <f>_xlfn.XLOOKUP(D1015,Worksheet!$C$3:$C$32,Worksheet!$S$3:$S$32)</f>
        <v>0.62195121951219512</v>
      </c>
    </row>
    <row r="1016" spans="1:6" x14ac:dyDescent="0.2">
      <c r="A1016" t="s">
        <v>555</v>
      </c>
      <c r="B1016" s="4">
        <v>44575</v>
      </c>
      <c r="C1016">
        <v>12.9</v>
      </c>
      <c r="D1016" t="s">
        <v>82</v>
      </c>
      <c r="E1016">
        <f>_xlfn.XLOOKUP(D1016,Worksheet!$C$3:$C$32,Worksheet!$M$3:$M$32)</f>
        <v>113.6</v>
      </c>
      <c r="F1016" s="19">
        <f>_xlfn.XLOOKUP(D1016,Worksheet!$C$3:$C$32,Worksheet!$S$3:$S$32)</f>
        <v>0.56097560975609762</v>
      </c>
    </row>
    <row r="1017" spans="1:6" x14ac:dyDescent="0.2">
      <c r="A1017" t="s">
        <v>555</v>
      </c>
      <c r="B1017" s="4">
        <v>44577</v>
      </c>
      <c r="C1017" t="s">
        <v>91</v>
      </c>
      <c r="D1017" t="s">
        <v>80</v>
      </c>
      <c r="E1017">
        <f>_xlfn.XLOOKUP(D1017,Worksheet!$C$3:$C$32,Worksheet!$M$3:$M$32)</f>
        <v>111.7</v>
      </c>
      <c r="F1017" s="19">
        <f>_xlfn.XLOOKUP(D1017,Worksheet!$C$3:$C$32,Worksheet!$S$3:$S$32)</f>
        <v>0.56097560975609762</v>
      </c>
    </row>
    <row r="1018" spans="1:6" x14ac:dyDescent="0.2">
      <c r="A1018" t="s">
        <v>555</v>
      </c>
      <c r="B1018" s="4">
        <v>44579</v>
      </c>
      <c r="C1018">
        <v>20.8</v>
      </c>
      <c r="D1018" t="s">
        <v>89</v>
      </c>
      <c r="E1018">
        <f>_xlfn.XLOOKUP(D1018,Worksheet!$C$3:$C$32,Worksheet!$M$3:$M$32)</f>
        <v>113.8</v>
      </c>
      <c r="F1018" s="19">
        <f>_xlfn.XLOOKUP(D1018,Worksheet!$C$3:$C$32,Worksheet!$S$3:$S$32)</f>
        <v>0.28048780487804881</v>
      </c>
    </row>
    <row r="1019" spans="1:6" x14ac:dyDescent="0.2">
      <c r="A1019" t="s">
        <v>555</v>
      </c>
      <c r="B1019" s="4">
        <v>44581</v>
      </c>
      <c r="C1019">
        <v>29.8</v>
      </c>
      <c r="D1019" t="s">
        <v>108</v>
      </c>
      <c r="E1019">
        <f>_xlfn.XLOOKUP(D1019,Worksheet!$C$3:$C$32,Worksheet!$M$3:$M$32)</f>
        <v>116.1</v>
      </c>
      <c r="F1019" s="19">
        <f>_xlfn.XLOOKUP(D1019,Worksheet!$C$3:$C$32,Worksheet!$S$3:$S$32)</f>
        <v>0.3048780487804878</v>
      </c>
    </row>
    <row r="1020" spans="1:6" x14ac:dyDescent="0.2">
      <c r="A1020" t="s">
        <v>555</v>
      </c>
      <c r="B1020" s="4">
        <v>44582</v>
      </c>
      <c r="C1020">
        <v>17</v>
      </c>
      <c r="D1020" t="s">
        <v>76</v>
      </c>
      <c r="E1020">
        <f>_xlfn.XLOOKUP(D1020,Worksheet!$C$3:$C$32,Worksheet!$M$3:$M$32)</f>
        <v>116.7</v>
      </c>
      <c r="F1020" s="19">
        <f>_xlfn.XLOOKUP(D1020,Worksheet!$C$3:$C$32,Worksheet!$S$3:$S$32)</f>
        <v>0.24390243902439024</v>
      </c>
    </row>
    <row r="1021" spans="1:6" x14ac:dyDescent="0.2">
      <c r="A1021" t="s">
        <v>555</v>
      </c>
      <c r="B1021" s="4">
        <v>44584</v>
      </c>
      <c r="C1021">
        <v>6.2</v>
      </c>
      <c r="D1021" t="s">
        <v>118</v>
      </c>
      <c r="E1021">
        <f>_xlfn.XLOOKUP(D1021,Worksheet!$C$3:$C$32,Worksheet!$M$3:$M$32)</f>
        <v>110.5</v>
      </c>
      <c r="F1021" s="19">
        <f>_xlfn.XLOOKUP(D1021,Worksheet!$C$3:$C$32,Worksheet!$S$3:$S$32)</f>
        <v>0.59756097560975607</v>
      </c>
    </row>
    <row r="1022" spans="1:6" x14ac:dyDescent="0.2">
      <c r="A1022" t="s">
        <v>555</v>
      </c>
      <c r="B1022" s="4">
        <v>44586</v>
      </c>
      <c r="C1022">
        <v>13.4</v>
      </c>
      <c r="D1022" t="s">
        <v>49</v>
      </c>
      <c r="E1022">
        <f>_xlfn.XLOOKUP(D1022,Worksheet!$C$3:$C$32,Worksheet!$M$3:$M$32)</f>
        <v>109.4</v>
      </c>
      <c r="F1022" s="19">
        <f>_xlfn.XLOOKUP(D1022,Worksheet!$C$3:$C$32,Worksheet!$S$3:$S$32)</f>
        <v>0.63414634146341464</v>
      </c>
    </row>
    <row r="1023" spans="1:6" x14ac:dyDescent="0.2">
      <c r="A1023" t="s">
        <v>555</v>
      </c>
      <c r="B1023" s="4">
        <v>44588</v>
      </c>
      <c r="C1023">
        <v>24.2</v>
      </c>
      <c r="D1023" t="s">
        <v>80</v>
      </c>
      <c r="E1023">
        <f>_xlfn.XLOOKUP(D1023,Worksheet!$C$3:$C$32,Worksheet!$M$3:$M$32)</f>
        <v>111.7</v>
      </c>
      <c r="F1023" s="19">
        <f>_xlfn.XLOOKUP(D1023,Worksheet!$C$3:$C$32,Worksheet!$S$3:$S$32)</f>
        <v>0.56097560975609762</v>
      </c>
    </row>
    <row r="1024" spans="1:6" x14ac:dyDescent="0.2">
      <c r="A1024" t="s">
        <v>555</v>
      </c>
      <c r="B1024" s="4">
        <v>44590</v>
      </c>
      <c r="C1024">
        <v>12.9</v>
      </c>
      <c r="D1024" t="s">
        <v>85</v>
      </c>
      <c r="E1024">
        <f>_xlfn.XLOOKUP(D1024,Worksheet!$C$3:$C$32,Worksheet!$M$3:$M$32)</f>
        <v>112.8</v>
      </c>
      <c r="F1024" s="19">
        <f>_xlfn.XLOOKUP(D1024,Worksheet!$C$3:$C$32,Worksheet!$S$3:$S$32)</f>
        <v>0.53658536585365857</v>
      </c>
    </row>
    <row r="1025" spans="1:6" x14ac:dyDescent="0.2">
      <c r="A1025" t="s">
        <v>555</v>
      </c>
      <c r="B1025" s="4">
        <v>44592</v>
      </c>
      <c r="C1025">
        <v>37.200000000000003</v>
      </c>
      <c r="D1025" t="s">
        <v>76</v>
      </c>
      <c r="E1025">
        <f>_xlfn.XLOOKUP(D1025,Worksheet!$C$3:$C$32,Worksheet!$M$3:$M$32)</f>
        <v>116.7</v>
      </c>
      <c r="F1025" s="19">
        <f>_xlfn.XLOOKUP(D1025,Worksheet!$C$3:$C$32,Worksheet!$S$3:$S$32)</f>
        <v>0.24390243902439024</v>
      </c>
    </row>
    <row r="1026" spans="1:6" x14ac:dyDescent="0.2">
      <c r="A1026" t="s">
        <v>555</v>
      </c>
      <c r="B1026" s="4">
        <v>44593</v>
      </c>
      <c r="C1026" t="s">
        <v>91</v>
      </c>
      <c r="D1026" t="s">
        <v>102</v>
      </c>
      <c r="E1026">
        <f>_xlfn.XLOOKUP(D1026,Worksheet!$C$3:$C$32,Worksheet!$M$3:$M$32)</f>
        <v>112.3</v>
      </c>
      <c r="F1026" s="19">
        <f>_xlfn.XLOOKUP(D1026,Worksheet!$C$3:$C$32,Worksheet!$S$3:$S$32)</f>
        <v>0.41463414634146339</v>
      </c>
    </row>
    <row r="1027" spans="1:6" x14ac:dyDescent="0.2">
      <c r="A1027" t="s">
        <v>555</v>
      </c>
      <c r="B1027" s="4">
        <v>44595</v>
      </c>
      <c r="C1027">
        <v>16.7</v>
      </c>
      <c r="D1027" t="s">
        <v>66</v>
      </c>
      <c r="E1027">
        <f>_xlfn.XLOOKUP(D1027,Worksheet!$C$3:$C$32,Worksheet!$M$3:$M$32)</f>
        <v>115.3</v>
      </c>
      <c r="F1027" s="19">
        <f>_xlfn.XLOOKUP(D1027,Worksheet!$C$3:$C$32,Worksheet!$S$3:$S$32)</f>
        <v>0.36585365853658536</v>
      </c>
    </row>
    <row r="1028" spans="1:6" x14ac:dyDescent="0.2">
      <c r="A1028" t="s">
        <v>555</v>
      </c>
      <c r="B1028" s="4">
        <v>44599</v>
      </c>
      <c r="C1028">
        <v>17.899999999999999</v>
      </c>
      <c r="D1028" t="s">
        <v>68</v>
      </c>
      <c r="E1028">
        <f>_xlfn.XLOOKUP(D1028,Worksheet!$C$3:$C$32,Worksheet!$M$3:$M$32)</f>
        <v>112.8</v>
      </c>
      <c r="F1028" s="19">
        <f>_xlfn.XLOOKUP(D1028,Worksheet!$C$3:$C$32,Worksheet!$S$3:$S$32)</f>
        <v>0.29268292682926828</v>
      </c>
    </row>
    <row r="1029" spans="1:6" x14ac:dyDescent="0.2">
      <c r="A1029" t="s">
        <v>555</v>
      </c>
      <c r="B1029" s="4">
        <v>44601</v>
      </c>
      <c r="C1029">
        <v>7.6</v>
      </c>
      <c r="D1029" t="s">
        <v>118</v>
      </c>
      <c r="E1029">
        <f>_xlfn.XLOOKUP(D1029,Worksheet!$C$3:$C$32,Worksheet!$M$3:$M$32)</f>
        <v>110.5</v>
      </c>
      <c r="F1029" s="19">
        <f>_xlfn.XLOOKUP(D1029,Worksheet!$C$3:$C$32,Worksheet!$S$3:$S$32)</f>
        <v>0.59756097560975607</v>
      </c>
    </row>
    <row r="1030" spans="1:6" x14ac:dyDescent="0.2">
      <c r="A1030" t="s">
        <v>555</v>
      </c>
      <c r="B1030" s="4">
        <v>44602</v>
      </c>
      <c r="C1030">
        <v>25.5</v>
      </c>
      <c r="D1030" t="s">
        <v>110</v>
      </c>
      <c r="E1030">
        <f>_xlfn.XLOOKUP(D1030,Worksheet!$C$3:$C$32,Worksheet!$M$3:$M$32)</f>
        <v>110.5</v>
      </c>
      <c r="F1030" s="19">
        <f>_xlfn.XLOOKUP(D1030,Worksheet!$C$3:$C$32,Worksheet!$S$3:$S$32)</f>
        <v>0.45121951219512196</v>
      </c>
    </row>
    <row r="1031" spans="1:6" x14ac:dyDescent="0.2">
      <c r="A1031" t="s">
        <v>555</v>
      </c>
      <c r="B1031" s="4">
        <v>44604</v>
      </c>
      <c r="C1031">
        <v>19.8</v>
      </c>
      <c r="D1031" t="s">
        <v>62</v>
      </c>
      <c r="E1031">
        <f>_xlfn.XLOOKUP(D1031,Worksheet!$C$3:$C$32,Worksheet!$M$3:$M$32)</f>
        <v>113.3</v>
      </c>
      <c r="F1031" s="19">
        <f>_xlfn.XLOOKUP(D1031,Worksheet!$C$3:$C$32,Worksheet!$S$3:$S$32)</f>
        <v>0.40243902439024393</v>
      </c>
    </row>
    <row r="1032" spans="1:6" x14ac:dyDescent="0.2">
      <c r="A1032" t="s">
        <v>555</v>
      </c>
      <c r="B1032" s="4">
        <v>44606</v>
      </c>
      <c r="C1032">
        <v>22</v>
      </c>
      <c r="D1032" t="s">
        <v>64</v>
      </c>
      <c r="E1032">
        <f>_xlfn.XLOOKUP(D1032,Worksheet!$C$3:$C$32,Worksheet!$M$3:$M$32)</f>
        <v>110.1</v>
      </c>
      <c r="F1032" s="19">
        <f>_xlfn.XLOOKUP(D1032,Worksheet!$C$3:$C$32,Worksheet!$S$3:$S$32)</f>
        <v>0.51219512195121952</v>
      </c>
    </row>
    <row r="1033" spans="1:6" x14ac:dyDescent="0.2">
      <c r="A1033" t="s">
        <v>555</v>
      </c>
      <c r="B1033" s="4">
        <v>44608</v>
      </c>
      <c r="C1033">
        <v>18</v>
      </c>
      <c r="D1033" t="s">
        <v>34</v>
      </c>
      <c r="E1033">
        <f>_xlfn.XLOOKUP(D1033,Worksheet!$C$3:$C$32,Worksheet!$M$3:$M$32)</f>
        <v>112.1</v>
      </c>
      <c r="F1033" s="19">
        <f>_xlfn.XLOOKUP(D1033,Worksheet!$C$3:$C$32,Worksheet!$S$3:$S$32)</f>
        <v>0.58536585365853655</v>
      </c>
    </row>
    <row r="1034" spans="1:6" x14ac:dyDescent="0.2">
      <c r="A1034" t="s">
        <v>555</v>
      </c>
      <c r="B1034" s="4">
        <v>44616</v>
      </c>
      <c r="C1034">
        <v>21.1</v>
      </c>
      <c r="D1034" t="s">
        <v>96</v>
      </c>
      <c r="E1034">
        <f>_xlfn.XLOOKUP(D1034,Worksheet!$C$3:$C$32,Worksheet!$M$3:$M$32)</f>
        <v>116.9</v>
      </c>
      <c r="F1034" s="19">
        <f>_xlfn.XLOOKUP(D1034,Worksheet!$C$3:$C$32,Worksheet!$S$3:$S$32)</f>
        <v>0.32926829268292684</v>
      </c>
    </row>
    <row r="1035" spans="1:6" x14ac:dyDescent="0.2">
      <c r="A1035" t="s">
        <v>555</v>
      </c>
      <c r="B1035" s="4">
        <v>44619</v>
      </c>
      <c r="C1035">
        <v>22.7</v>
      </c>
      <c r="D1035" t="s">
        <v>49</v>
      </c>
      <c r="E1035">
        <f>_xlfn.XLOOKUP(D1035,Worksheet!$C$3:$C$32,Worksheet!$M$3:$M$32)</f>
        <v>109.4</v>
      </c>
      <c r="F1035" s="19">
        <f>_xlfn.XLOOKUP(D1035,Worksheet!$C$3:$C$32,Worksheet!$S$3:$S$32)</f>
        <v>0.63414634146341464</v>
      </c>
    </row>
    <row r="1036" spans="1:6" x14ac:dyDescent="0.2">
      <c r="A1036" t="s">
        <v>555</v>
      </c>
      <c r="B1036" s="4">
        <v>44621</v>
      </c>
      <c r="C1036">
        <v>21.5</v>
      </c>
      <c r="D1036" t="s">
        <v>80</v>
      </c>
      <c r="E1036">
        <f>_xlfn.XLOOKUP(D1036,Worksheet!$C$3:$C$32,Worksheet!$M$3:$M$32)</f>
        <v>111.7</v>
      </c>
      <c r="F1036" s="19">
        <f>_xlfn.XLOOKUP(D1036,Worksheet!$C$3:$C$32,Worksheet!$S$3:$S$32)</f>
        <v>0.56097560975609762</v>
      </c>
    </row>
    <row r="1037" spans="1:6" x14ac:dyDescent="0.2">
      <c r="A1037" t="s">
        <v>555</v>
      </c>
      <c r="B1037" s="4">
        <v>44623</v>
      </c>
      <c r="C1037">
        <v>18.3</v>
      </c>
      <c r="D1037" t="s">
        <v>49</v>
      </c>
      <c r="E1037">
        <f>_xlfn.XLOOKUP(D1037,Worksheet!$C$3:$C$32,Worksheet!$M$3:$M$32)</f>
        <v>109.4</v>
      </c>
      <c r="F1037" s="19">
        <f>_xlfn.XLOOKUP(D1037,Worksheet!$C$3:$C$32,Worksheet!$S$3:$S$32)</f>
        <v>0.63414634146341464</v>
      </c>
    </row>
    <row r="1038" spans="1:6" x14ac:dyDescent="0.2">
      <c r="A1038" t="s">
        <v>555</v>
      </c>
      <c r="B1038" s="4">
        <v>44625</v>
      </c>
      <c r="C1038">
        <v>17.7</v>
      </c>
      <c r="D1038" t="s">
        <v>62</v>
      </c>
      <c r="E1038">
        <f>_xlfn.XLOOKUP(D1038,Worksheet!$C$3:$C$32,Worksheet!$M$3:$M$32)</f>
        <v>113.3</v>
      </c>
      <c r="F1038" s="19">
        <f>_xlfn.XLOOKUP(D1038,Worksheet!$C$3:$C$32,Worksheet!$S$3:$S$32)</f>
        <v>0.40243902439024393</v>
      </c>
    </row>
    <row r="1039" spans="1:6" x14ac:dyDescent="0.2">
      <c r="A1039" t="s">
        <v>555</v>
      </c>
      <c r="B1039" s="4">
        <v>44627</v>
      </c>
      <c r="C1039" t="s">
        <v>91</v>
      </c>
      <c r="D1039" t="s">
        <v>34</v>
      </c>
      <c r="E1039">
        <f>_xlfn.XLOOKUP(D1039,Worksheet!$C$3:$C$32,Worksheet!$M$3:$M$32)</f>
        <v>112.1</v>
      </c>
      <c r="F1039" s="19">
        <f>_xlfn.XLOOKUP(D1039,Worksheet!$C$3:$C$32,Worksheet!$S$3:$S$32)</f>
        <v>0.58536585365853655</v>
      </c>
    </row>
    <row r="1040" spans="1:6" x14ac:dyDescent="0.2">
      <c r="A1040" t="s">
        <v>555</v>
      </c>
      <c r="B1040" s="4">
        <v>44628</v>
      </c>
      <c r="C1040">
        <v>11</v>
      </c>
      <c r="D1040" t="s">
        <v>64</v>
      </c>
      <c r="E1040">
        <f>_xlfn.XLOOKUP(D1040,Worksheet!$C$3:$C$32,Worksheet!$M$3:$M$32)</f>
        <v>110.1</v>
      </c>
      <c r="F1040" s="19">
        <f>_xlfn.XLOOKUP(D1040,Worksheet!$C$3:$C$32,Worksheet!$S$3:$S$32)</f>
        <v>0.51219512195121952</v>
      </c>
    </row>
    <row r="1041" spans="1:6" x14ac:dyDescent="0.2">
      <c r="A1041" t="s">
        <v>555</v>
      </c>
      <c r="B1041" s="4">
        <v>44630</v>
      </c>
      <c r="C1041">
        <v>28.1</v>
      </c>
      <c r="D1041" t="s">
        <v>34</v>
      </c>
      <c r="E1041">
        <f>_xlfn.XLOOKUP(D1041,Worksheet!$C$3:$C$32,Worksheet!$M$3:$M$32)</f>
        <v>112.1</v>
      </c>
      <c r="F1041" s="19">
        <f>_xlfn.XLOOKUP(D1041,Worksheet!$C$3:$C$32,Worksheet!$S$3:$S$32)</f>
        <v>0.58536585365853655</v>
      </c>
    </row>
    <row r="1042" spans="1:6" x14ac:dyDescent="0.2">
      <c r="A1042" t="s">
        <v>555</v>
      </c>
      <c r="B1042" s="4">
        <v>44632</v>
      </c>
      <c r="C1042">
        <v>9.1</v>
      </c>
      <c r="D1042" t="s">
        <v>126</v>
      </c>
      <c r="E1042">
        <f>_xlfn.XLOOKUP(D1042,Worksheet!$C$3:$C$32,Worksheet!$M$3:$M$32)</f>
        <v>111.8</v>
      </c>
      <c r="F1042" s="19">
        <f>_xlfn.XLOOKUP(D1042,Worksheet!$C$3:$C$32,Worksheet!$S$3:$S$32)</f>
        <v>0.62195121951219512</v>
      </c>
    </row>
    <row r="1043" spans="1:6" x14ac:dyDescent="0.2">
      <c r="A1043" t="s">
        <v>555</v>
      </c>
      <c r="B1043" s="4">
        <v>44634</v>
      </c>
      <c r="C1043">
        <v>40.5</v>
      </c>
      <c r="D1043" t="s">
        <v>155</v>
      </c>
      <c r="E1043">
        <f>_xlfn.XLOOKUP(D1043,Worksheet!$C$3:$C$32,Worksheet!$M$3:$M$32)</f>
        <v>114.5</v>
      </c>
      <c r="F1043" s="19">
        <f>_xlfn.XLOOKUP(D1043,Worksheet!$C$3:$C$32,Worksheet!$S$3:$S$32)</f>
        <v>0.42682926829268292</v>
      </c>
    </row>
    <row r="1044" spans="1:6" x14ac:dyDescent="0.2">
      <c r="A1044" t="s">
        <v>555</v>
      </c>
      <c r="B1044" s="4">
        <v>44636</v>
      </c>
      <c r="C1044">
        <v>-2.5</v>
      </c>
      <c r="D1044" t="s">
        <v>55</v>
      </c>
      <c r="E1044">
        <f>_xlfn.XLOOKUP(D1044,Worksheet!$C$3:$C$32,Worksheet!$M$3:$M$32)</f>
        <v>106.9</v>
      </c>
      <c r="F1044" s="19">
        <f>_xlfn.XLOOKUP(D1044,Worksheet!$C$3:$C$32,Worksheet!$S$3:$S$32)</f>
        <v>0.62195121951219512</v>
      </c>
    </row>
    <row r="1045" spans="1:6" x14ac:dyDescent="0.2">
      <c r="A1045" t="s">
        <v>555</v>
      </c>
      <c r="B1045" s="4">
        <v>44640</v>
      </c>
      <c r="C1045" t="s">
        <v>91</v>
      </c>
      <c r="D1045" t="s">
        <v>102</v>
      </c>
      <c r="E1045">
        <f>_xlfn.XLOOKUP(D1045,Worksheet!$C$3:$C$32,Worksheet!$M$3:$M$32)</f>
        <v>112.3</v>
      </c>
      <c r="F1045" s="19">
        <f>_xlfn.XLOOKUP(D1045,Worksheet!$C$3:$C$32,Worksheet!$S$3:$S$32)</f>
        <v>0.41463414634146339</v>
      </c>
    </row>
    <row r="1046" spans="1:6" x14ac:dyDescent="0.2">
      <c r="A1046" t="s">
        <v>555</v>
      </c>
      <c r="B1046" s="4">
        <v>44642</v>
      </c>
      <c r="C1046" t="s">
        <v>91</v>
      </c>
      <c r="D1046" t="s">
        <v>104</v>
      </c>
      <c r="E1046">
        <f>_xlfn.XLOOKUP(D1046,Worksheet!$C$3:$C$32,Worksheet!$M$3:$M$32)</f>
        <v>112.5</v>
      </c>
      <c r="F1046" s="19">
        <f>_xlfn.XLOOKUP(D1046,Worksheet!$C$3:$C$32,Worksheet!$S$3:$S$32)</f>
        <v>0.26829268292682928</v>
      </c>
    </row>
    <row r="1047" spans="1:6" x14ac:dyDescent="0.2">
      <c r="A1047" t="s">
        <v>555</v>
      </c>
      <c r="B1047" s="4">
        <v>44643</v>
      </c>
      <c r="C1047" t="s">
        <v>91</v>
      </c>
      <c r="D1047" t="s">
        <v>120</v>
      </c>
      <c r="E1047">
        <f>_xlfn.XLOOKUP(D1047,Worksheet!$C$3:$C$32,Worksheet!$M$3:$M$32)</f>
        <v>109.1</v>
      </c>
      <c r="F1047" s="19">
        <f>_xlfn.XLOOKUP(D1047,Worksheet!$C$3:$C$32,Worksheet!$S$3:$S$32)</f>
        <v>0.64634146341463417</v>
      </c>
    </row>
    <row r="1048" spans="1:6" x14ac:dyDescent="0.2">
      <c r="A1048" t="s">
        <v>555</v>
      </c>
      <c r="B1048" s="4">
        <v>44645</v>
      </c>
      <c r="C1048" t="s">
        <v>91</v>
      </c>
      <c r="D1048" t="s">
        <v>78</v>
      </c>
      <c r="E1048">
        <f>_xlfn.XLOOKUP(D1048,Worksheet!$C$3:$C$32,Worksheet!$M$3:$M$32)</f>
        <v>114.9</v>
      </c>
      <c r="F1048" s="19">
        <f>_xlfn.XLOOKUP(D1048,Worksheet!$C$3:$C$32,Worksheet!$S$3:$S$32)</f>
        <v>0.52439024390243905</v>
      </c>
    </row>
    <row r="1049" spans="1:6" x14ac:dyDescent="0.2">
      <c r="A1049" t="s">
        <v>555</v>
      </c>
      <c r="B1049" s="4">
        <v>44647</v>
      </c>
      <c r="C1049" t="s">
        <v>91</v>
      </c>
      <c r="D1049" t="s">
        <v>155</v>
      </c>
      <c r="E1049">
        <f>_xlfn.XLOOKUP(D1049,Worksheet!$C$3:$C$32,Worksheet!$M$3:$M$32)</f>
        <v>114.5</v>
      </c>
      <c r="F1049" s="19">
        <f>_xlfn.XLOOKUP(D1049,Worksheet!$C$3:$C$32,Worksheet!$S$3:$S$32)</f>
        <v>0.42682926829268292</v>
      </c>
    </row>
    <row r="1050" spans="1:6" x14ac:dyDescent="0.2">
      <c r="A1050" t="s">
        <v>555</v>
      </c>
      <c r="B1050" s="4">
        <v>44648</v>
      </c>
      <c r="C1050" t="s">
        <v>91</v>
      </c>
      <c r="D1050" t="s">
        <v>42</v>
      </c>
      <c r="E1050">
        <f>_xlfn.XLOOKUP(D1050,Worksheet!$C$3:$C$32,Worksheet!$M$3:$M$32)</f>
        <v>109</v>
      </c>
      <c r="F1050" s="19">
        <f>_xlfn.XLOOKUP(D1050,Worksheet!$C$3:$C$32,Worksheet!$S$3:$S$32)</f>
        <v>0.68292682926829273</v>
      </c>
    </row>
    <row r="1051" spans="1:6" x14ac:dyDescent="0.2">
      <c r="A1051" t="s">
        <v>555</v>
      </c>
      <c r="B1051" s="4">
        <v>44650</v>
      </c>
      <c r="C1051" t="s">
        <v>91</v>
      </c>
      <c r="D1051" t="s">
        <v>99</v>
      </c>
      <c r="E1051">
        <f>_xlfn.XLOOKUP(D1051,Worksheet!$C$3:$C$32,Worksheet!$M$3:$M$32)</f>
        <v>107.3</v>
      </c>
      <c r="F1051" s="19">
        <f>_xlfn.XLOOKUP(D1051,Worksheet!$C$3:$C$32,Worksheet!$S$3:$S$32)</f>
        <v>0.78048780487804881</v>
      </c>
    </row>
    <row r="1052" spans="1:6" x14ac:dyDescent="0.2">
      <c r="A1052" t="s">
        <v>555</v>
      </c>
      <c r="B1052" s="4">
        <v>44653</v>
      </c>
      <c r="C1052" t="s">
        <v>91</v>
      </c>
      <c r="D1052" t="s">
        <v>118</v>
      </c>
      <c r="E1052">
        <f>_xlfn.XLOOKUP(D1052,Worksheet!$C$3:$C$32,Worksheet!$M$3:$M$32)</f>
        <v>110.5</v>
      </c>
      <c r="F1052" s="19">
        <f>_xlfn.XLOOKUP(D1052,Worksheet!$C$3:$C$32,Worksheet!$S$3:$S$32)</f>
        <v>0.59756097560975607</v>
      </c>
    </row>
    <row r="1053" spans="1:6" x14ac:dyDescent="0.2">
      <c r="A1053" t="s">
        <v>555</v>
      </c>
      <c r="B1053" s="4">
        <v>44654</v>
      </c>
      <c r="C1053" t="s">
        <v>91</v>
      </c>
      <c r="D1053" t="s">
        <v>66</v>
      </c>
      <c r="E1053">
        <f>_xlfn.XLOOKUP(D1053,Worksheet!$C$3:$C$32,Worksheet!$M$3:$M$32)</f>
        <v>115.3</v>
      </c>
      <c r="F1053" s="19">
        <f>_xlfn.XLOOKUP(D1053,Worksheet!$C$3:$C$32,Worksheet!$S$3:$S$32)</f>
        <v>0.36585365853658536</v>
      </c>
    </row>
    <row r="1054" spans="1:6" x14ac:dyDescent="0.2">
      <c r="A1054" t="s">
        <v>555</v>
      </c>
      <c r="B1054" s="4">
        <v>44658</v>
      </c>
      <c r="C1054" t="s">
        <v>91</v>
      </c>
      <c r="D1054" t="s">
        <v>62</v>
      </c>
      <c r="E1054">
        <f>_xlfn.XLOOKUP(D1054,Worksheet!$C$3:$C$32,Worksheet!$M$3:$M$32)</f>
        <v>113.3</v>
      </c>
      <c r="F1054" s="19">
        <f>_xlfn.XLOOKUP(D1054,Worksheet!$C$3:$C$32,Worksheet!$S$3:$S$32)</f>
        <v>0.40243902439024393</v>
      </c>
    </row>
    <row r="1055" spans="1:6" x14ac:dyDescent="0.2">
      <c r="A1055" t="s">
        <v>555</v>
      </c>
      <c r="B1055" s="4">
        <v>44660</v>
      </c>
      <c r="C1055" t="s">
        <v>91</v>
      </c>
      <c r="D1055" t="s">
        <v>102</v>
      </c>
      <c r="E1055">
        <f>_xlfn.XLOOKUP(D1055,Worksheet!$C$3:$C$32,Worksheet!$M$3:$M$32)</f>
        <v>112.3</v>
      </c>
      <c r="F1055" s="19">
        <f>_xlfn.XLOOKUP(D1055,Worksheet!$C$3:$C$32,Worksheet!$S$3:$S$32)</f>
        <v>0.41463414634146339</v>
      </c>
    </row>
    <row r="1056" spans="1:6" x14ac:dyDescent="0.2">
      <c r="A1056" t="s">
        <v>555</v>
      </c>
      <c r="B1056" s="4">
        <v>44661</v>
      </c>
      <c r="C1056" t="s">
        <v>91</v>
      </c>
      <c r="D1056" t="s">
        <v>74</v>
      </c>
      <c r="E1056">
        <f>_xlfn.XLOOKUP(D1056,Worksheet!$C$3:$C$32,Worksheet!$M$3:$M$32)</f>
        <v>113</v>
      </c>
      <c r="F1056" s="19">
        <f>_xlfn.XLOOKUP(D1056,Worksheet!$C$3:$C$32,Worksheet!$S$3:$S$32)</f>
        <v>0.43902439024390244</v>
      </c>
    </row>
    <row r="1057" spans="1:6" x14ac:dyDescent="0.2">
      <c r="A1057" t="s">
        <v>556</v>
      </c>
      <c r="B1057" s="4">
        <v>44488</v>
      </c>
      <c r="C1057" t="s">
        <v>91</v>
      </c>
      <c r="D1057" t="s">
        <v>126</v>
      </c>
      <c r="E1057">
        <f>_xlfn.XLOOKUP(D1057,Worksheet!$C$3:$C$32,Worksheet!$M$3:$M$32)</f>
        <v>111.8</v>
      </c>
      <c r="F1057" s="19">
        <f>_xlfn.XLOOKUP(D1057,Worksheet!$C$3:$C$32,Worksheet!$S$3:$S$32)</f>
        <v>0.62195121951219512</v>
      </c>
    </row>
    <row r="1058" spans="1:6" x14ac:dyDescent="0.2">
      <c r="A1058" t="s">
        <v>556</v>
      </c>
      <c r="B1058" s="4">
        <v>44491</v>
      </c>
      <c r="C1058" t="s">
        <v>91</v>
      </c>
      <c r="D1058" t="s">
        <v>94</v>
      </c>
      <c r="E1058">
        <f>_xlfn.XLOOKUP(D1058,Worksheet!$C$3:$C$32,Worksheet!$M$3:$M$32)</f>
        <v>110.8</v>
      </c>
      <c r="F1058" s="19">
        <f>_xlfn.XLOOKUP(D1058,Worksheet!$C$3:$C$32,Worksheet!$S$3:$S$32)</f>
        <v>0.62195121951219512</v>
      </c>
    </row>
    <row r="1059" spans="1:6" x14ac:dyDescent="0.2">
      <c r="A1059" t="s">
        <v>556</v>
      </c>
      <c r="B1059" s="4">
        <v>44493</v>
      </c>
      <c r="C1059" t="s">
        <v>91</v>
      </c>
      <c r="D1059" t="s">
        <v>72</v>
      </c>
      <c r="E1059">
        <f>_xlfn.XLOOKUP(D1059,Worksheet!$C$3:$C$32,Worksheet!$M$3:$M$32)</f>
        <v>113.7</v>
      </c>
      <c r="F1059" s="19">
        <f>_xlfn.XLOOKUP(D1059,Worksheet!$C$3:$C$32,Worksheet!$S$3:$S$32)</f>
        <v>0.52439024390243905</v>
      </c>
    </row>
    <row r="1060" spans="1:6" x14ac:dyDescent="0.2">
      <c r="A1060" t="s">
        <v>556</v>
      </c>
      <c r="B1060" s="4">
        <v>44494</v>
      </c>
      <c r="C1060" t="s">
        <v>91</v>
      </c>
      <c r="D1060" t="s">
        <v>155</v>
      </c>
      <c r="E1060">
        <f>_xlfn.XLOOKUP(D1060,Worksheet!$C$3:$C$32,Worksheet!$M$3:$M$32)</f>
        <v>114.5</v>
      </c>
      <c r="F1060" s="19">
        <f>_xlfn.XLOOKUP(D1060,Worksheet!$C$3:$C$32,Worksheet!$S$3:$S$32)</f>
        <v>0.42682926829268292</v>
      </c>
    </row>
    <row r="1061" spans="1:6" x14ac:dyDescent="0.2">
      <c r="A1061" t="s">
        <v>556</v>
      </c>
      <c r="B1061" s="4">
        <v>44496</v>
      </c>
      <c r="C1061" t="s">
        <v>91</v>
      </c>
      <c r="D1061" t="s">
        <v>120</v>
      </c>
      <c r="E1061">
        <f>_xlfn.XLOOKUP(D1061,Worksheet!$C$3:$C$32,Worksheet!$M$3:$M$32)</f>
        <v>109.1</v>
      </c>
      <c r="F1061" s="19">
        <f>_xlfn.XLOOKUP(D1061,Worksheet!$C$3:$C$32,Worksheet!$S$3:$S$32)</f>
        <v>0.64634146341463417</v>
      </c>
    </row>
    <row r="1062" spans="1:6" x14ac:dyDescent="0.2">
      <c r="A1062" t="s">
        <v>556</v>
      </c>
      <c r="B1062" s="4">
        <v>44498</v>
      </c>
      <c r="C1062" t="s">
        <v>91</v>
      </c>
      <c r="D1062" t="s">
        <v>108</v>
      </c>
      <c r="E1062">
        <f>_xlfn.XLOOKUP(D1062,Worksheet!$C$3:$C$32,Worksheet!$M$3:$M$32)</f>
        <v>116.1</v>
      </c>
      <c r="F1062" s="19">
        <f>_xlfn.XLOOKUP(D1062,Worksheet!$C$3:$C$32,Worksheet!$S$3:$S$32)</f>
        <v>0.3048780487804878</v>
      </c>
    </row>
    <row r="1063" spans="1:6" x14ac:dyDescent="0.2">
      <c r="A1063" t="s">
        <v>556</v>
      </c>
      <c r="B1063" s="4">
        <v>44500</v>
      </c>
      <c r="C1063" t="s">
        <v>91</v>
      </c>
      <c r="D1063" t="s">
        <v>89</v>
      </c>
      <c r="E1063">
        <f>_xlfn.XLOOKUP(D1063,Worksheet!$C$3:$C$32,Worksheet!$M$3:$M$32)</f>
        <v>113.8</v>
      </c>
      <c r="F1063" s="19">
        <f>_xlfn.XLOOKUP(D1063,Worksheet!$C$3:$C$32,Worksheet!$S$3:$S$32)</f>
        <v>0.28048780487804881</v>
      </c>
    </row>
    <row r="1064" spans="1:6" x14ac:dyDescent="0.2">
      <c r="A1064" t="s">
        <v>556</v>
      </c>
      <c r="B1064" s="4">
        <v>44503</v>
      </c>
      <c r="C1064" t="s">
        <v>91</v>
      </c>
      <c r="D1064" t="s">
        <v>78</v>
      </c>
      <c r="E1064">
        <f>_xlfn.XLOOKUP(D1064,Worksheet!$C$3:$C$32,Worksheet!$M$3:$M$32)</f>
        <v>114.9</v>
      </c>
      <c r="F1064" s="19">
        <f>_xlfn.XLOOKUP(D1064,Worksheet!$C$3:$C$32,Worksheet!$S$3:$S$32)</f>
        <v>0.52439024390243905</v>
      </c>
    </row>
    <row r="1065" spans="1:6" x14ac:dyDescent="0.2">
      <c r="A1065" t="s">
        <v>556</v>
      </c>
      <c r="B1065" s="4">
        <v>44505</v>
      </c>
      <c r="C1065" t="s">
        <v>91</v>
      </c>
      <c r="D1065" t="s">
        <v>89</v>
      </c>
      <c r="E1065">
        <f>_xlfn.XLOOKUP(D1065,Worksheet!$C$3:$C$32,Worksheet!$M$3:$M$32)</f>
        <v>113.8</v>
      </c>
      <c r="F1065" s="19">
        <f>_xlfn.XLOOKUP(D1065,Worksheet!$C$3:$C$32,Worksheet!$S$3:$S$32)</f>
        <v>0.28048780487804881</v>
      </c>
    </row>
    <row r="1066" spans="1:6" x14ac:dyDescent="0.2">
      <c r="A1066" t="s">
        <v>556</v>
      </c>
      <c r="B1066" s="4">
        <v>44507</v>
      </c>
      <c r="C1066" t="s">
        <v>91</v>
      </c>
      <c r="D1066" t="s">
        <v>92</v>
      </c>
      <c r="E1066">
        <f>_xlfn.XLOOKUP(D1066,Worksheet!$C$3:$C$32,Worksheet!$M$3:$M$32)</f>
        <v>110.5</v>
      </c>
      <c r="F1066" s="19">
        <f>_xlfn.XLOOKUP(D1066,Worksheet!$C$3:$C$32,Worksheet!$S$3:$S$32)</f>
        <v>0.58536585365853655</v>
      </c>
    </row>
    <row r="1067" spans="1:6" x14ac:dyDescent="0.2">
      <c r="A1067" t="s">
        <v>556</v>
      </c>
      <c r="B1067" s="4">
        <v>44508</v>
      </c>
      <c r="C1067" t="s">
        <v>91</v>
      </c>
      <c r="D1067" t="s">
        <v>82</v>
      </c>
      <c r="E1067">
        <f>_xlfn.XLOOKUP(D1067,Worksheet!$C$3:$C$32,Worksheet!$M$3:$M$32)</f>
        <v>113.6</v>
      </c>
      <c r="F1067" s="19">
        <f>_xlfn.XLOOKUP(D1067,Worksheet!$C$3:$C$32,Worksheet!$S$3:$S$32)</f>
        <v>0.56097560975609762</v>
      </c>
    </row>
    <row r="1068" spans="1:6" x14ac:dyDescent="0.2">
      <c r="A1068" t="s">
        <v>556</v>
      </c>
      <c r="B1068" s="4">
        <v>44510</v>
      </c>
      <c r="C1068" t="s">
        <v>91</v>
      </c>
      <c r="D1068" t="s">
        <v>104</v>
      </c>
      <c r="E1068">
        <f>_xlfn.XLOOKUP(D1068,Worksheet!$C$3:$C$32,Worksheet!$M$3:$M$32)</f>
        <v>112.5</v>
      </c>
      <c r="F1068" s="19">
        <f>_xlfn.XLOOKUP(D1068,Worksheet!$C$3:$C$32,Worksheet!$S$3:$S$32)</f>
        <v>0.26829268292682928</v>
      </c>
    </row>
    <row r="1069" spans="1:6" x14ac:dyDescent="0.2">
      <c r="A1069" t="s">
        <v>556</v>
      </c>
      <c r="B1069" s="4">
        <v>44512</v>
      </c>
      <c r="C1069" t="s">
        <v>91</v>
      </c>
      <c r="D1069" t="s">
        <v>74</v>
      </c>
      <c r="E1069">
        <f>_xlfn.XLOOKUP(D1069,Worksheet!$C$3:$C$32,Worksheet!$M$3:$M$32)</f>
        <v>113</v>
      </c>
      <c r="F1069" s="19">
        <f>_xlfn.XLOOKUP(D1069,Worksheet!$C$3:$C$32,Worksheet!$S$3:$S$32)</f>
        <v>0.43902439024390244</v>
      </c>
    </row>
    <row r="1070" spans="1:6" x14ac:dyDescent="0.2">
      <c r="A1070" t="s">
        <v>556</v>
      </c>
      <c r="B1070" s="4">
        <v>44514</v>
      </c>
      <c r="C1070" t="s">
        <v>91</v>
      </c>
      <c r="D1070" t="s">
        <v>68</v>
      </c>
      <c r="E1070">
        <f>_xlfn.XLOOKUP(D1070,Worksheet!$C$3:$C$32,Worksheet!$M$3:$M$32)</f>
        <v>112.8</v>
      </c>
      <c r="F1070" s="19">
        <f>_xlfn.XLOOKUP(D1070,Worksheet!$C$3:$C$32,Worksheet!$S$3:$S$32)</f>
        <v>0.29268292682926828</v>
      </c>
    </row>
    <row r="1071" spans="1:6" x14ac:dyDescent="0.2">
      <c r="A1071" t="s">
        <v>556</v>
      </c>
      <c r="B1071" s="4">
        <v>44516</v>
      </c>
      <c r="C1071" t="s">
        <v>91</v>
      </c>
      <c r="D1071" t="s">
        <v>33</v>
      </c>
      <c r="E1071">
        <f>_xlfn.XLOOKUP(D1071,Worksheet!$C$3:$C$32,Worksheet!$M$3:$M$32)</f>
        <v>106.9</v>
      </c>
      <c r="F1071" s="19">
        <f>_xlfn.XLOOKUP(D1071,Worksheet!$C$3:$C$32,Worksheet!$S$3:$S$32)</f>
        <v>0.64634146341463417</v>
      </c>
    </row>
    <row r="1072" spans="1:6" x14ac:dyDescent="0.2">
      <c r="A1072" t="s">
        <v>556</v>
      </c>
      <c r="B1072" s="4">
        <v>44517</v>
      </c>
      <c r="C1072" t="s">
        <v>91</v>
      </c>
      <c r="D1072" t="s">
        <v>87</v>
      </c>
      <c r="E1072">
        <f>_xlfn.XLOOKUP(D1072,Worksheet!$C$3:$C$32,Worksheet!$M$3:$M$32)</f>
        <v>109.7</v>
      </c>
      <c r="F1072" s="19">
        <f>_xlfn.XLOOKUP(D1072,Worksheet!$C$3:$C$32,Worksheet!$S$3:$S$32)</f>
        <v>0.53658536585365857</v>
      </c>
    </row>
    <row r="1073" spans="1:6" x14ac:dyDescent="0.2">
      <c r="A1073" t="s">
        <v>556</v>
      </c>
      <c r="B1073" s="4">
        <v>44519</v>
      </c>
      <c r="C1073" t="s">
        <v>91</v>
      </c>
      <c r="D1073" t="s">
        <v>104</v>
      </c>
      <c r="E1073">
        <f>_xlfn.XLOOKUP(D1073,Worksheet!$C$3:$C$32,Worksheet!$M$3:$M$32)</f>
        <v>112.5</v>
      </c>
      <c r="F1073" s="19">
        <f>_xlfn.XLOOKUP(D1073,Worksheet!$C$3:$C$32,Worksheet!$S$3:$S$32)</f>
        <v>0.26829268292682928</v>
      </c>
    </row>
    <row r="1074" spans="1:6" x14ac:dyDescent="0.2">
      <c r="A1074" t="s">
        <v>556</v>
      </c>
      <c r="B1074" s="4">
        <v>44522</v>
      </c>
      <c r="C1074" t="s">
        <v>91</v>
      </c>
      <c r="D1074" t="s">
        <v>87</v>
      </c>
      <c r="E1074">
        <f>_xlfn.XLOOKUP(D1074,Worksheet!$C$3:$C$32,Worksheet!$M$3:$M$32)</f>
        <v>109.7</v>
      </c>
      <c r="F1074" s="19">
        <f>_xlfn.XLOOKUP(D1074,Worksheet!$C$3:$C$32,Worksheet!$S$3:$S$32)</f>
        <v>0.53658536585365857</v>
      </c>
    </row>
    <row r="1075" spans="1:6" x14ac:dyDescent="0.2">
      <c r="A1075" t="s">
        <v>556</v>
      </c>
      <c r="B1075" s="4">
        <v>44524</v>
      </c>
      <c r="C1075" t="s">
        <v>91</v>
      </c>
      <c r="D1075" t="s">
        <v>55</v>
      </c>
      <c r="E1075">
        <f>_xlfn.XLOOKUP(D1075,Worksheet!$C$3:$C$32,Worksheet!$M$3:$M$32)</f>
        <v>106.9</v>
      </c>
      <c r="F1075" s="19">
        <f>_xlfn.XLOOKUP(D1075,Worksheet!$C$3:$C$32,Worksheet!$S$3:$S$32)</f>
        <v>0.62195121951219512</v>
      </c>
    </row>
    <row r="1076" spans="1:6" x14ac:dyDescent="0.2">
      <c r="A1076" t="s">
        <v>556</v>
      </c>
      <c r="B1076" s="4">
        <v>44527</v>
      </c>
      <c r="C1076" t="s">
        <v>91</v>
      </c>
      <c r="D1076" t="s">
        <v>99</v>
      </c>
      <c r="E1076">
        <f>_xlfn.XLOOKUP(D1076,Worksheet!$C$3:$C$32,Worksheet!$M$3:$M$32)</f>
        <v>107.3</v>
      </c>
      <c r="F1076" s="19">
        <f>_xlfn.XLOOKUP(D1076,Worksheet!$C$3:$C$32,Worksheet!$S$3:$S$32)</f>
        <v>0.78048780487804881</v>
      </c>
    </row>
    <row r="1077" spans="1:6" x14ac:dyDescent="0.2">
      <c r="A1077" t="s">
        <v>556</v>
      </c>
      <c r="B1077" s="4">
        <v>44530</v>
      </c>
      <c r="C1077" t="s">
        <v>91</v>
      </c>
      <c r="D1077" t="s">
        <v>110</v>
      </c>
      <c r="E1077">
        <f>_xlfn.XLOOKUP(D1077,Worksheet!$C$3:$C$32,Worksheet!$M$3:$M$32)</f>
        <v>110.5</v>
      </c>
      <c r="F1077" s="19">
        <f>_xlfn.XLOOKUP(D1077,Worksheet!$C$3:$C$32,Worksheet!$S$3:$S$32)</f>
        <v>0.45121951219512196</v>
      </c>
    </row>
    <row r="1078" spans="1:6" x14ac:dyDescent="0.2">
      <c r="A1078" t="s">
        <v>556</v>
      </c>
      <c r="B1078" s="4">
        <v>44533</v>
      </c>
      <c r="C1078" t="s">
        <v>91</v>
      </c>
      <c r="D1078" t="s">
        <v>80</v>
      </c>
      <c r="E1078">
        <f>_xlfn.XLOOKUP(D1078,Worksheet!$C$3:$C$32,Worksheet!$M$3:$M$32)</f>
        <v>111.7</v>
      </c>
      <c r="F1078" s="19">
        <f>_xlfn.XLOOKUP(D1078,Worksheet!$C$3:$C$32,Worksheet!$S$3:$S$32)</f>
        <v>0.56097560975609762</v>
      </c>
    </row>
    <row r="1079" spans="1:6" x14ac:dyDescent="0.2">
      <c r="A1079" t="s">
        <v>556</v>
      </c>
      <c r="B1079" s="4">
        <v>44534</v>
      </c>
      <c r="C1079" t="s">
        <v>91</v>
      </c>
      <c r="D1079" t="s">
        <v>82</v>
      </c>
      <c r="E1079">
        <f>_xlfn.XLOOKUP(D1079,Worksheet!$C$3:$C$32,Worksheet!$M$3:$M$32)</f>
        <v>113.6</v>
      </c>
      <c r="F1079" s="19">
        <f>_xlfn.XLOOKUP(D1079,Worksheet!$C$3:$C$32,Worksheet!$S$3:$S$32)</f>
        <v>0.56097560975609762</v>
      </c>
    </row>
    <row r="1080" spans="1:6" x14ac:dyDescent="0.2">
      <c r="A1080" t="s">
        <v>556</v>
      </c>
      <c r="B1080" s="4">
        <v>44537</v>
      </c>
      <c r="C1080" t="s">
        <v>91</v>
      </c>
      <c r="D1080" t="s">
        <v>49</v>
      </c>
      <c r="E1080">
        <f>_xlfn.XLOOKUP(D1080,Worksheet!$C$3:$C$32,Worksheet!$M$3:$M$32)</f>
        <v>109.4</v>
      </c>
      <c r="F1080" s="19">
        <f>_xlfn.XLOOKUP(D1080,Worksheet!$C$3:$C$32,Worksheet!$S$3:$S$32)</f>
        <v>0.63414634146341464</v>
      </c>
    </row>
    <row r="1081" spans="1:6" x14ac:dyDescent="0.2">
      <c r="A1081" t="s">
        <v>556</v>
      </c>
      <c r="B1081" s="4">
        <v>44538</v>
      </c>
      <c r="C1081" t="s">
        <v>91</v>
      </c>
      <c r="D1081" t="s">
        <v>76</v>
      </c>
      <c r="E1081">
        <f>_xlfn.XLOOKUP(D1081,Worksheet!$C$3:$C$32,Worksheet!$M$3:$M$32)</f>
        <v>116.7</v>
      </c>
      <c r="F1081" s="19">
        <f>_xlfn.XLOOKUP(D1081,Worksheet!$C$3:$C$32,Worksheet!$S$3:$S$32)</f>
        <v>0.24390243902439024</v>
      </c>
    </row>
    <row r="1082" spans="1:6" x14ac:dyDescent="0.2">
      <c r="A1082" t="s">
        <v>556</v>
      </c>
      <c r="B1082" s="4">
        <v>44540</v>
      </c>
      <c r="C1082" t="s">
        <v>91</v>
      </c>
      <c r="D1082" t="s">
        <v>78</v>
      </c>
      <c r="E1082">
        <f>_xlfn.XLOOKUP(D1082,Worksheet!$C$3:$C$32,Worksheet!$M$3:$M$32)</f>
        <v>114.9</v>
      </c>
      <c r="F1082" s="19">
        <f>_xlfn.XLOOKUP(D1082,Worksheet!$C$3:$C$32,Worksheet!$S$3:$S$32)</f>
        <v>0.52439024390243905</v>
      </c>
    </row>
    <row r="1083" spans="1:6" x14ac:dyDescent="0.2">
      <c r="A1083" t="s">
        <v>556</v>
      </c>
      <c r="B1083" s="4">
        <v>44542</v>
      </c>
      <c r="C1083" t="s">
        <v>91</v>
      </c>
      <c r="D1083" t="s">
        <v>89</v>
      </c>
      <c r="E1083">
        <f>_xlfn.XLOOKUP(D1083,Worksheet!$C$3:$C$32,Worksheet!$M$3:$M$32)</f>
        <v>113.8</v>
      </c>
      <c r="F1083" s="19">
        <f>_xlfn.XLOOKUP(D1083,Worksheet!$C$3:$C$32,Worksheet!$S$3:$S$32)</f>
        <v>0.28048780487804881</v>
      </c>
    </row>
    <row r="1084" spans="1:6" x14ac:dyDescent="0.2">
      <c r="A1084" t="s">
        <v>556</v>
      </c>
      <c r="B1084" s="4">
        <v>44544</v>
      </c>
      <c r="C1084" t="s">
        <v>91</v>
      </c>
      <c r="D1084" t="s">
        <v>92</v>
      </c>
      <c r="E1084">
        <f>_xlfn.XLOOKUP(D1084,Worksheet!$C$3:$C$32,Worksheet!$M$3:$M$32)</f>
        <v>110.5</v>
      </c>
      <c r="F1084" s="19">
        <f>_xlfn.XLOOKUP(D1084,Worksheet!$C$3:$C$32,Worksheet!$S$3:$S$32)</f>
        <v>0.58536585365853655</v>
      </c>
    </row>
    <row r="1085" spans="1:6" x14ac:dyDescent="0.2">
      <c r="A1085" t="s">
        <v>556</v>
      </c>
      <c r="B1085" s="4">
        <v>44546</v>
      </c>
      <c r="C1085" t="s">
        <v>91</v>
      </c>
      <c r="D1085" t="s">
        <v>94</v>
      </c>
      <c r="E1085">
        <f>_xlfn.XLOOKUP(D1085,Worksheet!$C$3:$C$32,Worksheet!$M$3:$M$32)</f>
        <v>110.8</v>
      </c>
      <c r="F1085" s="19">
        <f>_xlfn.XLOOKUP(D1085,Worksheet!$C$3:$C$32,Worksheet!$S$3:$S$32)</f>
        <v>0.62195121951219512</v>
      </c>
    </row>
    <row r="1086" spans="1:6" x14ac:dyDescent="0.2">
      <c r="A1086" t="s">
        <v>556</v>
      </c>
      <c r="B1086" s="4">
        <v>44548</v>
      </c>
      <c r="C1086" t="s">
        <v>91</v>
      </c>
      <c r="D1086" t="s">
        <v>104</v>
      </c>
      <c r="E1086">
        <f>_xlfn.XLOOKUP(D1086,Worksheet!$C$3:$C$32,Worksheet!$M$3:$M$32)</f>
        <v>112.5</v>
      </c>
      <c r="F1086" s="19">
        <f>_xlfn.XLOOKUP(D1086,Worksheet!$C$3:$C$32,Worksheet!$S$3:$S$32)</f>
        <v>0.26829268292682928</v>
      </c>
    </row>
    <row r="1087" spans="1:6" x14ac:dyDescent="0.2">
      <c r="A1087" t="s">
        <v>556</v>
      </c>
      <c r="B1087" s="4">
        <v>44555</v>
      </c>
      <c r="C1087" t="s">
        <v>91</v>
      </c>
      <c r="D1087" t="s">
        <v>62</v>
      </c>
      <c r="E1087">
        <f>_xlfn.XLOOKUP(D1087,Worksheet!$C$3:$C$32,Worksheet!$M$3:$M$32)</f>
        <v>113.3</v>
      </c>
      <c r="F1087" s="19">
        <f>_xlfn.XLOOKUP(D1087,Worksheet!$C$3:$C$32,Worksheet!$S$3:$S$32)</f>
        <v>0.40243902439024393</v>
      </c>
    </row>
    <row r="1088" spans="1:6" x14ac:dyDescent="0.2">
      <c r="A1088" t="s">
        <v>556</v>
      </c>
      <c r="B1088" s="4">
        <v>44557</v>
      </c>
      <c r="C1088" t="s">
        <v>91</v>
      </c>
      <c r="D1088" t="s">
        <v>64</v>
      </c>
      <c r="E1088">
        <f>_xlfn.XLOOKUP(D1088,Worksheet!$C$3:$C$32,Worksheet!$M$3:$M$32)</f>
        <v>110.1</v>
      </c>
      <c r="F1088" s="19">
        <f>_xlfn.XLOOKUP(D1088,Worksheet!$C$3:$C$32,Worksheet!$S$3:$S$32)</f>
        <v>0.51219512195121952</v>
      </c>
    </row>
    <row r="1089" spans="1:6" x14ac:dyDescent="0.2">
      <c r="A1089" t="s">
        <v>556</v>
      </c>
      <c r="B1089" s="4">
        <v>44560</v>
      </c>
      <c r="C1089" t="s">
        <v>91</v>
      </c>
      <c r="D1089" t="s">
        <v>94</v>
      </c>
      <c r="E1089">
        <f>_xlfn.XLOOKUP(D1089,Worksheet!$C$3:$C$32,Worksheet!$M$3:$M$32)</f>
        <v>110.8</v>
      </c>
      <c r="F1089" s="19">
        <f>_xlfn.XLOOKUP(D1089,Worksheet!$C$3:$C$32,Worksheet!$S$3:$S$32)</f>
        <v>0.62195121951219512</v>
      </c>
    </row>
    <row r="1090" spans="1:6" x14ac:dyDescent="0.2">
      <c r="A1090" t="s">
        <v>556</v>
      </c>
      <c r="B1090" s="4">
        <v>44562</v>
      </c>
      <c r="C1090" t="s">
        <v>91</v>
      </c>
      <c r="D1090" t="s">
        <v>64</v>
      </c>
      <c r="E1090">
        <f>_xlfn.XLOOKUP(D1090,Worksheet!$C$3:$C$32,Worksheet!$M$3:$M$32)</f>
        <v>110.1</v>
      </c>
      <c r="F1090" s="19">
        <f>_xlfn.XLOOKUP(D1090,Worksheet!$C$3:$C$32,Worksheet!$S$3:$S$32)</f>
        <v>0.51219512195121952</v>
      </c>
    </row>
    <row r="1091" spans="1:6" x14ac:dyDescent="0.2">
      <c r="A1091" t="s">
        <v>556</v>
      </c>
      <c r="B1091" s="4">
        <v>44564</v>
      </c>
      <c r="C1091" t="s">
        <v>91</v>
      </c>
      <c r="D1091" t="s">
        <v>42</v>
      </c>
      <c r="E1091">
        <f>_xlfn.XLOOKUP(D1091,Worksheet!$C$3:$C$32,Worksheet!$M$3:$M$32)</f>
        <v>109</v>
      </c>
      <c r="F1091" s="19">
        <f>_xlfn.XLOOKUP(D1091,Worksheet!$C$3:$C$32,Worksheet!$S$3:$S$32)</f>
        <v>0.68292682926829273</v>
      </c>
    </row>
    <row r="1092" spans="1:6" x14ac:dyDescent="0.2">
      <c r="A1092" t="s">
        <v>556</v>
      </c>
      <c r="B1092" s="4">
        <v>44566</v>
      </c>
      <c r="C1092">
        <v>17.899999999999999</v>
      </c>
      <c r="D1092" t="s">
        <v>108</v>
      </c>
      <c r="E1092">
        <f>_xlfn.XLOOKUP(D1092,Worksheet!$C$3:$C$32,Worksheet!$M$3:$M$32)</f>
        <v>116.1</v>
      </c>
      <c r="F1092" s="19">
        <f>_xlfn.XLOOKUP(D1092,Worksheet!$C$3:$C$32,Worksheet!$S$3:$S$32)</f>
        <v>0.3048780487804878</v>
      </c>
    </row>
    <row r="1093" spans="1:6" x14ac:dyDescent="0.2">
      <c r="A1093" t="s">
        <v>556</v>
      </c>
      <c r="B1093" s="4">
        <v>44568</v>
      </c>
      <c r="C1093" t="s">
        <v>91</v>
      </c>
      <c r="D1093" t="s">
        <v>126</v>
      </c>
      <c r="E1093">
        <f>_xlfn.XLOOKUP(D1093,Worksheet!$C$3:$C$32,Worksheet!$M$3:$M$32)</f>
        <v>111.8</v>
      </c>
      <c r="F1093" s="19">
        <f>_xlfn.XLOOKUP(D1093,Worksheet!$C$3:$C$32,Worksheet!$S$3:$S$32)</f>
        <v>0.62195121951219512</v>
      </c>
    </row>
    <row r="1094" spans="1:6" x14ac:dyDescent="0.2">
      <c r="A1094" t="s">
        <v>556</v>
      </c>
      <c r="B1094" s="4">
        <v>44570</v>
      </c>
      <c r="C1094" t="s">
        <v>91</v>
      </c>
      <c r="D1094" t="s">
        <v>102</v>
      </c>
      <c r="E1094">
        <f>_xlfn.XLOOKUP(D1094,Worksheet!$C$3:$C$32,Worksheet!$M$3:$M$32)</f>
        <v>112.3</v>
      </c>
      <c r="F1094" s="19">
        <f>_xlfn.XLOOKUP(D1094,Worksheet!$C$3:$C$32,Worksheet!$S$3:$S$32)</f>
        <v>0.41463414634146339</v>
      </c>
    </row>
    <row r="1095" spans="1:6" x14ac:dyDescent="0.2">
      <c r="A1095" t="s">
        <v>556</v>
      </c>
      <c r="B1095" s="4">
        <v>44571</v>
      </c>
      <c r="C1095">
        <v>13.4</v>
      </c>
      <c r="D1095" t="s">
        <v>96</v>
      </c>
      <c r="E1095">
        <f>_xlfn.XLOOKUP(D1095,Worksheet!$C$3:$C$32,Worksheet!$M$3:$M$32)</f>
        <v>116.9</v>
      </c>
      <c r="F1095" s="19">
        <f>_xlfn.XLOOKUP(D1095,Worksheet!$C$3:$C$32,Worksheet!$S$3:$S$32)</f>
        <v>0.32926829268292684</v>
      </c>
    </row>
    <row r="1096" spans="1:6" x14ac:dyDescent="0.2">
      <c r="A1096" t="s">
        <v>556</v>
      </c>
      <c r="B1096" s="4">
        <v>44573</v>
      </c>
      <c r="C1096">
        <v>5.9</v>
      </c>
      <c r="D1096" t="s">
        <v>82</v>
      </c>
      <c r="E1096">
        <f>_xlfn.XLOOKUP(D1096,Worksheet!$C$3:$C$32,Worksheet!$M$3:$M$32)</f>
        <v>113.6</v>
      </c>
      <c r="F1096" s="19">
        <f>_xlfn.XLOOKUP(D1096,Worksheet!$C$3:$C$32,Worksheet!$S$3:$S$32)</f>
        <v>0.56097560975609762</v>
      </c>
    </row>
    <row r="1097" spans="1:6" x14ac:dyDescent="0.2">
      <c r="A1097" t="s">
        <v>556</v>
      </c>
      <c r="B1097" s="4">
        <v>44574</v>
      </c>
      <c r="C1097" t="s">
        <v>91</v>
      </c>
      <c r="D1097" t="s">
        <v>68</v>
      </c>
      <c r="E1097">
        <f>_xlfn.XLOOKUP(D1097,Worksheet!$C$3:$C$32,Worksheet!$M$3:$M$32)</f>
        <v>112.8</v>
      </c>
      <c r="F1097" s="19">
        <f>_xlfn.XLOOKUP(D1097,Worksheet!$C$3:$C$32,Worksheet!$S$3:$S$32)</f>
        <v>0.29268292682926828</v>
      </c>
    </row>
    <row r="1098" spans="1:6" x14ac:dyDescent="0.2">
      <c r="A1098" t="s">
        <v>556</v>
      </c>
      <c r="B1098" s="4">
        <v>44576</v>
      </c>
      <c r="C1098" t="s">
        <v>91</v>
      </c>
      <c r="D1098" t="s">
        <v>74</v>
      </c>
      <c r="E1098">
        <f>_xlfn.XLOOKUP(D1098,Worksheet!$C$3:$C$32,Worksheet!$M$3:$M$32)</f>
        <v>113</v>
      </c>
      <c r="F1098" s="19">
        <f>_xlfn.XLOOKUP(D1098,Worksheet!$C$3:$C$32,Worksheet!$S$3:$S$32)</f>
        <v>0.43902439024390244</v>
      </c>
    </row>
    <row r="1099" spans="1:6" x14ac:dyDescent="0.2">
      <c r="A1099" t="s">
        <v>556</v>
      </c>
      <c r="B1099" s="4">
        <v>44578</v>
      </c>
      <c r="C1099">
        <v>21.9</v>
      </c>
      <c r="D1099" t="s">
        <v>87</v>
      </c>
      <c r="E1099">
        <f>_xlfn.XLOOKUP(D1099,Worksheet!$C$3:$C$32,Worksheet!$M$3:$M$32)</f>
        <v>109.7</v>
      </c>
      <c r="F1099" s="19">
        <f>_xlfn.XLOOKUP(D1099,Worksheet!$C$3:$C$32,Worksheet!$S$3:$S$32)</f>
        <v>0.53658536585365857</v>
      </c>
    </row>
    <row r="1100" spans="1:6" x14ac:dyDescent="0.2">
      <c r="A1100" t="s">
        <v>556</v>
      </c>
      <c r="B1100" s="4">
        <v>44580</v>
      </c>
      <c r="C1100">
        <v>22.1</v>
      </c>
      <c r="D1100" t="s">
        <v>155</v>
      </c>
      <c r="E1100">
        <f>_xlfn.XLOOKUP(D1100,Worksheet!$C$3:$C$32,Worksheet!$M$3:$M$32)</f>
        <v>114.5</v>
      </c>
      <c r="F1100" s="19">
        <f>_xlfn.XLOOKUP(D1100,Worksheet!$C$3:$C$32,Worksheet!$S$3:$S$32)</f>
        <v>0.42682926829268292</v>
      </c>
    </row>
    <row r="1101" spans="1:6" x14ac:dyDescent="0.2">
      <c r="A1101" t="s">
        <v>556</v>
      </c>
      <c r="B1101" s="4">
        <v>44582</v>
      </c>
      <c r="C1101">
        <v>16.2</v>
      </c>
      <c r="D1101" t="s">
        <v>102</v>
      </c>
      <c r="E1101">
        <f>_xlfn.XLOOKUP(D1101,Worksheet!$C$3:$C$32,Worksheet!$M$3:$M$32)</f>
        <v>112.3</v>
      </c>
      <c r="F1101" s="19">
        <f>_xlfn.XLOOKUP(D1101,Worksheet!$C$3:$C$32,Worksheet!$S$3:$S$32)</f>
        <v>0.41463414634146339</v>
      </c>
    </row>
    <row r="1102" spans="1:6" x14ac:dyDescent="0.2">
      <c r="A1102" t="s">
        <v>556</v>
      </c>
      <c r="B1102" s="4">
        <v>44584</v>
      </c>
      <c r="C1102">
        <v>23.3</v>
      </c>
      <c r="D1102" t="s">
        <v>80</v>
      </c>
      <c r="E1102">
        <f>_xlfn.XLOOKUP(D1102,Worksheet!$C$3:$C$32,Worksheet!$M$3:$M$32)</f>
        <v>111.7</v>
      </c>
      <c r="F1102" s="19">
        <f>_xlfn.XLOOKUP(D1102,Worksheet!$C$3:$C$32,Worksheet!$S$3:$S$32)</f>
        <v>0.56097560975609762</v>
      </c>
    </row>
    <row r="1103" spans="1:6" x14ac:dyDescent="0.2">
      <c r="A1103" t="s">
        <v>556</v>
      </c>
      <c r="B1103" s="4">
        <v>44586</v>
      </c>
      <c r="C1103" t="s">
        <v>91</v>
      </c>
      <c r="D1103" t="s">
        <v>62</v>
      </c>
      <c r="E1103">
        <f>_xlfn.XLOOKUP(D1103,Worksheet!$C$3:$C$32,Worksheet!$M$3:$M$32)</f>
        <v>113.3</v>
      </c>
      <c r="F1103" s="19">
        <f>_xlfn.XLOOKUP(D1103,Worksheet!$C$3:$C$32,Worksheet!$S$3:$S$32)</f>
        <v>0.40243902439024393</v>
      </c>
    </row>
    <row r="1104" spans="1:6" x14ac:dyDescent="0.2">
      <c r="A1104" t="s">
        <v>556</v>
      </c>
      <c r="B1104" s="4">
        <v>44587</v>
      </c>
      <c r="C1104" t="s">
        <v>91</v>
      </c>
      <c r="D1104" t="s">
        <v>34</v>
      </c>
      <c r="E1104">
        <f>_xlfn.XLOOKUP(D1104,Worksheet!$C$3:$C$32,Worksheet!$M$3:$M$32)</f>
        <v>112.1</v>
      </c>
      <c r="F1104" s="19">
        <f>_xlfn.XLOOKUP(D1104,Worksheet!$C$3:$C$32,Worksheet!$S$3:$S$32)</f>
        <v>0.58536585365853655</v>
      </c>
    </row>
    <row r="1105" spans="1:6" x14ac:dyDescent="0.2">
      <c r="A1105" t="s">
        <v>556</v>
      </c>
      <c r="B1105" s="4">
        <v>44590</v>
      </c>
      <c r="C1105">
        <v>25</v>
      </c>
      <c r="D1105" t="s">
        <v>33</v>
      </c>
      <c r="E1105">
        <f>_xlfn.XLOOKUP(D1105,Worksheet!$C$3:$C$32,Worksheet!$M$3:$M$32)</f>
        <v>106.9</v>
      </c>
      <c r="F1105" s="19">
        <f>_xlfn.XLOOKUP(D1105,Worksheet!$C$3:$C$32,Worksheet!$S$3:$S$32)</f>
        <v>0.64634146341463417</v>
      </c>
    </row>
    <row r="1106" spans="1:6" x14ac:dyDescent="0.2">
      <c r="A1106" t="s">
        <v>556</v>
      </c>
      <c r="B1106" s="4">
        <v>44593</v>
      </c>
      <c r="C1106">
        <v>17.100000000000001</v>
      </c>
      <c r="D1106" t="s">
        <v>99</v>
      </c>
      <c r="E1106">
        <f>_xlfn.XLOOKUP(D1106,Worksheet!$C$3:$C$32,Worksheet!$M$3:$M$32)</f>
        <v>107.3</v>
      </c>
      <c r="F1106" s="19">
        <f>_xlfn.XLOOKUP(D1106,Worksheet!$C$3:$C$32,Worksheet!$S$3:$S$32)</f>
        <v>0.78048780487804881</v>
      </c>
    </row>
    <row r="1107" spans="1:6" x14ac:dyDescent="0.2">
      <c r="A1107" t="s">
        <v>556</v>
      </c>
      <c r="B1107" s="4">
        <v>44594</v>
      </c>
      <c r="C1107">
        <v>5.0999999999999996</v>
      </c>
      <c r="D1107" t="s">
        <v>66</v>
      </c>
      <c r="E1107">
        <f>_xlfn.XLOOKUP(D1107,Worksheet!$C$3:$C$32,Worksheet!$M$3:$M$32)</f>
        <v>115.3</v>
      </c>
      <c r="F1107" s="19">
        <f>_xlfn.XLOOKUP(D1107,Worksheet!$C$3:$C$32,Worksheet!$S$3:$S$32)</f>
        <v>0.36585365853658536</v>
      </c>
    </row>
    <row r="1108" spans="1:6" x14ac:dyDescent="0.2">
      <c r="A1108" t="s">
        <v>556</v>
      </c>
      <c r="B1108" s="4">
        <v>44596</v>
      </c>
      <c r="C1108">
        <v>6.7</v>
      </c>
      <c r="D1108" t="s">
        <v>118</v>
      </c>
      <c r="E1108">
        <f>_xlfn.XLOOKUP(D1108,Worksheet!$C$3:$C$32,Worksheet!$M$3:$M$32)</f>
        <v>110.5</v>
      </c>
      <c r="F1108" s="19">
        <f>_xlfn.XLOOKUP(D1108,Worksheet!$C$3:$C$32,Worksheet!$S$3:$S$32)</f>
        <v>0.59756097560975607</v>
      </c>
    </row>
    <row r="1109" spans="1:6" x14ac:dyDescent="0.2">
      <c r="A1109" t="s">
        <v>556</v>
      </c>
      <c r="B1109" s="4">
        <v>44598</v>
      </c>
      <c r="C1109">
        <v>22.3</v>
      </c>
      <c r="D1109" t="s">
        <v>34</v>
      </c>
      <c r="E1109">
        <f>_xlfn.XLOOKUP(D1109,Worksheet!$C$3:$C$32,Worksheet!$M$3:$M$32)</f>
        <v>112.1</v>
      </c>
      <c r="F1109" s="19">
        <f>_xlfn.XLOOKUP(D1109,Worksheet!$C$3:$C$32,Worksheet!$S$3:$S$32)</f>
        <v>0.58536585365853655</v>
      </c>
    </row>
    <row r="1110" spans="1:6" x14ac:dyDescent="0.2">
      <c r="A1110" t="s">
        <v>556</v>
      </c>
      <c r="B1110" s="4">
        <v>44600</v>
      </c>
      <c r="C1110" t="s">
        <v>91</v>
      </c>
      <c r="D1110" t="s">
        <v>55</v>
      </c>
      <c r="E1110">
        <f>_xlfn.XLOOKUP(D1110,Worksheet!$C$3:$C$32,Worksheet!$M$3:$M$32)</f>
        <v>106.9</v>
      </c>
      <c r="F1110" s="19">
        <f>_xlfn.XLOOKUP(D1110,Worksheet!$C$3:$C$32,Worksheet!$S$3:$S$32)</f>
        <v>0.62195121951219512</v>
      </c>
    </row>
    <row r="1111" spans="1:6" x14ac:dyDescent="0.2">
      <c r="A1111" t="s">
        <v>556</v>
      </c>
      <c r="B1111" s="4">
        <v>44602</v>
      </c>
      <c r="C1111">
        <v>21</v>
      </c>
      <c r="D1111" t="s">
        <v>155</v>
      </c>
      <c r="E1111">
        <f>_xlfn.XLOOKUP(D1111,Worksheet!$C$3:$C$32,Worksheet!$M$3:$M$32)</f>
        <v>114.5</v>
      </c>
      <c r="F1111" s="19">
        <f>_xlfn.XLOOKUP(D1111,Worksheet!$C$3:$C$32,Worksheet!$S$3:$S$32)</f>
        <v>0.42682926829268292</v>
      </c>
    </row>
    <row r="1112" spans="1:6" x14ac:dyDescent="0.2">
      <c r="A1112" t="s">
        <v>556</v>
      </c>
      <c r="B1112" s="4">
        <v>44604</v>
      </c>
      <c r="C1112">
        <v>22.1</v>
      </c>
      <c r="D1112" t="s">
        <v>120</v>
      </c>
      <c r="E1112">
        <f>_xlfn.XLOOKUP(D1112,Worksheet!$C$3:$C$32,Worksheet!$M$3:$M$32)</f>
        <v>109.1</v>
      </c>
      <c r="F1112" s="19">
        <f>_xlfn.XLOOKUP(D1112,Worksheet!$C$3:$C$32,Worksheet!$S$3:$S$32)</f>
        <v>0.64634146341463417</v>
      </c>
    </row>
    <row r="1113" spans="1:6" x14ac:dyDescent="0.2">
      <c r="A1113" t="s">
        <v>556</v>
      </c>
      <c r="B1113" s="4">
        <v>44606</v>
      </c>
      <c r="C1113" t="s">
        <v>91</v>
      </c>
      <c r="D1113" t="s">
        <v>66</v>
      </c>
      <c r="E1113">
        <f>_xlfn.XLOOKUP(D1113,Worksheet!$C$3:$C$32,Worksheet!$M$3:$M$32)</f>
        <v>115.3</v>
      </c>
      <c r="F1113" s="19">
        <f>_xlfn.XLOOKUP(D1113,Worksheet!$C$3:$C$32,Worksheet!$S$3:$S$32)</f>
        <v>0.36585365853658536</v>
      </c>
    </row>
    <row r="1114" spans="1:6" x14ac:dyDescent="0.2">
      <c r="A1114" t="s">
        <v>556</v>
      </c>
      <c r="B1114" s="4">
        <v>44608</v>
      </c>
      <c r="C1114" t="s">
        <v>91</v>
      </c>
      <c r="D1114" t="s">
        <v>110</v>
      </c>
      <c r="E1114">
        <f>_xlfn.XLOOKUP(D1114,Worksheet!$C$3:$C$32,Worksheet!$M$3:$M$32)</f>
        <v>110.5</v>
      </c>
      <c r="F1114" s="19">
        <f>_xlfn.XLOOKUP(D1114,Worksheet!$C$3:$C$32,Worksheet!$S$3:$S$32)</f>
        <v>0.45121951219512196</v>
      </c>
    </row>
    <row r="1115" spans="1:6" x14ac:dyDescent="0.2">
      <c r="A1115" t="s">
        <v>556</v>
      </c>
      <c r="B1115" s="4">
        <v>44609</v>
      </c>
      <c r="C1115" t="s">
        <v>91</v>
      </c>
      <c r="D1115" t="s">
        <v>155</v>
      </c>
      <c r="E1115">
        <f>_xlfn.XLOOKUP(D1115,Worksheet!$C$3:$C$32,Worksheet!$M$3:$M$32)</f>
        <v>114.5</v>
      </c>
      <c r="F1115" s="19">
        <f>_xlfn.XLOOKUP(D1115,Worksheet!$C$3:$C$32,Worksheet!$S$3:$S$32)</f>
        <v>0.42682926829268292</v>
      </c>
    </row>
    <row r="1116" spans="1:6" x14ac:dyDescent="0.2">
      <c r="A1116" t="s">
        <v>556</v>
      </c>
      <c r="B1116" s="4">
        <v>44616</v>
      </c>
      <c r="C1116" t="s">
        <v>91</v>
      </c>
      <c r="D1116" t="s">
        <v>55</v>
      </c>
      <c r="E1116">
        <f>_xlfn.XLOOKUP(D1116,Worksheet!$C$3:$C$32,Worksheet!$M$3:$M$32)</f>
        <v>106.9</v>
      </c>
      <c r="F1116" s="19">
        <f>_xlfn.XLOOKUP(D1116,Worksheet!$C$3:$C$32,Worksheet!$S$3:$S$32)</f>
        <v>0.62195121951219512</v>
      </c>
    </row>
    <row r="1117" spans="1:6" x14ac:dyDescent="0.2">
      <c r="A1117" t="s">
        <v>556</v>
      </c>
      <c r="B1117" s="4">
        <v>44618</v>
      </c>
      <c r="C1117">
        <v>28.8</v>
      </c>
      <c r="D1117" t="s">
        <v>126</v>
      </c>
      <c r="E1117">
        <f>_xlfn.XLOOKUP(D1117,Worksheet!$C$3:$C$32,Worksheet!$M$3:$M$32)</f>
        <v>111.8</v>
      </c>
      <c r="F1117" s="19">
        <f>_xlfn.XLOOKUP(D1117,Worksheet!$C$3:$C$32,Worksheet!$S$3:$S$32)</f>
        <v>0.62195121951219512</v>
      </c>
    </row>
    <row r="1118" spans="1:6" x14ac:dyDescent="0.2">
      <c r="A1118" t="s">
        <v>556</v>
      </c>
      <c r="B1118" s="4">
        <v>44620</v>
      </c>
      <c r="C1118" t="s">
        <v>91</v>
      </c>
      <c r="D1118" t="s">
        <v>92</v>
      </c>
      <c r="E1118">
        <f>_xlfn.XLOOKUP(D1118,Worksheet!$C$3:$C$32,Worksheet!$M$3:$M$32)</f>
        <v>110.5</v>
      </c>
      <c r="F1118" s="19">
        <f>_xlfn.XLOOKUP(D1118,Worksheet!$C$3:$C$32,Worksheet!$S$3:$S$32)</f>
        <v>0.58536585365853655</v>
      </c>
    </row>
    <row r="1119" spans="1:6" x14ac:dyDescent="0.2">
      <c r="A1119" t="s">
        <v>556</v>
      </c>
      <c r="B1119" s="4">
        <v>44621</v>
      </c>
      <c r="C1119" t="s">
        <v>91</v>
      </c>
      <c r="D1119" t="s">
        <v>92</v>
      </c>
      <c r="E1119">
        <f>_xlfn.XLOOKUP(D1119,Worksheet!$C$3:$C$32,Worksheet!$M$3:$M$32)</f>
        <v>110.5</v>
      </c>
      <c r="F1119" s="19">
        <f>_xlfn.XLOOKUP(D1119,Worksheet!$C$3:$C$32,Worksheet!$S$3:$S$32)</f>
        <v>0.58536585365853655</v>
      </c>
    </row>
    <row r="1120" spans="1:6" x14ac:dyDescent="0.2">
      <c r="A1120" t="s">
        <v>556</v>
      </c>
      <c r="B1120" s="4">
        <v>44623</v>
      </c>
      <c r="C1120" t="s">
        <v>91</v>
      </c>
      <c r="D1120" t="s">
        <v>120</v>
      </c>
      <c r="E1120">
        <f>_xlfn.XLOOKUP(D1120,Worksheet!$C$3:$C$32,Worksheet!$M$3:$M$32)</f>
        <v>109.1</v>
      </c>
      <c r="F1120" s="19">
        <f>_xlfn.XLOOKUP(D1120,Worksheet!$C$3:$C$32,Worksheet!$S$3:$S$32)</f>
        <v>0.64634146341463417</v>
      </c>
    </row>
    <row r="1121" spans="1:6" x14ac:dyDescent="0.2">
      <c r="A1121" t="s">
        <v>556</v>
      </c>
      <c r="B1121" s="4">
        <v>44626</v>
      </c>
      <c r="C1121">
        <v>14.2</v>
      </c>
      <c r="D1121" t="s">
        <v>55</v>
      </c>
      <c r="E1121">
        <f>_xlfn.XLOOKUP(D1121,Worksheet!$C$3:$C$32,Worksheet!$M$3:$M$32)</f>
        <v>106.9</v>
      </c>
      <c r="F1121" s="19">
        <f>_xlfn.XLOOKUP(D1121,Worksheet!$C$3:$C$32,Worksheet!$S$3:$S$32)</f>
        <v>0.62195121951219512</v>
      </c>
    </row>
    <row r="1122" spans="1:6" x14ac:dyDescent="0.2">
      <c r="A1122" t="s">
        <v>556</v>
      </c>
      <c r="B1122" s="4">
        <v>44628</v>
      </c>
      <c r="C1122">
        <v>44.1</v>
      </c>
      <c r="D1122" t="s">
        <v>72</v>
      </c>
      <c r="E1122">
        <f>_xlfn.XLOOKUP(D1122,Worksheet!$C$3:$C$32,Worksheet!$M$3:$M$32)</f>
        <v>113.7</v>
      </c>
      <c r="F1122" s="19">
        <f>_xlfn.XLOOKUP(D1122,Worksheet!$C$3:$C$32,Worksheet!$S$3:$S$32)</f>
        <v>0.52439024390243905</v>
      </c>
    </row>
    <row r="1123" spans="1:6" x14ac:dyDescent="0.2">
      <c r="A1123" t="s">
        <v>556</v>
      </c>
      <c r="B1123" s="4">
        <v>44630</v>
      </c>
      <c r="C1123">
        <v>18.2</v>
      </c>
      <c r="D1123" t="s">
        <v>94</v>
      </c>
      <c r="E1123">
        <f>_xlfn.XLOOKUP(D1123,Worksheet!$C$3:$C$32,Worksheet!$M$3:$M$32)</f>
        <v>110.8</v>
      </c>
      <c r="F1123" s="19">
        <f>_xlfn.XLOOKUP(D1123,Worksheet!$C$3:$C$32,Worksheet!$S$3:$S$32)</f>
        <v>0.62195121951219512</v>
      </c>
    </row>
    <row r="1124" spans="1:6" x14ac:dyDescent="0.2">
      <c r="A1124" t="s">
        <v>556</v>
      </c>
      <c r="B1124" s="4">
        <v>44633</v>
      </c>
      <c r="C1124" t="s">
        <v>91</v>
      </c>
      <c r="D1124" t="s">
        <v>110</v>
      </c>
      <c r="E1124">
        <f>_xlfn.XLOOKUP(D1124,Worksheet!$C$3:$C$32,Worksheet!$M$3:$M$32)</f>
        <v>110.5</v>
      </c>
      <c r="F1124" s="19">
        <f>_xlfn.XLOOKUP(D1124,Worksheet!$C$3:$C$32,Worksheet!$S$3:$S$32)</f>
        <v>0.45121951219512196</v>
      </c>
    </row>
    <row r="1125" spans="1:6" x14ac:dyDescent="0.2">
      <c r="A1125" t="s">
        <v>556</v>
      </c>
      <c r="B1125" s="4">
        <v>44635</v>
      </c>
      <c r="C1125">
        <v>53.8</v>
      </c>
      <c r="D1125" t="s">
        <v>104</v>
      </c>
      <c r="E1125">
        <f>_xlfn.XLOOKUP(D1125,Worksheet!$C$3:$C$32,Worksheet!$M$3:$M$32)</f>
        <v>112.5</v>
      </c>
      <c r="F1125" s="19">
        <f>_xlfn.XLOOKUP(D1125,Worksheet!$C$3:$C$32,Worksheet!$S$3:$S$32)</f>
        <v>0.26829268292682928</v>
      </c>
    </row>
    <row r="1126" spans="1:6" x14ac:dyDescent="0.2">
      <c r="A1126" t="s">
        <v>556</v>
      </c>
      <c r="B1126" s="4">
        <v>44636</v>
      </c>
      <c r="C1126" t="s">
        <v>91</v>
      </c>
      <c r="D1126" t="s">
        <v>49</v>
      </c>
      <c r="E1126">
        <f>_xlfn.XLOOKUP(D1126,Worksheet!$C$3:$C$32,Worksheet!$M$3:$M$32)</f>
        <v>109.4</v>
      </c>
      <c r="F1126" s="19">
        <f>_xlfn.XLOOKUP(D1126,Worksheet!$C$3:$C$32,Worksheet!$S$3:$S$32)</f>
        <v>0.63414634146341464</v>
      </c>
    </row>
    <row r="1127" spans="1:6" x14ac:dyDescent="0.2">
      <c r="A1127" t="s">
        <v>556</v>
      </c>
      <c r="B1127" s="4">
        <v>44638</v>
      </c>
      <c r="C1127" t="s">
        <v>91</v>
      </c>
      <c r="D1127" t="s">
        <v>96</v>
      </c>
      <c r="E1127">
        <f>_xlfn.XLOOKUP(D1127,Worksheet!$C$3:$C$32,Worksheet!$M$3:$M$32)</f>
        <v>116.9</v>
      </c>
      <c r="F1127" s="19">
        <f>_xlfn.XLOOKUP(D1127,Worksheet!$C$3:$C$32,Worksheet!$S$3:$S$32)</f>
        <v>0.32926829268292684</v>
      </c>
    </row>
    <row r="1128" spans="1:6" x14ac:dyDescent="0.2">
      <c r="A1128" t="s">
        <v>556</v>
      </c>
      <c r="B1128" s="4">
        <v>44641</v>
      </c>
      <c r="C1128" t="s">
        <v>91</v>
      </c>
      <c r="D1128" t="s">
        <v>118</v>
      </c>
      <c r="E1128">
        <f>_xlfn.XLOOKUP(D1128,Worksheet!$C$3:$C$32,Worksheet!$M$3:$M$32)</f>
        <v>110.5</v>
      </c>
      <c r="F1128" s="19">
        <f>_xlfn.XLOOKUP(D1128,Worksheet!$C$3:$C$32,Worksheet!$S$3:$S$32)</f>
        <v>0.59756097560975607</v>
      </c>
    </row>
    <row r="1129" spans="1:6" x14ac:dyDescent="0.2">
      <c r="A1129" t="s">
        <v>556</v>
      </c>
      <c r="B1129" s="4">
        <v>44643</v>
      </c>
      <c r="C1129">
        <v>33</v>
      </c>
      <c r="D1129" t="s">
        <v>42</v>
      </c>
      <c r="E1129">
        <f>_xlfn.XLOOKUP(D1129,Worksheet!$C$3:$C$32,Worksheet!$M$3:$M$32)</f>
        <v>109</v>
      </c>
      <c r="F1129" s="19">
        <f>_xlfn.XLOOKUP(D1129,Worksheet!$C$3:$C$32,Worksheet!$S$3:$S$32)</f>
        <v>0.68292682926829273</v>
      </c>
    </row>
    <row r="1130" spans="1:6" x14ac:dyDescent="0.2">
      <c r="A1130" t="s">
        <v>556</v>
      </c>
      <c r="B1130" s="4">
        <v>44646</v>
      </c>
      <c r="C1130">
        <v>10.5</v>
      </c>
      <c r="D1130" t="s">
        <v>120</v>
      </c>
      <c r="E1130">
        <f>_xlfn.XLOOKUP(D1130,Worksheet!$C$3:$C$32,Worksheet!$M$3:$M$32)</f>
        <v>109.1</v>
      </c>
      <c r="F1130" s="19">
        <f>_xlfn.XLOOKUP(D1130,Worksheet!$C$3:$C$32,Worksheet!$S$3:$S$32)</f>
        <v>0.64634146341463417</v>
      </c>
    </row>
    <row r="1131" spans="1:6" x14ac:dyDescent="0.2">
      <c r="A1131" t="s">
        <v>556</v>
      </c>
      <c r="B1131" s="4">
        <v>44647</v>
      </c>
      <c r="C1131">
        <v>9.9</v>
      </c>
      <c r="D1131" t="s">
        <v>72</v>
      </c>
      <c r="E1131">
        <f>_xlfn.XLOOKUP(D1131,Worksheet!$C$3:$C$32,Worksheet!$M$3:$M$32)</f>
        <v>113.7</v>
      </c>
      <c r="F1131" s="19">
        <f>_xlfn.XLOOKUP(D1131,Worksheet!$C$3:$C$32,Worksheet!$S$3:$S$32)</f>
        <v>0.52439024390243905</v>
      </c>
    </row>
    <row r="1132" spans="1:6" x14ac:dyDescent="0.2">
      <c r="A1132" t="s">
        <v>556</v>
      </c>
      <c r="B1132" s="4">
        <v>44649</v>
      </c>
      <c r="C1132">
        <v>10.7</v>
      </c>
      <c r="D1132" t="s">
        <v>89</v>
      </c>
      <c r="E1132">
        <f>_xlfn.XLOOKUP(D1132,Worksheet!$C$3:$C$32,Worksheet!$M$3:$M$32)</f>
        <v>113.8</v>
      </c>
      <c r="F1132" s="19">
        <f>_xlfn.XLOOKUP(D1132,Worksheet!$C$3:$C$32,Worksheet!$S$3:$S$32)</f>
        <v>0.28048780487804881</v>
      </c>
    </row>
    <row r="1133" spans="1:6" x14ac:dyDescent="0.2">
      <c r="A1133" t="s">
        <v>556</v>
      </c>
      <c r="B1133" s="4">
        <v>44651</v>
      </c>
      <c r="C1133">
        <v>15.8</v>
      </c>
      <c r="D1133" t="s">
        <v>126</v>
      </c>
      <c r="E1133">
        <f>_xlfn.XLOOKUP(D1133,Worksheet!$C$3:$C$32,Worksheet!$M$3:$M$32)</f>
        <v>111.8</v>
      </c>
      <c r="F1133" s="19">
        <f>_xlfn.XLOOKUP(D1133,Worksheet!$C$3:$C$32,Worksheet!$S$3:$S$32)</f>
        <v>0.62195121951219512</v>
      </c>
    </row>
    <row r="1134" spans="1:6" x14ac:dyDescent="0.2">
      <c r="A1134" t="s">
        <v>556</v>
      </c>
      <c r="B1134" s="4">
        <v>44653</v>
      </c>
      <c r="C1134">
        <v>15.2</v>
      </c>
      <c r="D1134" t="s">
        <v>78</v>
      </c>
      <c r="E1134">
        <f>_xlfn.XLOOKUP(D1134,Worksheet!$C$3:$C$32,Worksheet!$M$3:$M$32)</f>
        <v>114.9</v>
      </c>
      <c r="F1134" s="19">
        <f>_xlfn.XLOOKUP(D1134,Worksheet!$C$3:$C$32,Worksheet!$S$3:$S$32)</f>
        <v>0.52439024390243905</v>
      </c>
    </row>
    <row r="1135" spans="1:6" x14ac:dyDescent="0.2">
      <c r="A1135" t="s">
        <v>556</v>
      </c>
      <c r="B1135" s="4">
        <v>44656</v>
      </c>
      <c r="C1135">
        <v>33.4</v>
      </c>
      <c r="D1135" t="s">
        <v>76</v>
      </c>
      <c r="E1135">
        <f>_xlfn.XLOOKUP(D1135,Worksheet!$C$3:$C$32,Worksheet!$M$3:$M$32)</f>
        <v>116.7</v>
      </c>
      <c r="F1135" s="19">
        <f>_xlfn.XLOOKUP(D1135,Worksheet!$C$3:$C$32,Worksheet!$S$3:$S$32)</f>
        <v>0.24390243902439024</v>
      </c>
    </row>
    <row r="1136" spans="1:6" x14ac:dyDescent="0.2">
      <c r="A1136" t="s">
        <v>556</v>
      </c>
      <c r="B1136" s="4">
        <v>44657</v>
      </c>
      <c r="C1136">
        <v>16.3</v>
      </c>
      <c r="D1136" t="s">
        <v>110</v>
      </c>
      <c r="E1136">
        <f>_xlfn.XLOOKUP(D1136,Worksheet!$C$3:$C$32,Worksheet!$M$3:$M$32)</f>
        <v>110.5</v>
      </c>
      <c r="F1136" s="19">
        <f>_xlfn.XLOOKUP(D1136,Worksheet!$C$3:$C$32,Worksheet!$S$3:$S$32)</f>
        <v>0.45121951219512196</v>
      </c>
    </row>
    <row r="1137" spans="1:6" x14ac:dyDescent="0.2">
      <c r="A1137" t="s">
        <v>556</v>
      </c>
      <c r="B1137" s="4">
        <v>44659</v>
      </c>
      <c r="C1137">
        <v>11.2</v>
      </c>
      <c r="D1137" t="s">
        <v>87</v>
      </c>
      <c r="E1137">
        <f>_xlfn.XLOOKUP(D1137,Worksheet!$C$3:$C$32,Worksheet!$M$3:$M$32)</f>
        <v>109.7</v>
      </c>
      <c r="F1137" s="19">
        <f>_xlfn.XLOOKUP(D1137,Worksheet!$C$3:$C$32,Worksheet!$S$3:$S$32)</f>
        <v>0.53658536585365857</v>
      </c>
    </row>
    <row r="1138" spans="1:6" x14ac:dyDescent="0.2">
      <c r="A1138" t="s">
        <v>556</v>
      </c>
      <c r="B1138" s="4">
        <v>44661</v>
      </c>
      <c r="C1138">
        <v>29.8</v>
      </c>
      <c r="D1138" t="s">
        <v>108</v>
      </c>
      <c r="E1138">
        <f>_xlfn.XLOOKUP(D1138,Worksheet!$C$3:$C$32,Worksheet!$M$3:$M$32)</f>
        <v>116.1</v>
      </c>
      <c r="F1138" s="19">
        <f>_xlfn.XLOOKUP(D1138,Worksheet!$C$3:$C$32,Worksheet!$S$3:$S$32)</f>
        <v>0.3048780487804878</v>
      </c>
    </row>
    <row r="1139" spans="1:6" x14ac:dyDescent="0.2">
      <c r="A1139" t="s">
        <v>556</v>
      </c>
      <c r="B1139" s="4">
        <v>44668</v>
      </c>
      <c r="C1139">
        <v>36</v>
      </c>
      <c r="D1139" t="s">
        <v>55</v>
      </c>
      <c r="E1139">
        <f>_xlfn.XLOOKUP(D1139,Worksheet!$C$3:$C$32,Worksheet!$M$3:$M$32)</f>
        <v>106.9</v>
      </c>
      <c r="F1139" s="19">
        <f>_xlfn.XLOOKUP(D1139,Worksheet!$C$3:$C$32,Worksheet!$S$3:$S$32)</f>
        <v>0.62195121951219512</v>
      </c>
    </row>
    <row r="1140" spans="1:6" x14ac:dyDescent="0.2">
      <c r="A1140" t="s">
        <v>556</v>
      </c>
      <c r="B1140" s="4">
        <v>44671</v>
      </c>
      <c r="C1140">
        <v>4.3</v>
      </c>
      <c r="D1140" t="s">
        <v>55</v>
      </c>
      <c r="E1140">
        <f>_xlfn.XLOOKUP(D1140,Worksheet!$C$3:$C$32,Worksheet!$M$3:$M$32)</f>
        <v>106.9</v>
      </c>
      <c r="F1140" s="19">
        <f>_xlfn.XLOOKUP(D1140,Worksheet!$C$3:$C$32,Worksheet!$S$3:$S$32)</f>
        <v>0.62195121951219512</v>
      </c>
    </row>
    <row r="1141" spans="1:6" x14ac:dyDescent="0.2">
      <c r="A1141" t="s">
        <v>556</v>
      </c>
      <c r="B1141" s="4">
        <v>44674</v>
      </c>
      <c r="C1141">
        <v>13.8</v>
      </c>
      <c r="D1141" t="s">
        <v>55</v>
      </c>
      <c r="E1141">
        <f>_xlfn.XLOOKUP(D1141,Worksheet!$C$3:$C$32,Worksheet!$M$3:$M$32)</f>
        <v>106.9</v>
      </c>
      <c r="F1141" s="19">
        <f>_xlfn.XLOOKUP(D1141,Worksheet!$C$3:$C$32,Worksheet!$S$3:$S$32)</f>
        <v>0.62195121951219512</v>
      </c>
    </row>
    <row r="1142" spans="1:6" x14ac:dyDescent="0.2">
      <c r="A1142" t="s">
        <v>556</v>
      </c>
      <c r="B1142" s="4">
        <v>44676</v>
      </c>
      <c r="C1142">
        <v>17.7</v>
      </c>
      <c r="D1142" t="s">
        <v>55</v>
      </c>
      <c r="E1142">
        <f>_xlfn.XLOOKUP(D1142,Worksheet!$C$3:$C$32,Worksheet!$M$3:$M$32)</f>
        <v>106.9</v>
      </c>
      <c r="F1142" s="19">
        <f>_xlfn.XLOOKUP(D1142,Worksheet!$C$3:$C$32,Worksheet!$S$3:$S$32)</f>
        <v>0.62195121951219512</v>
      </c>
    </row>
    <row r="1143" spans="1:6" x14ac:dyDescent="0.2">
      <c r="A1143" t="s">
        <v>557</v>
      </c>
      <c r="B1143" s="4">
        <v>44488</v>
      </c>
      <c r="C1143">
        <v>24.8</v>
      </c>
      <c r="D1143" t="s">
        <v>33</v>
      </c>
      <c r="E1143">
        <f>_xlfn.XLOOKUP(D1143,Worksheet!$C$3:$C$32,Worksheet!$M$3:$M$32)</f>
        <v>106.9</v>
      </c>
      <c r="F1143" s="19">
        <f>_xlfn.XLOOKUP(D1143,Worksheet!$C$3:$C$32,Worksheet!$S$3:$S$32)</f>
        <v>0.64634146341463417</v>
      </c>
    </row>
    <row r="1144" spans="1:6" x14ac:dyDescent="0.2">
      <c r="A1144" t="s">
        <v>557</v>
      </c>
      <c r="B1144" s="4">
        <v>44491</v>
      </c>
      <c r="C1144">
        <v>15.1</v>
      </c>
      <c r="D1144" t="s">
        <v>99</v>
      </c>
      <c r="E1144">
        <f>_xlfn.XLOOKUP(D1144,Worksheet!$C$3:$C$32,Worksheet!$M$3:$M$32)</f>
        <v>107.3</v>
      </c>
      <c r="F1144" s="19">
        <f>_xlfn.XLOOKUP(D1144,Worksheet!$C$3:$C$32,Worksheet!$S$3:$S$32)</f>
        <v>0.78048780487804881</v>
      </c>
    </row>
    <row r="1145" spans="1:6" x14ac:dyDescent="0.2">
      <c r="A1145" t="s">
        <v>557</v>
      </c>
      <c r="B1145" s="4">
        <v>44493</v>
      </c>
      <c r="C1145">
        <v>14.1</v>
      </c>
      <c r="D1145" t="s">
        <v>42</v>
      </c>
      <c r="E1145">
        <f>_xlfn.XLOOKUP(D1145,Worksheet!$C$3:$C$32,Worksheet!$M$3:$M$32)</f>
        <v>109</v>
      </c>
      <c r="F1145" s="19">
        <f>_xlfn.XLOOKUP(D1145,Worksheet!$C$3:$C$32,Worksheet!$S$3:$S$32)</f>
        <v>0.68292682926829273</v>
      </c>
    </row>
    <row r="1146" spans="1:6" x14ac:dyDescent="0.2">
      <c r="A1146" t="s">
        <v>557</v>
      </c>
      <c r="B1146" s="4">
        <v>44495</v>
      </c>
      <c r="C1146" t="s">
        <v>210</v>
      </c>
      <c r="D1146" t="s">
        <v>102</v>
      </c>
      <c r="E1146">
        <f>_xlfn.XLOOKUP(D1146,Worksheet!$C$3:$C$32,Worksheet!$M$3:$M$32)</f>
        <v>112.3</v>
      </c>
      <c r="F1146" s="19">
        <f>_xlfn.XLOOKUP(D1146,Worksheet!$C$3:$C$32,Worksheet!$S$3:$S$32)</f>
        <v>0.41463414634146339</v>
      </c>
    </row>
    <row r="1147" spans="1:6" x14ac:dyDescent="0.2">
      <c r="A1147" t="s">
        <v>557</v>
      </c>
      <c r="B1147" s="4">
        <v>44496</v>
      </c>
      <c r="C1147" t="s">
        <v>210</v>
      </c>
      <c r="D1147" t="s">
        <v>68</v>
      </c>
      <c r="E1147">
        <f>_xlfn.XLOOKUP(D1147,Worksheet!$C$3:$C$32,Worksheet!$M$3:$M$32)</f>
        <v>112.8</v>
      </c>
      <c r="F1147" s="19">
        <f>_xlfn.XLOOKUP(D1147,Worksheet!$C$3:$C$32,Worksheet!$S$3:$S$32)</f>
        <v>0.29268292682926828</v>
      </c>
    </row>
    <row r="1148" spans="1:6" x14ac:dyDescent="0.2">
      <c r="A1148" t="s">
        <v>557</v>
      </c>
      <c r="B1148" s="4">
        <v>44498</v>
      </c>
      <c r="C1148">
        <v>17.8</v>
      </c>
      <c r="D1148" t="s">
        <v>87</v>
      </c>
      <c r="E1148">
        <f>_xlfn.XLOOKUP(D1148,Worksheet!$C$3:$C$32,Worksheet!$M$3:$M$32)</f>
        <v>109.7</v>
      </c>
      <c r="F1148" s="19">
        <f>_xlfn.XLOOKUP(D1148,Worksheet!$C$3:$C$32,Worksheet!$S$3:$S$32)</f>
        <v>0.53658536585365857</v>
      </c>
    </row>
    <row r="1149" spans="1:6" x14ac:dyDescent="0.2">
      <c r="A1149" t="s">
        <v>557</v>
      </c>
      <c r="B1149" s="4">
        <v>44500</v>
      </c>
      <c r="C1149">
        <v>14.5</v>
      </c>
      <c r="D1149" t="s">
        <v>76</v>
      </c>
      <c r="E1149">
        <f>_xlfn.XLOOKUP(D1149,Worksheet!$C$3:$C$32,Worksheet!$M$3:$M$32)</f>
        <v>116.7</v>
      </c>
      <c r="F1149" s="19">
        <f>_xlfn.XLOOKUP(D1149,Worksheet!$C$3:$C$32,Worksheet!$S$3:$S$32)</f>
        <v>0.24390243902439024</v>
      </c>
    </row>
    <row r="1150" spans="1:6" x14ac:dyDescent="0.2">
      <c r="A1150" t="s">
        <v>557</v>
      </c>
      <c r="B1150" s="4">
        <v>44502</v>
      </c>
      <c r="C1150">
        <v>25.5</v>
      </c>
      <c r="D1150" t="s">
        <v>76</v>
      </c>
      <c r="E1150">
        <f>_xlfn.XLOOKUP(D1150,Worksheet!$C$3:$C$32,Worksheet!$M$3:$M$32)</f>
        <v>116.7</v>
      </c>
      <c r="F1150" s="19">
        <f>_xlfn.XLOOKUP(D1150,Worksheet!$C$3:$C$32,Worksheet!$S$3:$S$32)</f>
        <v>0.24390243902439024</v>
      </c>
    </row>
    <row r="1151" spans="1:6" x14ac:dyDescent="0.2">
      <c r="A1151" t="s">
        <v>557</v>
      </c>
      <c r="B1151" s="4">
        <v>44504</v>
      </c>
      <c r="C1151" t="s">
        <v>91</v>
      </c>
      <c r="D1151" t="s">
        <v>68</v>
      </c>
      <c r="E1151">
        <f>_xlfn.XLOOKUP(D1151,Worksheet!$C$3:$C$32,Worksheet!$M$3:$M$32)</f>
        <v>112.8</v>
      </c>
      <c r="F1151" s="19">
        <f>_xlfn.XLOOKUP(D1151,Worksheet!$C$3:$C$32,Worksheet!$S$3:$S$32)</f>
        <v>0.29268292682926828</v>
      </c>
    </row>
    <row r="1152" spans="1:6" x14ac:dyDescent="0.2">
      <c r="A1152" t="s">
        <v>557</v>
      </c>
      <c r="B1152" s="4">
        <v>44506</v>
      </c>
      <c r="C1152" t="s">
        <v>91</v>
      </c>
      <c r="D1152" t="s">
        <v>96</v>
      </c>
      <c r="E1152">
        <f>_xlfn.XLOOKUP(D1152,Worksheet!$C$3:$C$32,Worksheet!$M$3:$M$32)</f>
        <v>116.9</v>
      </c>
      <c r="F1152" s="19">
        <f>_xlfn.XLOOKUP(D1152,Worksheet!$C$3:$C$32,Worksheet!$S$3:$S$32)</f>
        <v>0.32926829268292684</v>
      </c>
    </row>
    <row r="1153" spans="1:6" x14ac:dyDescent="0.2">
      <c r="A1153" t="s">
        <v>557</v>
      </c>
      <c r="B1153" s="4">
        <v>44508</v>
      </c>
      <c r="C1153" t="s">
        <v>91</v>
      </c>
      <c r="D1153" t="s">
        <v>72</v>
      </c>
      <c r="E1153">
        <f>_xlfn.XLOOKUP(D1153,Worksheet!$C$3:$C$32,Worksheet!$M$3:$M$32)</f>
        <v>113.7</v>
      </c>
      <c r="F1153" s="19">
        <f>_xlfn.XLOOKUP(D1153,Worksheet!$C$3:$C$32,Worksheet!$S$3:$S$32)</f>
        <v>0.52439024390243905</v>
      </c>
    </row>
    <row r="1154" spans="1:6" x14ac:dyDescent="0.2">
      <c r="A1154" t="s">
        <v>557</v>
      </c>
      <c r="B1154" s="4">
        <v>44510</v>
      </c>
      <c r="C1154" t="s">
        <v>91</v>
      </c>
      <c r="D1154" t="s">
        <v>120</v>
      </c>
      <c r="E1154">
        <f>_xlfn.XLOOKUP(D1154,Worksheet!$C$3:$C$32,Worksheet!$M$3:$M$32)</f>
        <v>109.1</v>
      </c>
      <c r="F1154" s="19">
        <f>_xlfn.XLOOKUP(D1154,Worksheet!$C$3:$C$32,Worksheet!$S$3:$S$32)</f>
        <v>0.64634146341463417</v>
      </c>
    </row>
    <row r="1155" spans="1:6" x14ac:dyDescent="0.2">
      <c r="A1155" t="s">
        <v>557</v>
      </c>
      <c r="B1155" s="4">
        <v>44512</v>
      </c>
      <c r="C1155" t="s">
        <v>91</v>
      </c>
      <c r="D1155" t="s">
        <v>80</v>
      </c>
      <c r="E1155">
        <f>_xlfn.XLOOKUP(D1155,Worksheet!$C$3:$C$32,Worksheet!$M$3:$M$32)</f>
        <v>111.7</v>
      </c>
      <c r="F1155" s="19">
        <f>_xlfn.XLOOKUP(D1155,Worksheet!$C$3:$C$32,Worksheet!$S$3:$S$32)</f>
        <v>0.56097560975609762</v>
      </c>
    </row>
    <row r="1156" spans="1:6" x14ac:dyDescent="0.2">
      <c r="A1156" t="s">
        <v>557</v>
      </c>
      <c r="B1156" s="4">
        <v>44514</v>
      </c>
      <c r="C1156" t="s">
        <v>91</v>
      </c>
      <c r="D1156" t="s">
        <v>102</v>
      </c>
      <c r="E1156">
        <f>_xlfn.XLOOKUP(D1156,Worksheet!$C$3:$C$32,Worksheet!$M$3:$M$32)</f>
        <v>112.3</v>
      </c>
      <c r="F1156" s="19">
        <f>_xlfn.XLOOKUP(D1156,Worksheet!$C$3:$C$32,Worksheet!$S$3:$S$32)</f>
        <v>0.41463414634146339</v>
      </c>
    </row>
    <row r="1157" spans="1:6" x14ac:dyDescent="0.2">
      <c r="A1157" t="s">
        <v>557</v>
      </c>
      <c r="B1157" s="4">
        <v>44515</v>
      </c>
      <c r="C1157" t="s">
        <v>91</v>
      </c>
      <c r="D1157" t="s">
        <v>82</v>
      </c>
      <c r="E1157">
        <f>_xlfn.XLOOKUP(D1157,Worksheet!$C$3:$C$32,Worksheet!$M$3:$M$32)</f>
        <v>113.6</v>
      </c>
      <c r="F1157" s="19">
        <f>_xlfn.XLOOKUP(D1157,Worksheet!$C$3:$C$32,Worksheet!$S$3:$S$32)</f>
        <v>0.56097560975609762</v>
      </c>
    </row>
    <row r="1158" spans="1:6" x14ac:dyDescent="0.2">
      <c r="A1158" t="s">
        <v>557</v>
      </c>
      <c r="B1158" s="4">
        <v>44517</v>
      </c>
      <c r="C1158" t="s">
        <v>91</v>
      </c>
      <c r="D1158" t="s">
        <v>126</v>
      </c>
      <c r="E1158">
        <f>_xlfn.XLOOKUP(D1158,Worksheet!$C$3:$C$32,Worksheet!$M$3:$M$32)</f>
        <v>111.8</v>
      </c>
      <c r="F1158" s="19">
        <f>_xlfn.XLOOKUP(D1158,Worksheet!$C$3:$C$32,Worksheet!$S$3:$S$32)</f>
        <v>0.62195121951219512</v>
      </c>
    </row>
    <row r="1159" spans="1:6" x14ac:dyDescent="0.2">
      <c r="A1159" t="s">
        <v>557</v>
      </c>
      <c r="B1159" s="4">
        <v>44519</v>
      </c>
      <c r="C1159">
        <v>16.8</v>
      </c>
      <c r="D1159" t="s">
        <v>55</v>
      </c>
      <c r="E1159">
        <f>_xlfn.XLOOKUP(D1159,Worksheet!$C$3:$C$32,Worksheet!$M$3:$M$32)</f>
        <v>106.9</v>
      </c>
      <c r="F1159" s="19">
        <f>_xlfn.XLOOKUP(D1159,Worksheet!$C$3:$C$32,Worksheet!$S$3:$S$32)</f>
        <v>0.62195121951219512</v>
      </c>
    </row>
    <row r="1160" spans="1:6" x14ac:dyDescent="0.2">
      <c r="A1160" t="s">
        <v>557</v>
      </c>
      <c r="B1160" s="4">
        <v>44521</v>
      </c>
      <c r="C1160">
        <v>8.1</v>
      </c>
      <c r="D1160" t="s">
        <v>89</v>
      </c>
      <c r="E1160">
        <f>_xlfn.XLOOKUP(D1160,Worksheet!$C$3:$C$32,Worksheet!$M$3:$M$32)</f>
        <v>113.8</v>
      </c>
      <c r="F1160" s="19">
        <f>_xlfn.XLOOKUP(D1160,Worksheet!$C$3:$C$32,Worksheet!$S$3:$S$32)</f>
        <v>0.28048780487804881</v>
      </c>
    </row>
    <row r="1161" spans="1:6" x14ac:dyDescent="0.2">
      <c r="A1161" t="s">
        <v>557</v>
      </c>
      <c r="B1161" s="4">
        <v>44523</v>
      </c>
      <c r="C1161" t="s">
        <v>169</v>
      </c>
      <c r="D1161" t="s">
        <v>110</v>
      </c>
      <c r="E1161">
        <f>_xlfn.XLOOKUP(D1161,Worksheet!$C$3:$C$32,Worksheet!$M$3:$M$32)</f>
        <v>110.5</v>
      </c>
      <c r="F1161" s="19">
        <f>_xlfn.XLOOKUP(D1161,Worksheet!$C$3:$C$32,Worksheet!$S$3:$S$32)</f>
        <v>0.45121951219512196</v>
      </c>
    </row>
    <row r="1162" spans="1:6" x14ac:dyDescent="0.2">
      <c r="A1162" t="s">
        <v>557</v>
      </c>
      <c r="B1162" s="4">
        <v>44524</v>
      </c>
      <c r="C1162">
        <v>28.8</v>
      </c>
      <c r="D1162" t="s">
        <v>108</v>
      </c>
      <c r="E1162">
        <f>_xlfn.XLOOKUP(D1162,Worksheet!$C$3:$C$32,Worksheet!$M$3:$M$32)</f>
        <v>116.1</v>
      </c>
      <c r="F1162" s="19">
        <f>_xlfn.XLOOKUP(D1162,Worksheet!$C$3:$C$32,Worksheet!$S$3:$S$32)</f>
        <v>0.3048780487804878</v>
      </c>
    </row>
    <row r="1163" spans="1:6" x14ac:dyDescent="0.2">
      <c r="A1163" t="s">
        <v>557</v>
      </c>
      <c r="B1163" s="4">
        <v>44526</v>
      </c>
      <c r="C1163">
        <v>17.899999999999999</v>
      </c>
      <c r="D1163" t="s">
        <v>66</v>
      </c>
      <c r="E1163">
        <f>_xlfn.XLOOKUP(D1163,Worksheet!$C$3:$C$32,Worksheet!$M$3:$M$32)</f>
        <v>115.3</v>
      </c>
      <c r="F1163" s="19">
        <f>_xlfn.XLOOKUP(D1163,Worksheet!$C$3:$C$32,Worksheet!$S$3:$S$32)</f>
        <v>0.36585365853658536</v>
      </c>
    </row>
    <row r="1164" spans="1:6" x14ac:dyDescent="0.2">
      <c r="A1164" t="s">
        <v>557</v>
      </c>
      <c r="B1164" s="4">
        <v>44528</v>
      </c>
      <c r="C1164">
        <v>30.7</v>
      </c>
      <c r="D1164" t="s">
        <v>89</v>
      </c>
      <c r="E1164">
        <f>_xlfn.XLOOKUP(D1164,Worksheet!$C$3:$C$32,Worksheet!$M$3:$M$32)</f>
        <v>113.8</v>
      </c>
      <c r="F1164" s="19">
        <f>_xlfn.XLOOKUP(D1164,Worksheet!$C$3:$C$32,Worksheet!$S$3:$S$32)</f>
        <v>0.28048780487804881</v>
      </c>
    </row>
    <row r="1165" spans="1:6" x14ac:dyDescent="0.2">
      <c r="A1165" t="s">
        <v>557</v>
      </c>
      <c r="B1165" s="4">
        <v>44530</v>
      </c>
      <c r="C1165" t="s">
        <v>91</v>
      </c>
      <c r="D1165" t="s">
        <v>66</v>
      </c>
      <c r="E1165">
        <f>_xlfn.XLOOKUP(D1165,Worksheet!$C$3:$C$32,Worksheet!$M$3:$M$32)</f>
        <v>115.3</v>
      </c>
      <c r="F1165" s="19">
        <f>_xlfn.XLOOKUP(D1165,Worksheet!$C$3:$C$32,Worksheet!$S$3:$S$32)</f>
        <v>0.36585365853658536</v>
      </c>
    </row>
    <row r="1166" spans="1:6" x14ac:dyDescent="0.2">
      <c r="A1166" t="s">
        <v>557</v>
      </c>
      <c r="B1166" s="4">
        <v>44533</v>
      </c>
      <c r="C1166">
        <v>16.600000000000001</v>
      </c>
      <c r="D1166" t="s">
        <v>64</v>
      </c>
      <c r="E1166">
        <f>_xlfn.XLOOKUP(D1166,Worksheet!$C$3:$C$32,Worksheet!$M$3:$M$32)</f>
        <v>110.1</v>
      </c>
      <c r="F1166" s="19">
        <f>_xlfn.XLOOKUP(D1166,Worksheet!$C$3:$C$32,Worksheet!$S$3:$S$32)</f>
        <v>0.51219512195121952</v>
      </c>
    </row>
    <row r="1167" spans="1:6" x14ac:dyDescent="0.2">
      <c r="A1167" t="s">
        <v>557</v>
      </c>
      <c r="B1167" s="4">
        <v>44537</v>
      </c>
      <c r="C1167">
        <v>23.6</v>
      </c>
      <c r="D1167" t="s">
        <v>55</v>
      </c>
      <c r="E1167">
        <f>_xlfn.XLOOKUP(D1167,Worksheet!$C$3:$C$32,Worksheet!$M$3:$M$32)</f>
        <v>106.9</v>
      </c>
      <c r="F1167" s="19">
        <f>_xlfn.XLOOKUP(D1167,Worksheet!$C$3:$C$32,Worksheet!$S$3:$S$32)</f>
        <v>0.62195121951219512</v>
      </c>
    </row>
    <row r="1168" spans="1:6" x14ac:dyDescent="0.2">
      <c r="A1168" t="s">
        <v>557</v>
      </c>
      <c r="B1168" s="4">
        <v>44539</v>
      </c>
      <c r="C1168">
        <v>23</v>
      </c>
      <c r="D1168" t="s">
        <v>42</v>
      </c>
      <c r="E1168">
        <f>_xlfn.XLOOKUP(D1168,Worksheet!$C$3:$C$32,Worksheet!$M$3:$M$32)</f>
        <v>109</v>
      </c>
      <c r="F1168" s="19">
        <f>_xlfn.XLOOKUP(D1168,Worksheet!$C$3:$C$32,Worksheet!$S$3:$S$32)</f>
        <v>0.68292682926829273</v>
      </c>
    </row>
    <row r="1169" spans="1:6" x14ac:dyDescent="0.2">
      <c r="A1169" t="s">
        <v>557</v>
      </c>
      <c r="B1169" s="4">
        <v>44540</v>
      </c>
      <c r="C1169">
        <v>31.1</v>
      </c>
      <c r="D1169" t="s">
        <v>68</v>
      </c>
      <c r="E1169">
        <f>_xlfn.XLOOKUP(D1169,Worksheet!$C$3:$C$32,Worksheet!$M$3:$M$32)</f>
        <v>112.8</v>
      </c>
      <c r="F1169" s="19">
        <f>_xlfn.XLOOKUP(D1169,Worksheet!$C$3:$C$32,Worksheet!$S$3:$S$32)</f>
        <v>0.29268292682926828</v>
      </c>
    </row>
    <row r="1170" spans="1:6" x14ac:dyDescent="0.2">
      <c r="A1170" t="s">
        <v>557</v>
      </c>
      <c r="B1170" s="4">
        <v>44542</v>
      </c>
      <c r="C1170">
        <v>26.4</v>
      </c>
      <c r="D1170" t="s">
        <v>104</v>
      </c>
      <c r="E1170">
        <f>_xlfn.XLOOKUP(D1170,Worksheet!$C$3:$C$32,Worksheet!$M$3:$M$32)</f>
        <v>112.5</v>
      </c>
      <c r="F1170" s="19">
        <f>_xlfn.XLOOKUP(D1170,Worksheet!$C$3:$C$32,Worksheet!$S$3:$S$32)</f>
        <v>0.26829268292682928</v>
      </c>
    </row>
    <row r="1171" spans="1:6" x14ac:dyDescent="0.2">
      <c r="A1171" t="s">
        <v>557</v>
      </c>
      <c r="B1171" s="4">
        <v>44545</v>
      </c>
      <c r="C1171">
        <v>16.899999999999999</v>
      </c>
      <c r="D1171" t="s">
        <v>49</v>
      </c>
      <c r="E1171">
        <f>_xlfn.XLOOKUP(D1171,Worksheet!$C$3:$C$32,Worksheet!$M$3:$M$32)</f>
        <v>109.4</v>
      </c>
      <c r="F1171" s="19">
        <f>_xlfn.XLOOKUP(D1171,Worksheet!$C$3:$C$32,Worksheet!$S$3:$S$32)</f>
        <v>0.63414634146341464</v>
      </c>
    </row>
    <row r="1172" spans="1:6" x14ac:dyDescent="0.2">
      <c r="A1172" t="s">
        <v>557</v>
      </c>
      <c r="B1172" s="4">
        <v>44547</v>
      </c>
      <c r="C1172">
        <v>13.4</v>
      </c>
      <c r="D1172" t="s">
        <v>80</v>
      </c>
      <c r="E1172">
        <f>_xlfn.XLOOKUP(D1172,Worksheet!$C$3:$C$32,Worksheet!$M$3:$M$32)</f>
        <v>111.7</v>
      </c>
      <c r="F1172" s="19">
        <f>_xlfn.XLOOKUP(D1172,Worksheet!$C$3:$C$32,Worksheet!$S$3:$S$32)</f>
        <v>0.56097560975609762</v>
      </c>
    </row>
    <row r="1173" spans="1:6" x14ac:dyDescent="0.2">
      <c r="A1173" t="s">
        <v>557</v>
      </c>
      <c r="B1173" s="4">
        <v>44549</v>
      </c>
      <c r="C1173">
        <v>24.7</v>
      </c>
      <c r="D1173" t="s">
        <v>82</v>
      </c>
      <c r="E1173">
        <f>_xlfn.XLOOKUP(D1173,Worksheet!$C$3:$C$32,Worksheet!$M$3:$M$32)</f>
        <v>113.6</v>
      </c>
      <c r="F1173" s="19">
        <f>_xlfn.XLOOKUP(D1173,Worksheet!$C$3:$C$32,Worksheet!$S$3:$S$32)</f>
        <v>0.56097560975609762</v>
      </c>
    </row>
    <row r="1174" spans="1:6" x14ac:dyDescent="0.2">
      <c r="A1174" t="s">
        <v>557</v>
      </c>
      <c r="B1174" s="4">
        <v>44551</v>
      </c>
      <c r="C1174">
        <v>29</v>
      </c>
      <c r="D1174" t="s">
        <v>99</v>
      </c>
      <c r="E1174">
        <f>_xlfn.XLOOKUP(D1174,Worksheet!$C$3:$C$32,Worksheet!$M$3:$M$32)</f>
        <v>107.3</v>
      </c>
      <c r="F1174" s="19">
        <f>_xlfn.XLOOKUP(D1174,Worksheet!$C$3:$C$32,Worksheet!$S$3:$S$32)</f>
        <v>0.78048780487804881</v>
      </c>
    </row>
    <row r="1175" spans="1:6" x14ac:dyDescent="0.2">
      <c r="A1175" t="s">
        <v>557</v>
      </c>
      <c r="B1175" s="4">
        <v>44553</v>
      </c>
      <c r="C1175">
        <v>29.3</v>
      </c>
      <c r="D1175" t="s">
        <v>102</v>
      </c>
      <c r="E1175">
        <f>_xlfn.XLOOKUP(D1175,Worksheet!$C$3:$C$32,Worksheet!$M$3:$M$32)</f>
        <v>112.3</v>
      </c>
      <c r="F1175" s="19">
        <f>_xlfn.XLOOKUP(D1175,Worksheet!$C$3:$C$32,Worksheet!$S$3:$S$32)</f>
        <v>0.41463414634146339</v>
      </c>
    </row>
    <row r="1176" spans="1:6" x14ac:dyDescent="0.2">
      <c r="A1176" t="s">
        <v>557</v>
      </c>
      <c r="B1176" s="4">
        <v>44555</v>
      </c>
      <c r="C1176">
        <v>34.6</v>
      </c>
      <c r="D1176" t="s">
        <v>85</v>
      </c>
      <c r="E1176">
        <f>_xlfn.XLOOKUP(D1176,Worksheet!$C$3:$C$32,Worksheet!$M$3:$M$32)</f>
        <v>112.8</v>
      </c>
      <c r="F1176" s="19">
        <f>_xlfn.XLOOKUP(D1176,Worksheet!$C$3:$C$32,Worksheet!$S$3:$S$32)</f>
        <v>0.53658536585365857</v>
      </c>
    </row>
    <row r="1177" spans="1:6" x14ac:dyDescent="0.2">
      <c r="A1177" t="s">
        <v>557</v>
      </c>
      <c r="B1177" s="4">
        <v>44558</v>
      </c>
      <c r="C1177">
        <v>32.799999999999997</v>
      </c>
      <c r="D1177" t="s">
        <v>76</v>
      </c>
      <c r="E1177">
        <f>_xlfn.XLOOKUP(D1177,Worksheet!$C$3:$C$32,Worksheet!$M$3:$M$32)</f>
        <v>116.7</v>
      </c>
      <c r="F1177" s="19">
        <f>_xlfn.XLOOKUP(D1177,Worksheet!$C$3:$C$32,Worksheet!$S$3:$S$32)</f>
        <v>0.24390243902439024</v>
      </c>
    </row>
    <row r="1178" spans="1:6" x14ac:dyDescent="0.2">
      <c r="A1178" t="s">
        <v>557</v>
      </c>
      <c r="B1178" s="4">
        <v>44559</v>
      </c>
      <c r="C1178">
        <v>32.299999999999997</v>
      </c>
      <c r="D1178" t="s">
        <v>42</v>
      </c>
      <c r="E1178">
        <f>_xlfn.XLOOKUP(D1178,Worksheet!$C$3:$C$32,Worksheet!$M$3:$M$32)</f>
        <v>109</v>
      </c>
      <c r="F1178" s="19">
        <f>_xlfn.XLOOKUP(D1178,Worksheet!$C$3:$C$32,Worksheet!$S$3:$S$32)</f>
        <v>0.68292682926829273</v>
      </c>
    </row>
    <row r="1179" spans="1:6" x14ac:dyDescent="0.2">
      <c r="A1179" t="s">
        <v>557</v>
      </c>
      <c r="B1179" s="4">
        <v>44561</v>
      </c>
      <c r="C1179">
        <v>40.799999999999997</v>
      </c>
      <c r="D1179" t="s">
        <v>96</v>
      </c>
      <c r="E1179">
        <f>_xlfn.XLOOKUP(D1179,Worksheet!$C$3:$C$32,Worksheet!$M$3:$M$32)</f>
        <v>116.9</v>
      </c>
      <c r="F1179" s="19">
        <f>_xlfn.XLOOKUP(D1179,Worksheet!$C$3:$C$32,Worksheet!$S$3:$S$32)</f>
        <v>0.32926829268292684</v>
      </c>
    </row>
    <row r="1180" spans="1:6" x14ac:dyDescent="0.2">
      <c r="A1180" t="s">
        <v>557</v>
      </c>
      <c r="B1180" s="4">
        <v>44563</v>
      </c>
      <c r="C1180">
        <v>24.6</v>
      </c>
      <c r="D1180" t="s">
        <v>80</v>
      </c>
      <c r="E1180">
        <f>_xlfn.XLOOKUP(D1180,Worksheet!$C$3:$C$32,Worksheet!$M$3:$M$32)</f>
        <v>111.7</v>
      </c>
      <c r="F1180" s="19">
        <f>_xlfn.XLOOKUP(D1180,Worksheet!$C$3:$C$32,Worksheet!$S$3:$S$32)</f>
        <v>0.56097560975609762</v>
      </c>
    </row>
    <row r="1181" spans="1:6" x14ac:dyDescent="0.2">
      <c r="A1181" t="s">
        <v>557</v>
      </c>
      <c r="B1181" s="4">
        <v>44565</v>
      </c>
      <c r="C1181">
        <v>20.5</v>
      </c>
      <c r="D1181" t="s">
        <v>66</v>
      </c>
      <c r="E1181">
        <f>_xlfn.XLOOKUP(D1181,Worksheet!$C$3:$C$32,Worksheet!$M$3:$M$32)</f>
        <v>115.3</v>
      </c>
      <c r="F1181" s="19">
        <f>_xlfn.XLOOKUP(D1181,Worksheet!$C$3:$C$32,Worksheet!$S$3:$S$32)</f>
        <v>0.36585365853658536</v>
      </c>
    </row>
    <row r="1182" spans="1:6" x14ac:dyDescent="0.2">
      <c r="A1182" t="s">
        <v>557</v>
      </c>
      <c r="B1182" s="4">
        <v>44568</v>
      </c>
      <c r="C1182">
        <v>30</v>
      </c>
      <c r="D1182" t="s">
        <v>78</v>
      </c>
      <c r="E1182">
        <f>_xlfn.XLOOKUP(D1182,Worksheet!$C$3:$C$32,Worksheet!$M$3:$M$32)</f>
        <v>114.9</v>
      </c>
      <c r="F1182" s="19">
        <f>_xlfn.XLOOKUP(D1182,Worksheet!$C$3:$C$32,Worksheet!$S$3:$S$32)</f>
        <v>0.52439024390243905</v>
      </c>
    </row>
    <row r="1183" spans="1:6" x14ac:dyDescent="0.2">
      <c r="A1183" t="s">
        <v>557</v>
      </c>
      <c r="B1183" s="4">
        <v>44570</v>
      </c>
      <c r="C1183">
        <v>32.700000000000003</v>
      </c>
      <c r="D1183" t="s">
        <v>42</v>
      </c>
      <c r="E1183">
        <f>_xlfn.XLOOKUP(D1183,Worksheet!$C$3:$C$32,Worksheet!$M$3:$M$32)</f>
        <v>109</v>
      </c>
      <c r="F1183" s="19">
        <f>_xlfn.XLOOKUP(D1183,Worksheet!$C$3:$C$32,Worksheet!$S$3:$S$32)</f>
        <v>0.68292682926829273</v>
      </c>
    </row>
    <row r="1184" spans="1:6" x14ac:dyDescent="0.2">
      <c r="A1184" t="s">
        <v>557</v>
      </c>
      <c r="B1184" s="4">
        <v>44573</v>
      </c>
      <c r="C1184">
        <v>22.5</v>
      </c>
      <c r="D1184" t="s">
        <v>66</v>
      </c>
      <c r="E1184">
        <f>_xlfn.XLOOKUP(D1184,Worksheet!$C$3:$C$32,Worksheet!$M$3:$M$32)</f>
        <v>115.3</v>
      </c>
      <c r="F1184" s="19">
        <f>_xlfn.XLOOKUP(D1184,Worksheet!$C$3:$C$32,Worksheet!$S$3:$S$32)</f>
        <v>0.36585365853658536</v>
      </c>
    </row>
    <row r="1185" spans="1:6" x14ac:dyDescent="0.2">
      <c r="A1185" t="s">
        <v>557</v>
      </c>
      <c r="B1185" s="4">
        <v>44576</v>
      </c>
      <c r="C1185">
        <v>16.600000000000001</v>
      </c>
      <c r="D1185" t="s">
        <v>34</v>
      </c>
      <c r="E1185">
        <f>_xlfn.XLOOKUP(D1185,Worksheet!$C$3:$C$32,Worksheet!$M$3:$M$32)</f>
        <v>112.1</v>
      </c>
      <c r="F1185" s="19">
        <f>_xlfn.XLOOKUP(D1185,Worksheet!$C$3:$C$32,Worksheet!$S$3:$S$32)</f>
        <v>0.58536585365853655</v>
      </c>
    </row>
    <row r="1186" spans="1:6" x14ac:dyDescent="0.2">
      <c r="A1186" t="s">
        <v>557</v>
      </c>
      <c r="B1186" s="4">
        <v>44578</v>
      </c>
      <c r="C1186">
        <v>20.3</v>
      </c>
      <c r="D1186" t="s">
        <v>118</v>
      </c>
      <c r="E1186">
        <f>_xlfn.XLOOKUP(D1186,Worksheet!$C$3:$C$32,Worksheet!$M$3:$M$32)</f>
        <v>110.5</v>
      </c>
      <c r="F1186" s="19">
        <f>_xlfn.XLOOKUP(D1186,Worksheet!$C$3:$C$32,Worksheet!$S$3:$S$32)</f>
        <v>0.59756097560975607</v>
      </c>
    </row>
    <row r="1187" spans="1:6" x14ac:dyDescent="0.2">
      <c r="A1187" t="s">
        <v>557</v>
      </c>
      <c r="B1187" s="4">
        <v>44580</v>
      </c>
      <c r="C1187">
        <v>24.3</v>
      </c>
      <c r="D1187" t="s">
        <v>108</v>
      </c>
      <c r="E1187">
        <f>_xlfn.XLOOKUP(D1187,Worksheet!$C$3:$C$32,Worksheet!$M$3:$M$32)</f>
        <v>116.1</v>
      </c>
      <c r="F1187" s="19">
        <f>_xlfn.XLOOKUP(D1187,Worksheet!$C$3:$C$32,Worksheet!$S$3:$S$32)</f>
        <v>0.3048780487804878</v>
      </c>
    </row>
    <row r="1188" spans="1:6" x14ac:dyDescent="0.2">
      <c r="A1188" t="s">
        <v>557</v>
      </c>
      <c r="B1188" s="4">
        <v>44582</v>
      </c>
      <c r="C1188">
        <v>18.2</v>
      </c>
      <c r="D1188" t="s">
        <v>104</v>
      </c>
      <c r="E1188">
        <f>_xlfn.XLOOKUP(D1188,Worksheet!$C$3:$C$32,Worksheet!$M$3:$M$32)</f>
        <v>112.5</v>
      </c>
      <c r="F1188" s="19">
        <f>_xlfn.XLOOKUP(D1188,Worksheet!$C$3:$C$32,Worksheet!$S$3:$S$32)</f>
        <v>0.26829268292682928</v>
      </c>
    </row>
    <row r="1189" spans="1:6" x14ac:dyDescent="0.2">
      <c r="A1189" t="s">
        <v>557</v>
      </c>
      <c r="B1189" s="4">
        <v>44584</v>
      </c>
      <c r="C1189">
        <v>25.5</v>
      </c>
      <c r="D1189" t="s">
        <v>120</v>
      </c>
      <c r="E1189">
        <f>_xlfn.XLOOKUP(D1189,Worksheet!$C$3:$C$32,Worksheet!$M$3:$M$32)</f>
        <v>109.1</v>
      </c>
      <c r="F1189" s="19">
        <f>_xlfn.XLOOKUP(D1189,Worksheet!$C$3:$C$32,Worksheet!$S$3:$S$32)</f>
        <v>0.64634146341463417</v>
      </c>
    </row>
    <row r="1190" spans="1:6" x14ac:dyDescent="0.2">
      <c r="A1190" t="s">
        <v>557</v>
      </c>
      <c r="B1190" s="4">
        <v>44586</v>
      </c>
      <c r="C1190">
        <v>34.200000000000003</v>
      </c>
      <c r="D1190" t="s">
        <v>85</v>
      </c>
      <c r="E1190">
        <f>_xlfn.XLOOKUP(D1190,Worksheet!$C$3:$C$32,Worksheet!$M$3:$M$32)</f>
        <v>112.8</v>
      </c>
      <c r="F1190" s="19">
        <f>_xlfn.XLOOKUP(D1190,Worksheet!$C$3:$C$32,Worksheet!$S$3:$S$32)</f>
        <v>0.53658536585365857</v>
      </c>
    </row>
    <row r="1191" spans="1:6" x14ac:dyDescent="0.2">
      <c r="A1191" t="s">
        <v>557</v>
      </c>
      <c r="B1191" s="4">
        <v>44588</v>
      </c>
      <c r="C1191" t="s">
        <v>91</v>
      </c>
      <c r="D1191" t="s">
        <v>94</v>
      </c>
      <c r="E1191">
        <f>_xlfn.XLOOKUP(D1191,Worksheet!$C$3:$C$32,Worksheet!$M$3:$M$32)</f>
        <v>110.8</v>
      </c>
      <c r="F1191" s="19">
        <f>_xlfn.XLOOKUP(D1191,Worksheet!$C$3:$C$32,Worksheet!$S$3:$S$32)</f>
        <v>0.62195121951219512</v>
      </c>
    </row>
    <row r="1192" spans="1:6" x14ac:dyDescent="0.2">
      <c r="A1192" t="s">
        <v>557</v>
      </c>
      <c r="B1192" s="4">
        <v>44589</v>
      </c>
      <c r="C1192" t="s">
        <v>91</v>
      </c>
      <c r="D1192" t="s">
        <v>72</v>
      </c>
      <c r="E1192">
        <f>_xlfn.XLOOKUP(D1192,Worksheet!$C$3:$C$32,Worksheet!$M$3:$M$32)</f>
        <v>113.7</v>
      </c>
      <c r="F1192" s="19">
        <f>_xlfn.XLOOKUP(D1192,Worksheet!$C$3:$C$32,Worksheet!$S$3:$S$32)</f>
        <v>0.52439024390243905</v>
      </c>
    </row>
    <row r="1193" spans="1:6" x14ac:dyDescent="0.2">
      <c r="A1193" t="s">
        <v>557</v>
      </c>
      <c r="B1193" s="4">
        <v>44591</v>
      </c>
      <c r="C1193" t="s">
        <v>91</v>
      </c>
      <c r="D1193" t="s">
        <v>78</v>
      </c>
      <c r="E1193">
        <f>_xlfn.XLOOKUP(D1193,Worksheet!$C$3:$C$32,Worksheet!$M$3:$M$32)</f>
        <v>114.9</v>
      </c>
      <c r="F1193" s="19">
        <f>_xlfn.XLOOKUP(D1193,Worksheet!$C$3:$C$32,Worksheet!$S$3:$S$32)</f>
        <v>0.52439024390243905</v>
      </c>
    </row>
    <row r="1194" spans="1:6" x14ac:dyDescent="0.2">
      <c r="A1194" t="s">
        <v>557</v>
      </c>
      <c r="B1194" s="4">
        <v>44594</v>
      </c>
      <c r="C1194" t="s">
        <v>91</v>
      </c>
      <c r="D1194" t="s">
        <v>96</v>
      </c>
      <c r="E1194">
        <f>_xlfn.XLOOKUP(D1194,Worksheet!$C$3:$C$32,Worksheet!$M$3:$M$32)</f>
        <v>116.9</v>
      </c>
      <c r="F1194" s="19">
        <f>_xlfn.XLOOKUP(D1194,Worksheet!$C$3:$C$32,Worksheet!$S$3:$S$32)</f>
        <v>0.32926829268292684</v>
      </c>
    </row>
    <row r="1195" spans="1:6" x14ac:dyDescent="0.2">
      <c r="A1195" t="s">
        <v>557</v>
      </c>
      <c r="B1195" s="4">
        <v>44595</v>
      </c>
      <c r="C1195" t="s">
        <v>91</v>
      </c>
      <c r="D1195" t="s">
        <v>64</v>
      </c>
      <c r="E1195">
        <f>_xlfn.XLOOKUP(D1195,Worksheet!$C$3:$C$32,Worksheet!$M$3:$M$32)</f>
        <v>110.1</v>
      </c>
      <c r="F1195" s="19">
        <f>_xlfn.XLOOKUP(D1195,Worksheet!$C$3:$C$32,Worksheet!$S$3:$S$32)</f>
        <v>0.51219512195121952</v>
      </c>
    </row>
    <row r="1196" spans="1:6" x14ac:dyDescent="0.2">
      <c r="A1196" t="s">
        <v>557</v>
      </c>
      <c r="B1196" s="4">
        <v>44597</v>
      </c>
      <c r="C1196">
        <v>25.9</v>
      </c>
      <c r="D1196" t="s">
        <v>110</v>
      </c>
      <c r="E1196">
        <f>_xlfn.XLOOKUP(D1196,Worksheet!$C$3:$C$32,Worksheet!$M$3:$M$32)</f>
        <v>110.5</v>
      </c>
      <c r="F1196" s="19">
        <f>_xlfn.XLOOKUP(D1196,Worksheet!$C$3:$C$32,Worksheet!$S$3:$S$32)</f>
        <v>0.45121951219512196</v>
      </c>
    </row>
    <row r="1197" spans="1:6" x14ac:dyDescent="0.2">
      <c r="A1197" t="s">
        <v>557</v>
      </c>
      <c r="B1197" s="4">
        <v>44600</v>
      </c>
      <c r="C1197">
        <v>18.8</v>
      </c>
      <c r="D1197" t="s">
        <v>126</v>
      </c>
      <c r="E1197">
        <f>_xlfn.XLOOKUP(D1197,Worksheet!$C$3:$C$32,Worksheet!$M$3:$M$32)</f>
        <v>111.8</v>
      </c>
      <c r="F1197" s="19">
        <f>_xlfn.XLOOKUP(D1197,Worksheet!$C$3:$C$32,Worksheet!$S$3:$S$32)</f>
        <v>0.62195121951219512</v>
      </c>
    </row>
    <row r="1198" spans="1:6" x14ac:dyDescent="0.2">
      <c r="A1198" t="s">
        <v>557</v>
      </c>
      <c r="B1198" s="4">
        <v>44601</v>
      </c>
      <c r="C1198">
        <v>23.4</v>
      </c>
      <c r="D1198" t="s">
        <v>96</v>
      </c>
      <c r="E1198">
        <f>_xlfn.XLOOKUP(D1198,Worksheet!$C$3:$C$32,Worksheet!$M$3:$M$32)</f>
        <v>116.9</v>
      </c>
      <c r="F1198" s="19">
        <f>_xlfn.XLOOKUP(D1198,Worksheet!$C$3:$C$32,Worksheet!$S$3:$S$32)</f>
        <v>0.32926829268292684</v>
      </c>
    </row>
    <row r="1199" spans="1:6" x14ac:dyDescent="0.2">
      <c r="A1199" t="s">
        <v>557</v>
      </c>
      <c r="B1199" s="4">
        <v>44604</v>
      </c>
      <c r="C1199">
        <v>15.2</v>
      </c>
      <c r="D1199" t="s">
        <v>33</v>
      </c>
      <c r="E1199">
        <f>_xlfn.XLOOKUP(D1199,Worksheet!$C$3:$C$32,Worksheet!$M$3:$M$32)</f>
        <v>106.9</v>
      </c>
      <c r="F1199" s="19">
        <f>_xlfn.XLOOKUP(D1199,Worksheet!$C$3:$C$32,Worksheet!$S$3:$S$32)</f>
        <v>0.64634146341463417</v>
      </c>
    </row>
    <row r="1200" spans="1:6" x14ac:dyDescent="0.2">
      <c r="A1200" t="s">
        <v>557</v>
      </c>
      <c r="B1200" s="4">
        <v>44608</v>
      </c>
      <c r="C1200">
        <v>28.1</v>
      </c>
      <c r="D1200" t="s">
        <v>118</v>
      </c>
      <c r="E1200">
        <f>_xlfn.XLOOKUP(D1200,Worksheet!$C$3:$C$32,Worksheet!$M$3:$M$32)</f>
        <v>110.5</v>
      </c>
      <c r="F1200" s="19">
        <f>_xlfn.XLOOKUP(D1200,Worksheet!$C$3:$C$32,Worksheet!$S$3:$S$32)</f>
        <v>0.59756097560975607</v>
      </c>
    </row>
    <row r="1201" spans="1:6" x14ac:dyDescent="0.2">
      <c r="A1201" t="s">
        <v>557</v>
      </c>
      <c r="B1201" s="4">
        <v>44617</v>
      </c>
      <c r="C1201">
        <v>11.5</v>
      </c>
      <c r="D1201" t="s">
        <v>64</v>
      </c>
      <c r="E1201">
        <f>_xlfn.XLOOKUP(D1201,Worksheet!$C$3:$C$32,Worksheet!$M$3:$M$32)</f>
        <v>110.1</v>
      </c>
      <c r="F1201" s="19">
        <f>_xlfn.XLOOKUP(D1201,Worksheet!$C$3:$C$32,Worksheet!$S$3:$S$32)</f>
        <v>0.51219512195121952</v>
      </c>
    </row>
    <row r="1202" spans="1:6" x14ac:dyDescent="0.2">
      <c r="A1202" t="s">
        <v>557</v>
      </c>
      <c r="B1202" s="4">
        <v>44619</v>
      </c>
      <c r="C1202">
        <v>20.6</v>
      </c>
      <c r="D1202" t="s">
        <v>74</v>
      </c>
      <c r="E1202">
        <f>_xlfn.XLOOKUP(D1202,Worksheet!$C$3:$C$32,Worksheet!$M$3:$M$32)</f>
        <v>113</v>
      </c>
      <c r="F1202" s="19">
        <f>_xlfn.XLOOKUP(D1202,Worksheet!$C$3:$C$32,Worksheet!$S$3:$S$32)</f>
        <v>0.43902439024390244</v>
      </c>
    </row>
    <row r="1203" spans="1:6" x14ac:dyDescent="0.2">
      <c r="A1203" t="s">
        <v>557</v>
      </c>
      <c r="B1203" s="4">
        <v>44621</v>
      </c>
      <c r="C1203">
        <v>19.899999999999999</v>
      </c>
      <c r="D1203" t="s">
        <v>49</v>
      </c>
      <c r="E1203">
        <f>_xlfn.XLOOKUP(D1203,Worksheet!$C$3:$C$32,Worksheet!$M$3:$M$32)</f>
        <v>109.4</v>
      </c>
      <c r="F1203" s="19">
        <f>_xlfn.XLOOKUP(D1203,Worksheet!$C$3:$C$32,Worksheet!$S$3:$S$32)</f>
        <v>0.63414634146341464</v>
      </c>
    </row>
    <row r="1204" spans="1:6" x14ac:dyDescent="0.2">
      <c r="A1204" t="s">
        <v>557</v>
      </c>
      <c r="B1204" s="4">
        <v>44623</v>
      </c>
      <c r="C1204">
        <v>17.3</v>
      </c>
      <c r="D1204" t="s">
        <v>64</v>
      </c>
      <c r="E1204">
        <f>_xlfn.XLOOKUP(D1204,Worksheet!$C$3:$C$32,Worksheet!$M$3:$M$32)</f>
        <v>110.1</v>
      </c>
      <c r="F1204" s="19">
        <f>_xlfn.XLOOKUP(D1204,Worksheet!$C$3:$C$32,Worksheet!$S$3:$S$32)</f>
        <v>0.51219512195121952</v>
      </c>
    </row>
    <row r="1205" spans="1:6" x14ac:dyDescent="0.2">
      <c r="A1205" t="s">
        <v>557</v>
      </c>
      <c r="B1205" s="4">
        <v>44625</v>
      </c>
      <c r="C1205">
        <v>44.1</v>
      </c>
      <c r="D1205" t="s">
        <v>33</v>
      </c>
      <c r="E1205">
        <f>_xlfn.XLOOKUP(D1205,Worksheet!$C$3:$C$32,Worksheet!$M$3:$M$32)</f>
        <v>106.9</v>
      </c>
      <c r="F1205" s="19">
        <f>_xlfn.XLOOKUP(D1205,Worksheet!$C$3:$C$32,Worksheet!$S$3:$S$32)</f>
        <v>0.64634146341463417</v>
      </c>
    </row>
    <row r="1206" spans="1:6" x14ac:dyDescent="0.2">
      <c r="A1206" t="s">
        <v>557</v>
      </c>
      <c r="B1206" s="4">
        <v>44627</v>
      </c>
      <c r="C1206" t="s">
        <v>210</v>
      </c>
      <c r="D1206" t="s">
        <v>102</v>
      </c>
      <c r="E1206">
        <f>_xlfn.XLOOKUP(D1206,Worksheet!$C$3:$C$32,Worksheet!$M$3:$M$32)</f>
        <v>112.3</v>
      </c>
      <c r="F1206" s="19">
        <f>_xlfn.XLOOKUP(D1206,Worksheet!$C$3:$C$32,Worksheet!$S$3:$S$32)</f>
        <v>0.41463414634146339</v>
      </c>
    </row>
    <row r="1207" spans="1:6" x14ac:dyDescent="0.2">
      <c r="A1207" t="s">
        <v>557</v>
      </c>
      <c r="B1207" s="4">
        <v>44629</v>
      </c>
      <c r="C1207">
        <v>19.399999999999999</v>
      </c>
      <c r="D1207" t="s">
        <v>76</v>
      </c>
      <c r="E1207">
        <f>_xlfn.XLOOKUP(D1207,Worksheet!$C$3:$C$32,Worksheet!$M$3:$M$32)</f>
        <v>116.7</v>
      </c>
      <c r="F1207" s="19">
        <f>_xlfn.XLOOKUP(D1207,Worksheet!$C$3:$C$32,Worksheet!$S$3:$S$32)</f>
        <v>0.24390243902439024</v>
      </c>
    </row>
    <row r="1208" spans="1:6" x14ac:dyDescent="0.2">
      <c r="A1208" t="s">
        <v>557</v>
      </c>
      <c r="B1208" s="4">
        <v>44631</v>
      </c>
      <c r="C1208">
        <v>42.5</v>
      </c>
      <c r="D1208" t="s">
        <v>155</v>
      </c>
      <c r="E1208">
        <f>_xlfn.XLOOKUP(D1208,Worksheet!$C$3:$C$32,Worksheet!$M$3:$M$32)</f>
        <v>114.5</v>
      </c>
      <c r="F1208" s="19">
        <f>_xlfn.XLOOKUP(D1208,Worksheet!$C$3:$C$32,Worksheet!$S$3:$S$32)</f>
        <v>0.42682926829268292</v>
      </c>
    </row>
    <row r="1209" spans="1:6" x14ac:dyDescent="0.2">
      <c r="A1209" t="s">
        <v>557</v>
      </c>
      <c r="B1209" s="4">
        <v>44633</v>
      </c>
      <c r="C1209">
        <v>23.6</v>
      </c>
      <c r="D1209" t="s">
        <v>99</v>
      </c>
      <c r="E1209">
        <f>_xlfn.XLOOKUP(D1209,Worksheet!$C$3:$C$32,Worksheet!$M$3:$M$32)</f>
        <v>107.3</v>
      </c>
      <c r="F1209" s="19">
        <f>_xlfn.XLOOKUP(D1209,Worksheet!$C$3:$C$32,Worksheet!$S$3:$S$32)</f>
        <v>0.78048780487804881</v>
      </c>
    </row>
    <row r="1210" spans="1:6" x14ac:dyDescent="0.2">
      <c r="A1210" t="s">
        <v>557</v>
      </c>
      <c r="B1210" s="4">
        <v>44634</v>
      </c>
      <c r="C1210">
        <v>20.7</v>
      </c>
      <c r="D1210" t="s">
        <v>92</v>
      </c>
      <c r="E1210">
        <f>_xlfn.XLOOKUP(D1210,Worksheet!$C$3:$C$32,Worksheet!$M$3:$M$32)</f>
        <v>110.5</v>
      </c>
      <c r="F1210" s="19">
        <f>_xlfn.XLOOKUP(D1210,Worksheet!$C$3:$C$32,Worksheet!$S$3:$S$32)</f>
        <v>0.58536585365853655</v>
      </c>
    </row>
    <row r="1211" spans="1:6" x14ac:dyDescent="0.2">
      <c r="A1211" t="s">
        <v>557</v>
      </c>
      <c r="B1211" s="4">
        <v>44636</v>
      </c>
      <c r="C1211">
        <v>6</v>
      </c>
      <c r="D1211" t="s">
        <v>80</v>
      </c>
      <c r="E1211">
        <f>_xlfn.XLOOKUP(D1211,Worksheet!$C$3:$C$32,Worksheet!$M$3:$M$32)</f>
        <v>111.7</v>
      </c>
      <c r="F1211" s="19">
        <f>_xlfn.XLOOKUP(D1211,Worksheet!$C$3:$C$32,Worksheet!$S$3:$S$32)</f>
        <v>0.56097560975609762</v>
      </c>
    </row>
    <row r="1212" spans="1:6" x14ac:dyDescent="0.2">
      <c r="A1212" t="s">
        <v>557</v>
      </c>
      <c r="B1212" s="4">
        <v>44638</v>
      </c>
      <c r="C1212">
        <v>29.4</v>
      </c>
      <c r="D1212" t="s">
        <v>92</v>
      </c>
      <c r="E1212">
        <f>_xlfn.XLOOKUP(D1212,Worksheet!$C$3:$C$32,Worksheet!$M$3:$M$32)</f>
        <v>110.5</v>
      </c>
      <c r="F1212" s="19">
        <f>_xlfn.XLOOKUP(D1212,Worksheet!$C$3:$C$32,Worksheet!$S$3:$S$32)</f>
        <v>0.58536585365853655</v>
      </c>
    </row>
    <row r="1213" spans="1:6" x14ac:dyDescent="0.2">
      <c r="A1213" t="s">
        <v>557</v>
      </c>
      <c r="B1213" s="4">
        <v>44639</v>
      </c>
      <c r="C1213">
        <v>28.5</v>
      </c>
      <c r="D1213" t="s">
        <v>155</v>
      </c>
      <c r="E1213">
        <f>_xlfn.XLOOKUP(D1213,Worksheet!$C$3:$C$32,Worksheet!$M$3:$M$32)</f>
        <v>114.5</v>
      </c>
      <c r="F1213" s="19">
        <f>_xlfn.XLOOKUP(D1213,Worksheet!$C$3:$C$32,Worksheet!$S$3:$S$32)</f>
        <v>0.42682926829268292</v>
      </c>
    </row>
    <row r="1214" spans="1:6" x14ac:dyDescent="0.2">
      <c r="A1214" t="s">
        <v>557</v>
      </c>
      <c r="B1214" s="4">
        <v>44641</v>
      </c>
      <c r="C1214">
        <v>35</v>
      </c>
      <c r="D1214" t="s">
        <v>87</v>
      </c>
      <c r="E1214">
        <f>_xlfn.XLOOKUP(D1214,Worksheet!$C$3:$C$32,Worksheet!$M$3:$M$32)</f>
        <v>109.7</v>
      </c>
      <c r="F1214" s="19">
        <f>_xlfn.XLOOKUP(D1214,Worksheet!$C$3:$C$32,Worksheet!$S$3:$S$32)</f>
        <v>0.53658536585365857</v>
      </c>
    </row>
    <row r="1215" spans="1:6" x14ac:dyDescent="0.2">
      <c r="A1215" t="s">
        <v>557</v>
      </c>
      <c r="B1215" s="4">
        <v>44643</v>
      </c>
      <c r="C1215" t="s">
        <v>91</v>
      </c>
      <c r="D1215" t="s">
        <v>94</v>
      </c>
      <c r="E1215">
        <f>_xlfn.XLOOKUP(D1215,Worksheet!$C$3:$C$32,Worksheet!$M$3:$M$32)</f>
        <v>110.8</v>
      </c>
      <c r="F1215" s="19">
        <f>_xlfn.XLOOKUP(D1215,Worksheet!$C$3:$C$32,Worksheet!$S$3:$S$32)</f>
        <v>0.62195121951219512</v>
      </c>
    </row>
    <row r="1216" spans="1:6" x14ac:dyDescent="0.2">
      <c r="A1216" t="s">
        <v>557</v>
      </c>
      <c r="B1216" s="4">
        <v>44647</v>
      </c>
      <c r="C1216">
        <v>27.8</v>
      </c>
      <c r="D1216" t="s">
        <v>74</v>
      </c>
      <c r="E1216">
        <f>_xlfn.XLOOKUP(D1216,Worksheet!$C$3:$C$32,Worksheet!$M$3:$M$32)</f>
        <v>113</v>
      </c>
      <c r="F1216" s="19">
        <f>_xlfn.XLOOKUP(D1216,Worksheet!$C$3:$C$32,Worksheet!$S$3:$S$32)</f>
        <v>0.43902439024390244</v>
      </c>
    </row>
    <row r="1217" spans="1:6" x14ac:dyDescent="0.2">
      <c r="A1217" t="s">
        <v>557</v>
      </c>
      <c r="B1217" s="4">
        <v>44649</v>
      </c>
      <c r="C1217" t="s">
        <v>91</v>
      </c>
      <c r="D1217" t="s">
        <v>49</v>
      </c>
      <c r="E1217">
        <f>_xlfn.XLOOKUP(D1217,Worksheet!$C$3:$C$32,Worksheet!$M$3:$M$32)</f>
        <v>109.4</v>
      </c>
      <c r="F1217" s="19">
        <f>_xlfn.XLOOKUP(D1217,Worksheet!$C$3:$C$32,Worksheet!$S$3:$S$32)</f>
        <v>0.63414634146341464</v>
      </c>
    </row>
    <row r="1218" spans="1:6" x14ac:dyDescent="0.2">
      <c r="A1218" t="s">
        <v>557</v>
      </c>
      <c r="B1218" s="4">
        <v>44651</v>
      </c>
      <c r="C1218" t="s">
        <v>91</v>
      </c>
      <c r="D1218" t="s">
        <v>118</v>
      </c>
      <c r="E1218">
        <f>_xlfn.XLOOKUP(D1218,Worksheet!$C$3:$C$32,Worksheet!$M$3:$M$32)</f>
        <v>110.5</v>
      </c>
      <c r="F1218" s="19">
        <f>_xlfn.XLOOKUP(D1218,Worksheet!$C$3:$C$32,Worksheet!$S$3:$S$32)</f>
        <v>0.59756097560975607</v>
      </c>
    </row>
    <row r="1219" spans="1:6" x14ac:dyDescent="0.2">
      <c r="A1219" t="s">
        <v>557</v>
      </c>
      <c r="B1219" s="4">
        <v>44652</v>
      </c>
      <c r="C1219">
        <v>24.9</v>
      </c>
      <c r="D1219" t="s">
        <v>74</v>
      </c>
      <c r="E1219">
        <f>_xlfn.XLOOKUP(D1219,Worksheet!$C$3:$C$32,Worksheet!$M$3:$M$32)</f>
        <v>113</v>
      </c>
      <c r="F1219" s="19">
        <f>_xlfn.XLOOKUP(D1219,Worksheet!$C$3:$C$32,Worksheet!$S$3:$S$32)</f>
        <v>0.43902439024390244</v>
      </c>
    </row>
    <row r="1220" spans="1:6" x14ac:dyDescent="0.2">
      <c r="A1220" t="s">
        <v>557</v>
      </c>
      <c r="B1220" s="4">
        <v>44654</v>
      </c>
      <c r="C1220" t="s">
        <v>91</v>
      </c>
      <c r="D1220" t="s">
        <v>34</v>
      </c>
      <c r="E1220">
        <f>_xlfn.XLOOKUP(D1220,Worksheet!$C$3:$C$32,Worksheet!$M$3:$M$32)</f>
        <v>112.1</v>
      </c>
      <c r="F1220" s="19">
        <f>_xlfn.XLOOKUP(D1220,Worksheet!$C$3:$C$32,Worksheet!$S$3:$S$32)</f>
        <v>0.58536585365853655</v>
      </c>
    </row>
    <row r="1221" spans="1:6" x14ac:dyDescent="0.2">
      <c r="A1221" t="s">
        <v>557</v>
      </c>
      <c r="B1221" s="4">
        <v>44656</v>
      </c>
      <c r="C1221" t="s">
        <v>91</v>
      </c>
      <c r="D1221" t="s">
        <v>99</v>
      </c>
      <c r="E1221">
        <f>_xlfn.XLOOKUP(D1221,Worksheet!$C$3:$C$32,Worksheet!$M$3:$M$32)</f>
        <v>107.3</v>
      </c>
      <c r="F1221" s="19">
        <f>_xlfn.XLOOKUP(D1221,Worksheet!$C$3:$C$32,Worksheet!$S$3:$S$32)</f>
        <v>0.78048780487804881</v>
      </c>
    </row>
    <row r="1222" spans="1:6" x14ac:dyDescent="0.2">
      <c r="A1222" t="s">
        <v>557</v>
      </c>
      <c r="B1222" s="4">
        <v>44658</v>
      </c>
      <c r="C1222" t="s">
        <v>91</v>
      </c>
      <c r="D1222" t="s">
        <v>33</v>
      </c>
      <c r="E1222">
        <f>_xlfn.XLOOKUP(D1222,Worksheet!$C$3:$C$32,Worksheet!$M$3:$M$32)</f>
        <v>106.9</v>
      </c>
      <c r="F1222" s="19">
        <f>_xlfn.XLOOKUP(D1222,Worksheet!$C$3:$C$32,Worksheet!$S$3:$S$32)</f>
        <v>0.64634146341463417</v>
      </c>
    </row>
    <row r="1223" spans="1:6" x14ac:dyDescent="0.2">
      <c r="A1223" t="s">
        <v>557</v>
      </c>
      <c r="B1223" s="4">
        <v>44659</v>
      </c>
      <c r="C1223" t="s">
        <v>91</v>
      </c>
      <c r="D1223" t="s">
        <v>68</v>
      </c>
      <c r="E1223">
        <f>_xlfn.XLOOKUP(D1223,Worksheet!$C$3:$C$32,Worksheet!$M$3:$M$32)</f>
        <v>112.8</v>
      </c>
      <c r="F1223" s="19">
        <f>_xlfn.XLOOKUP(D1223,Worksheet!$C$3:$C$32,Worksheet!$S$3:$S$32)</f>
        <v>0.29268292682926828</v>
      </c>
    </row>
    <row r="1224" spans="1:6" x14ac:dyDescent="0.2">
      <c r="A1224" t="s">
        <v>558</v>
      </c>
      <c r="B1224" s="4">
        <v>44489</v>
      </c>
      <c r="C1224">
        <v>8.6</v>
      </c>
      <c r="D1224" t="s">
        <v>34</v>
      </c>
      <c r="E1224">
        <f>_xlfn.XLOOKUP(D1224,Worksheet!$C$3:$C$32,Worksheet!$M$3:$M$32)</f>
        <v>112.1</v>
      </c>
      <c r="F1224" s="19">
        <f>_xlfn.XLOOKUP(D1224,Worksheet!$C$3:$C$32,Worksheet!$S$3:$S$32)</f>
        <v>0.58536585365853655</v>
      </c>
    </row>
    <row r="1225" spans="1:6" x14ac:dyDescent="0.2">
      <c r="A1225" t="s">
        <v>558</v>
      </c>
      <c r="B1225" s="4">
        <v>44491</v>
      </c>
      <c r="C1225">
        <v>21.6</v>
      </c>
      <c r="D1225" t="s">
        <v>62</v>
      </c>
      <c r="E1225">
        <f>_xlfn.XLOOKUP(D1225,Worksheet!$C$3:$C$32,Worksheet!$M$3:$M$32)</f>
        <v>113.3</v>
      </c>
      <c r="F1225" s="19">
        <f>_xlfn.XLOOKUP(D1225,Worksheet!$C$3:$C$32,Worksheet!$S$3:$S$32)</f>
        <v>0.40243902439024393</v>
      </c>
    </row>
    <row r="1226" spans="1:6" x14ac:dyDescent="0.2">
      <c r="A1226" t="s">
        <v>558</v>
      </c>
      <c r="B1226" s="4">
        <v>44492</v>
      </c>
      <c r="C1226">
        <v>11</v>
      </c>
      <c r="D1226" t="s">
        <v>96</v>
      </c>
      <c r="E1226">
        <f>_xlfn.XLOOKUP(D1226,Worksheet!$C$3:$C$32,Worksheet!$M$3:$M$32)</f>
        <v>116.9</v>
      </c>
      <c r="F1226" s="19">
        <f>_xlfn.XLOOKUP(D1226,Worksheet!$C$3:$C$32,Worksheet!$S$3:$S$32)</f>
        <v>0.32926829268292684</v>
      </c>
    </row>
    <row r="1227" spans="1:6" x14ac:dyDescent="0.2">
      <c r="A1227" t="s">
        <v>558</v>
      </c>
      <c r="B1227" s="4">
        <v>44496</v>
      </c>
      <c r="C1227">
        <v>8.8000000000000007</v>
      </c>
      <c r="D1227" t="s">
        <v>66</v>
      </c>
      <c r="E1227">
        <f>_xlfn.XLOOKUP(D1227,Worksheet!$C$3:$C$32,Worksheet!$M$3:$M$32)</f>
        <v>115.3</v>
      </c>
      <c r="F1227" s="19">
        <f>_xlfn.XLOOKUP(D1227,Worksheet!$C$3:$C$32,Worksheet!$S$3:$S$32)</f>
        <v>0.36585365853658536</v>
      </c>
    </row>
    <row r="1228" spans="1:6" x14ac:dyDescent="0.2">
      <c r="A1228" t="s">
        <v>558</v>
      </c>
      <c r="B1228" s="4">
        <v>44499</v>
      </c>
      <c r="C1228">
        <v>6.1</v>
      </c>
      <c r="D1228" t="s">
        <v>87</v>
      </c>
      <c r="E1228">
        <f>_xlfn.XLOOKUP(D1228,Worksheet!$C$3:$C$32,Worksheet!$M$3:$M$32)</f>
        <v>109.7</v>
      </c>
      <c r="F1228" s="19">
        <f>_xlfn.XLOOKUP(D1228,Worksheet!$C$3:$C$32,Worksheet!$S$3:$S$32)</f>
        <v>0.53658536585365857</v>
      </c>
    </row>
    <row r="1229" spans="1:6" x14ac:dyDescent="0.2">
      <c r="A1229" t="s">
        <v>558</v>
      </c>
      <c r="B1229" s="4">
        <v>44502</v>
      </c>
      <c r="C1229">
        <v>13.9</v>
      </c>
      <c r="D1229" t="s">
        <v>74</v>
      </c>
      <c r="E1229">
        <f>_xlfn.XLOOKUP(D1229,Worksheet!$C$3:$C$32,Worksheet!$M$3:$M$32)</f>
        <v>113</v>
      </c>
      <c r="F1229" s="19">
        <f>_xlfn.XLOOKUP(D1229,Worksheet!$C$3:$C$32,Worksheet!$S$3:$S$32)</f>
        <v>0.43902439024390244</v>
      </c>
    </row>
    <row r="1230" spans="1:6" x14ac:dyDescent="0.2">
      <c r="A1230" t="s">
        <v>558</v>
      </c>
      <c r="B1230" s="4">
        <v>44504</v>
      </c>
      <c r="C1230">
        <v>12.7</v>
      </c>
      <c r="D1230" t="s">
        <v>76</v>
      </c>
      <c r="E1230">
        <f>_xlfn.XLOOKUP(D1230,Worksheet!$C$3:$C$32,Worksheet!$M$3:$M$32)</f>
        <v>116.7</v>
      </c>
      <c r="F1230" s="19">
        <f>_xlfn.XLOOKUP(D1230,Worksheet!$C$3:$C$32,Worksheet!$S$3:$S$32)</f>
        <v>0.24390243902439024</v>
      </c>
    </row>
    <row r="1231" spans="1:6" x14ac:dyDescent="0.2">
      <c r="A1231" t="s">
        <v>558</v>
      </c>
      <c r="B1231" s="4">
        <v>44506</v>
      </c>
      <c r="C1231">
        <v>7.2</v>
      </c>
      <c r="D1231" t="s">
        <v>78</v>
      </c>
      <c r="E1231">
        <f>_xlfn.XLOOKUP(D1231,Worksheet!$C$3:$C$32,Worksheet!$M$3:$M$32)</f>
        <v>114.9</v>
      </c>
      <c r="F1231" s="19">
        <f>_xlfn.XLOOKUP(D1231,Worksheet!$C$3:$C$32,Worksheet!$S$3:$S$32)</f>
        <v>0.52439024390243905</v>
      </c>
    </row>
    <row r="1232" spans="1:6" x14ac:dyDescent="0.2">
      <c r="A1232" t="s">
        <v>558</v>
      </c>
      <c r="B1232" s="4">
        <v>44508</v>
      </c>
      <c r="C1232">
        <v>16.399999999999999</v>
      </c>
      <c r="D1232" t="s">
        <v>66</v>
      </c>
      <c r="E1232">
        <f>_xlfn.XLOOKUP(D1232,Worksheet!$C$3:$C$32,Worksheet!$M$3:$M$32)</f>
        <v>115.3</v>
      </c>
      <c r="F1232" s="19">
        <f>_xlfn.XLOOKUP(D1232,Worksheet!$C$3:$C$32,Worksheet!$S$3:$S$32)</f>
        <v>0.36585365853658536</v>
      </c>
    </row>
    <row r="1233" spans="1:6" x14ac:dyDescent="0.2">
      <c r="A1233" t="s">
        <v>558</v>
      </c>
      <c r="B1233" s="4">
        <v>44510</v>
      </c>
      <c r="C1233">
        <v>8.6</v>
      </c>
      <c r="D1233" t="s">
        <v>96</v>
      </c>
      <c r="E1233">
        <f>_xlfn.XLOOKUP(D1233,Worksheet!$C$3:$C$32,Worksheet!$M$3:$M$32)</f>
        <v>116.9</v>
      </c>
      <c r="F1233" s="19">
        <f>_xlfn.XLOOKUP(D1233,Worksheet!$C$3:$C$32,Worksheet!$S$3:$S$32)</f>
        <v>0.32926829268292684</v>
      </c>
    </row>
    <row r="1234" spans="1:6" x14ac:dyDescent="0.2">
      <c r="A1234" t="s">
        <v>558</v>
      </c>
      <c r="B1234" s="4">
        <v>44512</v>
      </c>
      <c r="C1234">
        <v>10.8</v>
      </c>
      <c r="D1234" t="s">
        <v>42</v>
      </c>
      <c r="E1234">
        <f>_xlfn.XLOOKUP(D1234,Worksheet!$C$3:$C$32,Worksheet!$M$3:$M$32)</f>
        <v>109</v>
      </c>
      <c r="F1234" s="19">
        <f>_xlfn.XLOOKUP(D1234,Worksheet!$C$3:$C$32,Worksheet!$S$3:$S$32)</f>
        <v>0.68292682926829273</v>
      </c>
    </row>
    <row r="1235" spans="1:6" x14ac:dyDescent="0.2">
      <c r="A1235" t="s">
        <v>558</v>
      </c>
      <c r="B1235" s="4">
        <v>44514</v>
      </c>
      <c r="C1235">
        <v>9.1</v>
      </c>
      <c r="D1235" t="s">
        <v>76</v>
      </c>
      <c r="E1235">
        <f>_xlfn.XLOOKUP(D1235,Worksheet!$C$3:$C$32,Worksheet!$M$3:$M$32)</f>
        <v>116.7</v>
      </c>
      <c r="F1235" s="19">
        <f>_xlfn.XLOOKUP(D1235,Worksheet!$C$3:$C$32,Worksheet!$S$3:$S$32)</f>
        <v>0.24390243902439024</v>
      </c>
    </row>
    <row r="1236" spans="1:6" x14ac:dyDescent="0.2">
      <c r="A1236" t="s">
        <v>558</v>
      </c>
      <c r="B1236" s="4">
        <v>44515</v>
      </c>
      <c r="C1236">
        <v>3.3</v>
      </c>
      <c r="D1236" t="s">
        <v>80</v>
      </c>
      <c r="E1236">
        <f>_xlfn.XLOOKUP(D1236,Worksheet!$C$3:$C$32,Worksheet!$M$3:$M$32)</f>
        <v>111.7</v>
      </c>
      <c r="F1236" s="19">
        <f>_xlfn.XLOOKUP(D1236,Worksheet!$C$3:$C$32,Worksheet!$S$3:$S$32)</f>
        <v>0.56097560975609762</v>
      </c>
    </row>
    <row r="1237" spans="1:6" x14ac:dyDescent="0.2">
      <c r="A1237" t="s">
        <v>558</v>
      </c>
      <c r="B1237" s="4">
        <v>44517</v>
      </c>
      <c r="C1237">
        <v>10.6</v>
      </c>
      <c r="D1237" t="s">
        <v>49</v>
      </c>
      <c r="E1237">
        <f>_xlfn.XLOOKUP(D1237,Worksheet!$C$3:$C$32,Worksheet!$M$3:$M$32)</f>
        <v>109.4</v>
      </c>
      <c r="F1237" s="19">
        <f>_xlfn.XLOOKUP(D1237,Worksheet!$C$3:$C$32,Worksheet!$S$3:$S$32)</f>
        <v>0.63414634146341464</v>
      </c>
    </row>
    <row r="1238" spans="1:6" x14ac:dyDescent="0.2">
      <c r="A1238" t="s">
        <v>558</v>
      </c>
      <c r="B1238" s="4">
        <v>44519</v>
      </c>
      <c r="C1238">
        <v>19.7</v>
      </c>
      <c r="D1238" t="s">
        <v>49</v>
      </c>
      <c r="E1238">
        <f>_xlfn.XLOOKUP(D1238,Worksheet!$C$3:$C$32,Worksheet!$M$3:$M$32)</f>
        <v>109.4</v>
      </c>
      <c r="F1238" s="19">
        <f>_xlfn.XLOOKUP(D1238,Worksheet!$C$3:$C$32,Worksheet!$S$3:$S$32)</f>
        <v>0.63414634146341464</v>
      </c>
    </row>
    <row r="1239" spans="1:6" x14ac:dyDescent="0.2">
      <c r="A1239" t="s">
        <v>558</v>
      </c>
      <c r="B1239" s="4">
        <v>44521</v>
      </c>
      <c r="C1239">
        <v>9.1999999999999993</v>
      </c>
      <c r="D1239" t="s">
        <v>34</v>
      </c>
      <c r="E1239">
        <f>_xlfn.XLOOKUP(D1239,Worksheet!$C$3:$C$32,Worksheet!$M$3:$M$32)</f>
        <v>112.1</v>
      </c>
      <c r="F1239" s="19">
        <f>_xlfn.XLOOKUP(D1239,Worksheet!$C$3:$C$32,Worksheet!$S$3:$S$32)</f>
        <v>0.58536585365853655</v>
      </c>
    </row>
    <row r="1240" spans="1:6" x14ac:dyDescent="0.2">
      <c r="A1240" t="s">
        <v>558</v>
      </c>
      <c r="B1240" s="4">
        <v>44522</v>
      </c>
      <c r="C1240">
        <v>6.7</v>
      </c>
      <c r="D1240" t="s">
        <v>102</v>
      </c>
      <c r="E1240">
        <f>_xlfn.XLOOKUP(D1240,Worksheet!$C$3:$C$32,Worksheet!$M$3:$M$32)</f>
        <v>112.3</v>
      </c>
      <c r="F1240" s="19">
        <f>_xlfn.XLOOKUP(D1240,Worksheet!$C$3:$C$32,Worksheet!$S$3:$S$32)</f>
        <v>0.41463414634146339</v>
      </c>
    </row>
    <row r="1241" spans="1:6" x14ac:dyDescent="0.2">
      <c r="A1241" t="s">
        <v>558</v>
      </c>
      <c r="B1241" s="4">
        <v>44524</v>
      </c>
      <c r="C1241">
        <v>10.1</v>
      </c>
      <c r="D1241" t="s">
        <v>87</v>
      </c>
      <c r="E1241">
        <f>_xlfn.XLOOKUP(D1241,Worksheet!$C$3:$C$32,Worksheet!$M$3:$M$32)</f>
        <v>109.7</v>
      </c>
      <c r="F1241" s="19">
        <f>_xlfn.XLOOKUP(D1241,Worksheet!$C$3:$C$32,Worksheet!$S$3:$S$32)</f>
        <v>0.53658536585365857</v>
      </c>
    </row>
    <row r="1242" spans="1:6" x14ac:dyDescent="0.2">
      <c r="A1242" t="s">
        <v>558</v>
      </c>
      <c r="B1242" s="4">
        <v>44526</v>
      </c>
      <c r="C1242">
        <v>10.6</v>
      </c>
      <c r="D1242" t="s">
        <v>110</v>
      </c>
      <c r="E1242">
        <f>_xlfn.XLOOKUP(D1242,Worksheet!$C$3:$C$32,Worksheet!$M$3:$M$32)</f>
        <v>110.5</v>
      </c>
      <c r="F1242" s="19">
        <f>_xlfn.XLOOKUP(D1242,Worksheet!$C$3:$C$32,Worksheet!$S$3:$S$32)</f>
        <v>0.45121951219512196</v>
      </c>
    </row>
    <row r="1243" spans="1:6" x14ac:dyDescent="0.2">
      <c r="A1243" t="s">
        <v>558</v>
      </c>
      <c r="B1243" s="4">
        <v>44527</v>
      </c>
      <c r="C1243">
        <v>16.899999999999999</v>
      </c>
      <c r="D1243" t="s">
        <v>85</v>
      </c>
      <c r="E1243">
        <f>_xlfn.XLOOKUP(D1243,Worksheet!$C$3:$C$32,Worksheet!$M$3:$M$32)</f>
        <v>112.8</v>
      </c>
      <c r="F1243" s="19">
        <f>_xlfn.XLOOKUP(D1243,Worksheet!$C$3:$C$32,Worksheet!$S$3:$S$32)</f>
        <v>0.53658536585365857</v>
      </c>
    </row>
    <row r="1244" spans="1:6" x14ac:dyDescent="0.2">
      <c r="A1244" t="s">
        <v>558</v>
      </c>
      <c r="B1244" s="4">
        <v>44530</v>
      </c>
      <c r="C1244">
        <v>4.5999999999999996</v>
      </c>
      <c r="D1244" t="s">
        <v>33</v>
      </c>
      <c r="E1244">
        <f>_xlfn.XLOOKUP(D1244,Worksheet!$C$3:$C$32,Worksheet!$M$3:$M$32)</f>
        <v>106.9</v>
      </c>
      <c r="F1244" s="19">
        <f>_xlfn.XLOOKUP(D1244,Worksheet!$C$3:$C$32,Worksheet!$S$3:$S$32)</f>
        <v>0.64634146341463417</v>
      </c>
    </row>
    <row r="1245" spans="1:6" x14ac:dyDescent="0.2">
      <c r="A1245" t="s">
        <v>558</v>
      </c>
      <c r="B1245" s="4">
        <v>44532</v>
      </c>
      <c r="C1245">
        <v>14.8</v>
      </c>
      <c r="D1245" t="s">
        <v>89</v>
      </c>
      <c r="E1245">
        <f>_xlfn.XLOOKUP(D1245,Worksheet!$C$3:$C$32,Worksheet!$M$3:$M$32)</f>
        <v>113.8</v>
      </c>
      <c r="F1245" s="19">
        <f>_xlfn.XLOOKUP(D1245,Worksheet!$C$3:$C$32,Worksheet!$S$3:$S$32)</f>
        <v>0.28048780487804881</v>
      </c>
    </row>
    <row r="1246" spans="1:6" x14ac:dyDescent="0.2">
      <c r="A1246" t="s">
        <v>558</v>
      </c>
      <c r="B1246" s="4">
        <v>44533</v>
      </c>
      <c r="C1246">
        <v>6.3</v>
      </c>
      <c r="D1246" t="s">
        <v>33</v>
      </c>
      <c r="E1246">
        <f>_xlfn.XLOOKUP(D1246,Worksheet!$C$3:$C$32,Worksheet!$M$3:$M$32)</f>
        <v>106.9</v>
      </c>
      <c r="F1246" s="19">
        <f>_xlfn.XLOOKUP(D1246,Worksheet!$C$3:$C$32,Worksheet!$S$3:$S$32)</f>
        <v>0.64634146341463417</v>
      </c>
    </row>
    <row r="1247" spans="1:6" x14ac:dyDescent="0.2">
      <c r="A1247" t="s">
        <v>558</v>
      </c>
      <c r="B1247" s="4">
        <v>44536</v>
      </c>
      <c r="C1247">
        <v>8.6</v>
      </c>
      <c r="D1247" t="s">
        <v>102</v>
      </c>
      <c r="E1247">
        <f>_xlfn.XLOOKUP(D1247,Worksheet!$C$3:$C$32,Worksheet!$M$3:$M$32)</f>
        <v>112.3</v>
      </c>
      <c r="F1247" s="19">
        <f>_xlfn.XLOOKUP(D1247,Worksheet!$C$3:$C$32,Worksheet!$S$3:$S$32)</f>
        <v>0.41463414634146339</v>
      </c>
    </row>
    <row r="1248" spans="1:6" x14ac:dyDescent="0.2">
      <c r="A1248" t="s">
        <v>558</v>
      </c>
      <c r="B1248" s="4">
        <v>44540</v>
      </c>
      <c r="C1248">
        <v>11</v>
      </c>
      <c r="D1248" t="s">
        <v>55</v>
      </c>
      <c r="E1248">
        <f>_xlfn.XLOOKUP(D1248,Worksheet!$C$3:$C$32,Worksheet!$M$3:$M$32)</f>
        <v>106.9</v>
      </c>
      <c r="F1248" s="19">
        <f>_xlfn.XLOOKUP(D1248,Worksheet!$C$3:$C$32,Worksheet!$S$3:$S$32)</f>
        <v>0.62195121951219512</v>
      </c>
    </row>
    <row r="1249" spans="1:6" x14ac:dyDescent="0.2">
      <c r="A1249" t="s">
        <v>558</v>
      </c>
      <c r="B1249" s="4">
        <v>44543</v>
      </c>
      <c r="C1249">
        <v>13.5</v>
      </c>
      <c r="D1249" t="s">
        <v>64</v>
      </c>
      <c r="E1249">
        <f>_xlfn.XLOOKUP(D1249,Worksheet!$C$3:$C$32,Worksheet!$M$3:$M$32)</f>
        <v>110.1</v>
      </c>
      <c r="F1249" s="19">
        <f>_xlfn.XLOOKUP(D1249,Worksheet!$C$3:$C$32,Worksheet!$S$3:$S$32)</f>
        <v>0.51219512195121952</v>
      </c>
    </row>
    <row r="1250" spans="1:6" x14ac:dyDescent="0.2">
      <c r="A1250" t="s">
        <v>558</v>
      </c>
      <c r="B1250" s="4">
        <v>44544</v>
      </c>
      <c r="C1250">
        <v>5.9</v>
      </c>
      <c r="D1250" t="s">
        <v>96</v>
      </c>
      <c r="E1250">
        <f>_xlfn.XLOOKUP(D1250,Worksheet!$C$3:$C$32,Worksheet!$M$3:$M$32)</f>
        <v>116.9</v>
      </c>
      <c r="F1250" s="19">
        <f>_xlfn.XLOOKUP(D1250,Worksheet!$C$3:$C$32,Worksheet!$S$3:$S$32)</f>
        <v>0.32926829268292684</v>
      </c>
    </row>
    <row r="1251" spans="1:6" x14ac:dyDescent="0.2">
      <c r="A1251" t="s">
        <v>558</v>
      </c>
      <c r="B1251" s="4">
        <v>44546</v>
      </c>
      <c r="C1251">
        <v>8</v>
      </c>
      <c r="D1251" t="s">
        <v>155</v>
      </c>
      <c r="E1251">
        <f>_xlfn.XLOOKUP(D1251,Worksheet!$C$3:$C$32,Worksheet!$M$3:$M$32)</f>
        <v>114.5</v>
      </c>
      <c r="F1251" s="19">
        <f>_xlfn.XLOOKUP(D1251,Worksheet!$C$3:$C$32,Worksheet!$S$3:$S$32)</f>
        <v>0.42682926829268292</v>
      </c>
    </row>
    <row r="1252" spans="1:6" x14ac:dyDescent="0.2">
      <c r="A1252" t="s">
        <v>558</v>
      </c>
      <c r="B1252" s="4">
        <v>44549</v>
      </c>
      <c r="C1252">
        <v>15.9</v>
      </c>
      <c r="D1252" t="s">
        <v>72</v>
      </c>
      <c r="E1252">
        <f>_xlfn.XLOOKUP(D1252,Worksheet!$C$3:$C$32,Worksheet!$M$3:$M$32)</f>
        <v>113.7</v>
      </c>
      <c r="F1252" s="19">
        <f>_xlfn.XLOOKUP(D1252,Worksheet!$C$3:$C$32,Worksheet!$S$3:$S$32)</f>
        <v>0.52439024390243905</v>
      </c>
    </row>
    <row r="1253" spans="1:6" x14ac:dyDescent="0.2">
      <c r="A1253" t="s">
        <v>558</v>
      </c>
      <c r="B1253" s="4">
        <v>44551</v>
      </c>
      <c r="C1253">
        <v>7.9</v>
      </c>
      <c r="D1253" t="s">
        <v>62</v>
      </c>
      <c r="E1253">
        <f>_xlfn.XLOOKUP(D1253,Worksheet!$C$3:$C$32,Worksheet!$M$3:$M$32)</f>
        <v>113.3</v>
      </c>
      <c r="F1253" s="19">
        <f>_xlfn.XLOOKUP(D1253,Worksheet!$C$3:$C$32,Worksheet!$S$3:$S$32)</f>
        <v>0.40243902439024393</v>
      </c>
    </row>
    <row r="1254" spans="1:6" x14ac:dyDescent="0.2">
      <c r="A1254" t="s">
        <v>558</v>
      </c>
      <c r="B1254" s="4">
        <v>44553</v>
      </c>
      <c r="C1254">
        <v>1.7</v>
      </c>
      <c r="D1254" t="s">
        <v>68</v>
      </c>
      <c r="E1254">
        <f>_xlfn.XLOOKUP(D1254,Worksheet!$C$3:$C$32,Worksheet!$M$3:$M$32)</f>
        <v>112.8</v>
      </c>
      <c r="F1254" s="19">
        <f>_xlfn.XLOOKUP(D1254,Worksheet!$C$3:$C$32,Worksheet!$S$3:$S$32)</f>
        <v>0.29268292682926828</v>
      </c>
    </row>
    <row r="1255" spans="1:6" x14ac:dyDescent="0.2">
      <c r="A1255" t="s">
        <v>558</v>
      </c>
      <c r="B1255" s="4">
        <v>44555</v>
      </c>
      <c r="C1255">
        <v>14.9</v>
      </c>
      <c r="D1255" t="s">
        <v>33</v>
      </c>
      <c r="E1255">
        <f>_xlfn.XLOOKUP(D1255,Worksheet!$C$3:$C$32,Worksheet!$M$3:$M$32)</f>
        <v>106.9</v>
      </c>
      <c r="F1255" s="19">
        <f>_xlfn.XLOOKUP(D1255,Worksheet!$C$3:$C$32,Worksheet!$S$3:$S$32)</f>
        <v>0.64634146341463417</v>
      </c>
    </row>
    <row r="1256" spans="1:6" x14ac:dyDescent="0.2">
      <c r="A1256" t="s">
        <v>558</v>
      </c>
      <c r="B1256" s="4">
        <v>44557</v>
      </c>
      <c r="C1256">
        <v>10.9</v>
      </c>
      <c r="D1256" t="s">
        <v>42</v>
      </c>
      <c r="E1256">
        <f>_xlfn.XLOOKUP(D1256,Worksheet!$C$3:$C$32,Worksheet!$M$3:$M$32)</f>
        <v>109</v>
      </c>
      <c r="F1256" s="19">
        <f>_xlfn.XLOOKUP(D1256,Worksheet!$C$3:$C$32,Worksheet!$S$3:$S$32)</f>
        <v>0.68292682926829273</v>
      </c>
    </row>
    <row r="1257" spans="1:6" x14ac:dyDescent="0.2">
      <c r="A1257" t="s">
        <v>558</v>
      </c>
      <c r="B1257" s="4">
        <v>44559</v>
      </c>
      <c r="C1257">
        <v>3.7</v>
      </c>
      <c r="D1257" t="s">
        <v>68</v>
      </c>
      <c r="E1257">
        <f>_xlfn.XLOOKUP(D1257,Worksheet!$C$3:$C$32,Worksheet!$M$3:$M$32)</f>
        <v>112.8</v>
      </c>
      <c r="F1257" s="19">
        <f>_xlfn.XLOOKUP(D1257,Worksheet!$C$3:$C$32,Worksheet!$S$3:$S$32)</f>
        <v>0.29268292682926828</v>
      </c>
    </row>
    <row r="1258" spans="1:6" x14ac:dyDescent="0.2">
      <c r="A1258" t="s">
        <v>558</v>
      </c>
      <c r="B1258" s="4">
        <v>44561</v>
      </c>
      <c r="C1258">
        <v>8</v>
      </c>
      <c r="D1258" t="s">
        <v>55</v>
      </c>
      <c r="E1258">
        <f>_xlfn.XLOOKUP(D1258,Worksheet!$C$3:$C$32,Worksheet!$M$3:$M$32)</f>
        <v>106.9</v>
      </c>
      <c r="F1258" s="19">
        <f>_xlfn.XLOOKUP(D1258,Worksheet!$C$3:$C$32,Worksheet!$S$3:$S$32)</f>
        <v>0.62195121951219512</v>
      </c>
    </row>
    <row r="1259" spans="1:6" x14ac:dyDescent="0.2">
      <c r="A1259" t="s">
        <v>558</v>
      </c>
      <c r="B1259" s="4">
        <v>44563</v>
      </c>
      <c r="C1259">
        <v>12.3</v>
      </c>
      <c r="D1259" t="s">
        <v>72</v>
      </c>
      <c r="E1259">
        <f>_xlfn.XLOOKUP(D1259,Worksheet!$C$3:$C$32,Worksheet!$M$3:$M$32)</f>
        <v>113.7</v>
      </c>
      <c r="F1259" s="19">
        <f>_xlfn.XLOOKUP(D1259,Worksheet!$C$3:$C$32,Worksheet!$S$3:$S$32)</f>
        <v>0.52439024390243905</v>
      </c>
    </row>
    <row r="1260" spans="1:6" x14ac:dyDescent="0.2">
      <c r="A1260" t="s">
        <v>558</v>
      </c>
      <c r="B1260" s="4">
        <v>44565</v>
      </c>
      <c r="C1260">
        <v>17.600000000000001</v>
      </c>
      <c r="D1260" t="s">
        <v>74</v>
      </c>
      <c r="E1260">
        <f>_xlfn.XLOOKUP(D1260,Worksheet!$C$3:$C$32,Worksheet!$M$3:$M$32)</f>
        <v>113</v>
      </c>
      <c r="F1260" s="19">
        <f>_xlfn.XLOOKUP(D1260,Worksheet!$C$3:$C$32,Worksheet!$S$3:$S$32)</f>
        <v>0.43902439024390244</v>
      </c>
    </row>
    <row r="1261" spans="1:6" x14ac:dyDescent="0.2">
      <c r="A1261" t="s">
        <v>558</v>
      </c>
      <c r="B1261" s="4">
        <v>44567</v>
      </c>
      <c r="C1261">
        <v>3.8</v>
      </c>
      <c r="D1261" t="s">
        <v>64</v>
      </c>
      <c r="E1261">
        <f>_xlfn.XLOOKUP(D1261,Worksheet!$C$3:$C$32,Worksheet!$M$3:$M$32)</f>
        <v>110.1</v>
      </c>
      <c r="F1261" s="19">
        <f>_xlfn.XLOOKUP(D1261,Worksheet!$C$3:$C$32,Worksheet!$S$3:$S$32)</f>
        <v>0.51219512195121952</v>
      </c>
    </row>
    <row r="1262" spans="1:6" x14ac:dyDescent="0.2">
      <c r="A1262" t="s">
        <v>558</v>
      </c>
      <c r="B1262" s="4">
        <v>44569</v>
      </c>
      <c r="C1262">
        <v>17.600000000000001</v>
      </c>
      <c r="D1262" t="s">
        <v>120</v>
      </c>
      <c r="E1262">
        <f>_xlfn.XLOOKUP(D1262,Worksheet!$C$3:$C$32,Worksheet!$M$3:$M$32)</f>
        <v>109.1</v>
      </c>
      <c r="F1262" s="19">
        <f>_xlfn.XLOOKUP(D1262,Worksheet!$C$3:$C$32,Worksheet!$S$3:$S$32)</f>
        <v>0.64634146341463417</v>
      </c>
    </row>
    <row r="1263" spans="1:6" x14ac:dyDescent="0.2">
      <c r="A1263" t="s">
        <v>558</v>
      </c>
      <c r="B1263" s="4">
        <v>44572</v>
      </c>
      <c r="C1263">
        <v>5.4</v>
      </c>
      <c r="D1263" t="s">
        <v>92</v>
      </c>
      <c r="E1263">
        <f>_xlfn.XLOOKUP(D1263,Worksheet!$C$3:$C$32,Worksheet!$M$3:$M$32)</f>
        <v>110.5</v>
      </c>
      <c r="F1263" s="19">
        <f>_xlfn.XLOOKUP(D1263,Worksheet!$C$3:$C$32,Worksheet!$S$3:$S$32)</f>
        <v>0.58536585365853655</v>
      </c>
    </row>
    <row r="1264" spans="1:6" x14ac:dyDescent="0.2">
      <c r="A1264" t="s">
        <v>558</v>
      </c>
      <c r="B1264" s="4">
        <v>44575</v>
      </c>
      <c r="C1264">
        <v>1.8</v>
      </c>
      <c r="D1264" t="s">
        <v>108</v>
      </c>
      <c r="E1264">
        <f>_xlfn.XLOOKUP(D1264,Worksheet!$C$3:$C$32,Worksheet!$M$3:$M$32)</f>
        <v>116.1</v>
      </c>
      <c r="F1264" s="19">
        <f>_xlfn.XLOOKUP(D1264,Worksheet!$C$3:$C$32,Worksheet!$S$3:$S$32)</f>
        <v>0.3048780487804878</v>
      </c>
    </row>
    <row r="1265" spans="1:6" x14ac:dyDescent="0.2">
      <c r="A1265" t="s">
        <v>558</v>
      </c>
      <c r="B1265" s="4">
        <v>44577</v>
      </c>
      <c r="C1265">
        <v>4.9000000000000004</v>
      </c>
      <c r="D1265" t="s">
        <v>89</v>
      </c>
      <c r="E1265">
        <f>_xlfn.XLOOKUP(D1265,Worksheet!$C$3:$C$32,Worksheet!$M$3:$M$32)</f>
        <v>113.8</v>
      </c>
      <c r="F1265" s="19">
        <f>_xlfn.XLOOKUP(D1265,Worksheet!$C$3:$C$32,Worksheet!$S$3:$S$32)</f>
        <v>0.28048780487804881</v>
      </c>
    </row>
    <row r="1266" spans="1:6" x14ac:dyDescent="0.2">
      <c r="A1266" t="s">
        <v>558</v>
      </c>
      <c r="B1266" s="4">
        <v>44578</v>
      </c>
      <c r="C1266">
        <v>8.9</v>
      </c>
      <c r="D1266" t="s">
        <v>102</v>
      </c>
      <c r="E1266">
        <f>_xlfn.XLOOKUP(D1266,Worksheet!$C$3:$C$32,Worksheet!$M$3:$M$32)</f>
        <v>112.3</v>
      </c>
      <c r="F1266" s="19">
        <f>_xlfn.XLOOKUP(D1266,Worksheet!$C$3:$C$32,Worksheet!$S$3:$S$32)</f>
        <v>0.41463414634146339</v>
      </c>
    </row>
    <row r="1267" spans="1:6" x14ac:dyDescent="0.2">
      <c r="A1267" t="s">
        <v>558</v>
      </c>
      <c r="B1267" s="4">
        <v>44581</v>
      </c>
      <c r="C1267">
        <v>17.3</v>
      </c>
      <c r="D1267" t="s">
        <v>49</v>
      </c>
      <c r="E1267">
        <f>_xlfn.XLOOKUP(D1267,Worksheet!$C$3:$C$32,Worksheet!$M$3:$M$32)</f>
        <v>109.4</v>
      </c>
      <c r="F1267" s="19">
        <f>_xlfn.XLOOKUP(D1267,Worksheet!$C$3:$C$32,Worksheet!$S$3:$S$32)</f>
        <v>0.63414634146341464</v>
      </c>
    </row>
    <row r="1268" spans="1:6" x14ac:dyDescent="0.2">
      <c r="A1268" t="s">
        <v>558</v>
      </c>
      <c r="B1268" s="4">
        <v>44583</v>
      </c>
      <c r="C1268">
        <v>21.7</v>
      </c>
      <c r="D1268" t="s">
        <v>108</v>
      </c>
      <c r="E1268">
        <f>_xlfn.XLOOKUP(D1268,Worksheet!$C$3:$C$32,Worksheet!$M$3:$M$32)</f>
        <v>116.1</v>
      </c>
      <c r="F1268" s="19">
        <f>_xlfn.XLOOKUP(D1268,Worksheet!$C$3:$C$32,Worksheet!$S$3:$S$32)</f>
        <v>0.3048780487804878</v>
      </c>
    </row>
    <row r="1269" spans="1:6" x14ac:dyDescent="0.2">
      <c r="A1269" t="s">
        <v>558</v>
      </c>
      <c r="B1269" s="4">
        <v>44585</v>
      </c>
      <c r="C1269">
        <v>6.6</v>
      </c>
      <c r="D1269" t="s">
        <v>118</v>
      </c>
      <c r="E1269">
        <f>_xlfn.XLOOKUP(D1269,Worksheet!$C$3:$C$32,Worksheet!$M$3:$M$32)</f>
        <v>110.5</v>
      </c>
      <c r="F1269" s="19">
        <f>_xlfn.XLOOKUP(D1269,Worksheet!$C$3:$C$32,Worksheet!$S$3:$S$32)</f>
        <v>0.59756097560975607</v>
      </c>
    </row>
    <row r="1270" spans="1:6" x14ac:dyDescent="0.2">
      <c r="A1270" t="s">
        <v>558</v>
      </c>
      <c r="B1270" s="4">
        <v>44587</v>
      </c>
      <c r="C1270">
        <v>6</v>
      </c>
      <c r="D1270" t="s">
        <v>118</v>
      </c>
      <c r="E1270">
        <f>_xlfn.XLOOKUP(D1270,Worksheet!$C$3:$C$32,Worksheet!$M$3:$M$32)</f>
        <v>110.5</v>
      </c>
      <c r="F1270" s="19">
        <f>_xlfn.XLOOKUP(D1270,Worksheet!$C$3:$C$32,Worksheet!$S$3:$S$32)</f>
        <v>0.59756097560975607</v>
      </c>
    </row>
    <row r="1271" spans="1:6" x14ac:dyDescent="0.2">
      <c r="A1271" t="s">
        <v>558</v>
      </c>
      <c r="B1271" s="4">
        <v>44589</v>
      </c>
      <c r="C1271">
        <v>16</v>
      </c>
      <c r="D1271" t="s">
        <v>80</v>
      </c>
      <c r="E1271">
        <f>_xlfn.XLOOKUP(D1271,Worksheet!$C$3:$C$32,Worksheet!$M$3:$M$32)</f>
        <v>111.7</v>
      </c>
      <c r="F1271" s="19">
        <f>_xlfn.XLOOKUP(D1271,Worksheet!$C$3:$C$32,Worksheet!$S$3:$S$32)</f>
        <v>0.56097560975609762</v>
      </c>
    </row>
    <row r="1272" spans="1:6" x14ac:dyDescent="0.2">
      <c r="A1272" t="s">
        <v>558</v>
      </c>
      <c r="B1272" s="4">
        <v>44591</v>
      </c>
      <c r="C1272">
        <v>22.6</v>
      </c>
      <c r="D1272" t="s">
        <v>102</v>
      </c>
      <c r="E1272">
        <f>_xlfn.XLOOKUP(D1272,Worksheet!$C$3:$C$32,Worksheet!$M$3:$M$32)</f>
        <v>112.3</v>
      </c>
      <c r="F1272" s="19">
        <f>_xlfn.XLOOKUP(D1272,Worksheet!$C$3:$C$32,Worksheet!$S$3:$S$32)</f>
        <v>0.41463414634146339</v>
      </c>
    </row>
    <row r="1273" spans="1:6" x14ac:dyDescent="0.2">
      <c r="A1273" t="s">
        <v>558</v>
      </c>
      <c r="B1273" s="4">
        <v>44593</v>
      </c>
      <c r="C1273">
        <v>29.1</v>
      </c>
      <c r="D1273" t="s">
        <v>85</v>
      </c>
      <c r="E1273">
        <f>_xlfn.XLOOKUP(D1273,Worksheet!$C$3:$C$32,Worksheet!$M$3:$M$32)</f>
        <v>112.8</v>
      </c>
      <c r="F1273" s="19">
        <f>_xlfn.XLOOKUP(D1273,Worksheet!$C$3:$C$32,Worksheet!$S$3:$S$32)</f>
        <v>0.53658536585365857</v>
      </c>
    </row>
    <row r="1274" spans="1:6" x14ac:dyDescent="0.2">
      <c r="A1274" t="s">
        <v>558</v>
      </c>
      <c r="B1274" s="4">
        <v>44595</v>
      </c>
      <c r="C1274">
        <v>19.899999999999999</v>
      </c>
      <c r="D1274" t="s">
        <v>78</v>
      </c>
      <c r="E1274">
        <f>_xlfn.XLOOKUP(D1274,Worksheet!$C$3:$C$32,Worksheet!$M$3:$M$32)</f>
        <v>114.9</v>
      </c>
      <c r="F1274" s="19">
        <f>_xlfn.XLOOKUP(D1274,Worksheet!$C$3:$C$32,Worksheet!$S$3:$S$32)</f>
        <v>0.52439024390243905</v>
      </c>
    </row>
    <row r="1275" spans="1:6" x14ac:dyDescent="0.2">
      <c r="A1275" t="s">
        <v>558</v>
      </c>
      <c r="B1275" s="4">
        <v>44597</v>
      </c>
      <c r="C1275">
        <v>11.4</v>
      </c>
      <c r="D1275" t="s">
        <v>155</v>
      </c>
      <c r="E1275">
        <f>_xlfn.XLOOKUP(D1275,Worksheet!$C$3:$C$32,Worksheet!$M$3:$M$32)</f>
        <v>114.5</v>
      </c>
      <c r="F1275" s="19">
        <f>_xlfn.XLOOKUP(D1275,Worksheet!$C$3:$C$32,Worksheet!$S$3:$S$32)</f>
        <v>0.42682926829268292</v>
      </c>
    </row>
    <row r="1276" spans="1:6" x14ac:dyDescent="0.2">
      <c r="A1276" t="s">
        <v>558</v>
      </c>
      <c r="B1276" s="4">
        <v>44599</v>
      </c>
      <c r="C1276">
        <v>13.2</v>
      </c>
      <c r="D1276" t="s">
        <v>82</v>
      </c>
      <c r="E1276">
        <f>_xlfn.XLOOKUP(D1276,Worksheet!$C$3:$C$32,Worksheet!$M$3:$M$32)</f>
        <v>113.6</v>
      </c>
      <c r="F1276" s="19">
        <f>_xlfn.XLOOKUP(D1276,Worksheet!$C$3:$C$32,Worksheet!$S$3:$S$32)</f>
        <v>0.56097560975609762</v>
      </c>
    </row>
    <row r="1277" spans="1:6" x14ac:dyDescent="0.2">
      <c r="A1277" t="s">
        <v>558</v>
      </c>
      <c r="B1277" s="4">
        <v>44600</v>
      </c>
      <c r="C1277">
        <v>19</v>
      </c>
      <c r="D1277" t="s">
        <v>94</v>
      </c>
      <c r="E1277">
        <f>_xlfn.XLOOKUP(D1277,Worksheet!$C$3:$C$32,Worksheet!$M$3:$M$32)</f>
        <v>110.8</v>
      </c>
      <c r="F1277" s="19">
        <f>_xlfn.XLOOKUP(D1277,Worksheet!$C$3:$C$32,Worksheet!$S$3:$S$32)</f>
        <v>0.62195121951219512</v>
      </c>
    </row>
    <row r="1278" spans="1:6" x14ac:dyDescent="0.2">
      <c r="A1278" t="s">
        <v>558</v>
      </c>
      <c r="B1278" s="4">
        <v>44602</v>
      </c>
      <c r="C1278">
        <v>14.2</v>
      </c>
      <c r="D1278" t="s">
        <v>126</v>
      </c>
      <c r="E1278">
        <f>_xlfn.XLOOKUP(D1278,Worksheet!$C$3:$C$32,Worksheet!$M$3:$M$32)</f>
        <v>111.8</v>
      </c>
      <c r="F1278" s="19">
        <f>_xlfn.XLOOKUP(D1278,Worksheet!$C$3:$C$32,Worksheet!$S$3:$S$32)</f>
        <v>0.62195121951219512</v>
      </c>
    </row>
    <row r="1279" spans="1:6" x14ac:dyDescent="0.2">
      <c r="A1279" t="s">
        <v>558</v>
      </c>
      <c r="B1279" s="4">
        <v>44604</v>
      </c>
      <c r="C1279">
        <v>12.6</v>
      </c>
      <c r="D1279" t="s">
        <v>104</v>
      </c>
      <c r="E1279">
        <f>_xlfn.XLOOKUP(D1279,Worksheet!$C$3:$C$32,Worksheet!$M$3:$M$32)</f>
        <v>112.5</v>
      </c>
      <c r="F1279" s="19">
        <f>_xlfn.XLOOKUP(D1279,Worksheet!$C$3:$C$32,Worksheet!$S$3:$S$32)</f>
        <v>0.26829268292682928</v>
      </c>
    </row>
    <row r="1280" spans="1:6" x14ac:dyDescent="0.2">
      <c r="A1280" t="s">
        <v>558</v>
      </c>
      <c r="B1280" s="4">
        <v>44607</v>
      </c>
      <c r="C1280">
        <v>16.100000000000001</v>
      </c>
      <c r="D1280" t="s">
        <v>64</v>
      </c>
      <c r="E1280">
        <f>_xlfn.XLOOKUP(D1280,Worksheet!$C$3:$C$32,Worksheet!$M$3:$M$32)</f>
        <v>110.1</v>
      </c>
      <c r="F1280" s="19">
        <f>_xlfn.XLOOKUP(D1280,Worksheet!$C$3:$C$32,Worksheet!$S$3:$S$32)</f>
        <v>0.51219512195121952</v>
      </c>
    </row>
    <row r="1281" spans="1:6" x14ac:dyDescent="0.2">
      <c r="A1281" t="s">
        <v>558</v>
      </c>
      <c r="B1281" s="4">
        <v>44608</v>
      </c>
      <c r="C1281">
        <v>12.7</v>
      </c>
      <c r="D1281" t="s">
        <v>76</v>
      </c>
      <c r="E1281">
        <f>_xlfn.XLOOKUP(D1281,Worksheet!$C$3:$C$32,Worksheet!$M$3:$M$32)</f>
        <v>116.7</v>
      </c>
      <c r="F1281" s="19">
        <f>_xlfn.XLOOKUP(D1281,Worksheet!$C$3:$C$32,Worksheet!$S$3:$S$32)</f>
        <v>0.24390243902439024</v>
      </c>
    </row>
    <row r="1282" spans="1:6" x14ac:dyDescent="0.2">
      <c r="A1282" t="s">
        <v>558</v>
      </c>
      <c r="B1282" s="4">
        <v>44616</v>
      </c>
      <c r="C1282">
        <v>18.7</v>
      </c>
      <c r="D1282" t="s">
        <v>68</v>
      </c>
      <c r="E1282">
        <f>_xlfn.XLOOKUP(D1282,Worksheet!$C$3:$C$32,Worksheet!$M$3:$M$32)</f>
        <v>112.8</v>
      </c>
      <c r="F1282" s="19">
        <f>_xlfn.XLOOKUP(D1282,Worksheet!$C$3:$C$32,Worksheet!$S$3:$S$32)</f>
        <v>0.29268292682926828</v>
      </c>
    </row>
    <row r="1283" spans="1:6" x14ac:dyDescent="0.2">
      <c r="A1283" t="s">
        <v>558</v>
      </c>
      <c r="B1283" s="4">
        <v>44617</v>
      </c>
      <c r="C1283">
        <v>8.1</v>
      </c>
      <c r="D1283" t="s">
        <v>74</v>
      </c>
      <c r="E1283">
        <f>_xlfn.XLOOKUP(D1283,Worksheet!$C$3:$C$32,Worksheet!$M$3:$M$32)</f>
        <v>113</v>
      </c>
      <c r="F1283" s="19">
        <f>_xlfn.XLOOKUP(D1283,Worksheet!$C$3:$C$32,Worksheet!$S$3:$S$32)</f>
        <v>0.43902439024390244</v>
      </c>
    </row>
    <row r="1284" spans="1:6" x14ac:dyDescent="0.2">
      <c r="A1284" t="s">
        <v>558</v>
      </c>
      <c r="B1284" s="4">
        <v>44619</v>
      </c>
      <c r="C1284">
        <v>10.3</v>
      </c>
      <c r="D1284" t="s">
        <v>118</v>
      </c>
      <c r="E1284">
        <f>_xlfn.XLOOKUP(D1284,Worksheet!$C$3:$C$32,Worksheet!$M$3:$M$32)</f>
        <v>110.5</v>
      </c>
      <c r="F1284" s="19">
        <f>_xlfn.XLOOKUP(D1284,Worksheet!$C$3:$C$32,Worksheet!$S$3:$S$32)</f>
        <v>0.59756097560975607</v>
      </c>
    </row>
    <row r="1285" spans="1:6" x14ac:dyDescent="0.2">
      <c r="A1285" t="s">
        <v>558</v>
      </c>
      <c r="B1285" s="4">
        <v>44622</v>
      </c>
      <c r="C1285">
        <v>13.7</v>
      </c>
      <c r="D1285" t="s">
        <v>96</v>
      </c>
      <c r="E1285">
        <f>_xlfn.XLOOKUP(D1285,Worksheet!$C$3:$C$32,Worksheet!$M$3:$M$32)</f>
        <v>116.9</v>
      </c>
      <c r="F1285" s="19">
        <f>_xlfn.XLOOKUP(D1285,Worksheet!$C$3:$C$32,Worksheet!$S$3:$S$32)</f>
        <v>0.32926829268292684</v>
      </c>
    </row>
    <row r="1286" spans="1:6" x14ac:dyDescent="0.2">
      <c r="A1286" t="s">
        <v>558</v>
      </c>
      <c r="B1286" s="4">
        <v>44624</v>
      </c>
      <c r="C1286">
        <v>20.5</v>
      </c>
      <c r="D1286" t="s">
        <v>110</v>
      </c>
      <c r="E1286">
        <f>_xlfn.XLOOKUP(D1286,Worksheet!$C$3:$C$32,Worksheet!$M$3:$M$32)</f>
        <v>110.5</v>
      </c>
      <c r="F1286" s="19">
        <f>_xlfn.XLOOKUP(D1286,Worksheet!$C$3:$C$32,Worksheet!$S$3:$S$32)</f>
        <v>0.45121951219512196</v>
      </c>
    </row>
    <row r="1287" spans="1:6" x14ac:dyDescent="0.2">
      <c r="A1287" t="s">
        <v>558</v>
      </c>
      <c r="B1287" s="4">
        <v>44626</v>
      </c>
      <c r="C1287">
        <v>9.6</v>
      </c>
      <c r="D1287" t="s">
        <v>126</v>
      </c>
      <c r="E1287">
        <f>_xlfn.XLOOKUP(D1287,Worksheet!$C$3:$C$32,Worksheet!$M$3:$M$32)</f>
        <v>111.8</v>
      </c>
      <c r="F1287" s="19">
        <f>_xlfn.XLOOKUP(D1287,Worksheet!$C$3:$C$32,Worksheet!$S$3:$S$32)</f>
        <v>0.62195121951219512</v>
      </c>
    </row>
    <row r="1288" spans="1:6" x14ac:dyDescent="0.2">
      <c r="A1288" t="s">
        <v>558</v>
      </c>
      <c r="B1288" s="4">
        <v>44628</v>
      </c>
      <c r="C1288">
        <v>8.9</v>
      </c>
      <c r="D1288" t="s">
        <v>104</v>
      </c>
      <c r="E1288">
        <f>_xlfn.XLOOKUP(D1288,Worksheet!$C$3:$C$32,Worksheet!$M$3:$M$32)</f>
        <v>112.5</v>
      </c>
      <c r="F1288" s="19">
        <f>_xlfn.XLOOKUP(D1288,Worksheet!$C$3:$C$32,Worksheet!$S$3:$S$32)</f>
        <v>0.26829268292682928</v>
      </c>
    </row>
    <row r="1289" spans="1:6" x14ac:dyDescent="0.2">
      <c r="A1289" t="s">
        <v>558</v>
      </c>
      <c r="B1289" s="4">
        <v>44629</v>
      </c>
      <c r="C1289">
        <v>20.6</v>
      </c>
      <c r="D1289" t="s">
        <v>120</v>
      </c>
      <c r="E1289">
        <f>_xlfn.XLOOKUP(D1289,Worksheet!$C$3:$C$32,Worksheet!$M$3:$M$32)</f>
        <v>109.1</v>
      </c>
      <c r="F1289" s="19">
        <f>_xlfn.XLOOKUP(D1289,Worksheet!$C$3:$C$32,Worksheet!$S$3:$S$32)</f>
        <v>0.64634146341463417</v>
      </c>
    </row>
    <row r="1290" spans="1:6" x14ac:dyDescent="0.2">
      <c r="A1290" t="s">
        <v>558</v>
      </c>
      <c r="B1290" s="4">
        <v>44631</v>
      </c>
      <c r="C1290">
        <v>9.3000000000000007</v>
      </c>
      <c r="D1290" t="s">
        <v>92</v>
      </c>
      <c r="E1290">
        <f>_xlfn.XLOOKUP(D1290,Worksheet!$C$3:$C$32,Worksheet!$M$3:$M$32)</f>
        <v>110.5</v>
      </c>
      <c r="F1290" s="19">
        <f>_xlfn.XLOOKUP(D1290,Worksheet!$C$3:$C$32,Worksheet!$S$3:$S$32)</f>
        <v>0.58536585365853655</v>
      </c>
    </row>
    <row r="1291" spans="1:6" x14ac:dyDescent="0.2">
      <c r="A1291" t="s">
        <v>558</v>
      </c>
      <c r="B1291" s="4">
        <v>44633</v>
      </c>
      <c r="C1291">
        <v>18.600000000000001</v>
      </c>
      <c r="D1291" t="s">
        <v>62</v>
      </c>
      <c r="E1291">
        <f>_xlfn.XLOOKUP(D1291,Worksheet!$C$3:$C$32,Worksheet!$M$3:$M$32)</f>
        <v>113.3</v>
      </c>
      <c r="F1291" s="19">
        <f>_xlfn.XLOOKUP(D1291,Worksheet!$C$3:$C$32,Worksheet!$S$3:$S$32)</f>
        <v>0.40243902439024393</v>
      </c>
    </row>
    <row r="1292" spans="1:6" x14ac:dyDescent="0.2">
      <c r="A1292" t="s">
        <v>558</v>
      </c>
      <c r="B1292" s="4">
        <v>44635</v>
      </c>
      <c r="C1292">
        <v>14.5</v>
      </c>
      <c r="D1292" t="s">
        <v>74</v>
      </c>
      <c r="E1292">
        <f>_xlfn.XLOOKUP(D1292,Worksheet!$C$3:$C$32,Worksheet!$M$3:$M$32)</f>
        <v>113</v>
      </c>
      <c r="F1292" s="19">
        <f>_xlfn.XLOOKUP(D1292,Worksheet!$C$3:$C$32,Worksheet!$S$3:$S$32)</f>
        <v>0.43902439024390244</v>
      </c>
    </row>
    <row r="1293" spans="1:6" x14ac:dyDescent="0.2">
      <c r="A1293" t="s">
        <v>558</v>
      </c>
      <c r="B1293" s="4">
        <v>44636</v>
      </c>
      <c r="C1293">
        <v>23.7</v>
      </c>
      <c r="D1293" t="s">
        <v>76</v>
      </c>
      <c r="E1293">
        <f>_xlfn.XLOOKUP(D1293,Worksheet!$C$3:$C$32,Worksheet!$M$3:$M$32)</f>
        <v>116.7</v>
      </c>
      <c r="F1293" s="19">
        <f>_xlfn.XLOOKUP(D1293,Worksheet!$C$3:$C$32,Worksheet!$S$3:$S$32)</f>
        <v>0.24390243902439024</v>
      </c>
    </row>
    <row r="1294" spans="1:6" x14ac:dyDescent="0.2">
      <c r="A1294" t="s">
        <v>558</v>
      </c>
      <c r="B1294" s="4">
        <v>44638</v>
      </c>
      <c r="C1294">
        <v>9</v>
      </c>
      <c r="D1294" t="s">
        <v>82</v>
      </c>
      <c r="E1294">
        <f>_xlfn.XLOOKUP(D1294,Worksheet!$C$3:$C$32,Worksheet!$M$3:$M$32)</f>
        <v>113.6</v>
      </c>
      <c r="F1294" s="19">
        <f>_xlfn.XLOOKUP(D1294,Worksheet!$C$3:$C$32,Worksheet!$S$3:$S$32)</f>
        <v>0.56097560975609762</v>
      </c>
    </row>
    <row r="1295" spans="1:6" x14ac:dyDescent="0.2">
      <c r="A1295" t="s">
        <v>558</v>
      </c>
      <c r="B1295" s="4">
        <v>44640</v>
      </c>
      <c r="C1295">
        <v>20.5</v>
      </c>
      <c r="D1295" t="s">
        <v>66</v>
      </c>
      <c r="E1295">
        <f>_xlfn.XLOOKUP(D1295,Worksheet!$C$3:$C$32,Worksheet!$M$3:$M$32)</f>
        <v>115.3</v>
      </c>
      <c r="F1295" s="19">
        <f>_xlfn.XLOOKUP(D1295,Worksheet!$C$3:$C$32,Worksheet!$S$3:$S$32)</f>
        <v>0.36585365853658536</v>
      </c>
    </row>
    <row r="1296" spans="1:6" x14ac:dyDescent="0.2">
      <c r="A1296" t="s">
        <v>558</v>
      </c>
      <c r="B1296" s="4">
        <v>44643</v>
      </c>
      <c r="C1296">
        <v>14.4</v>
      </c>
      <c r="D1296" t="s">
        <v>80</v>
      </c>
      <c r="E1296">
        <f>_xlfn.XLOOKUP(D1296,Worksheet!$C$3:$C$32,Worksheet!$M$3:$M$32)</f>
        <v>111.7</v>
      </c>
      <c r="F1296" s="19">
        <f>_xlfn.XLOOKUP(D1296,Worksheet!$C$3:$C$32,Worksheet!$S$3:$S$32)</f>
        <v>0.56097560975609762</v>
      </c>
    </row>
    <row r="1297" spans="1:6" x14ac:dyDescent="0.2">
      <c r="A1297" t="s">
        <v>558</v>
      </c>
      <c r="B1297" s="4">
        <v>44644</v>
      </c>
      <c r="C1297">
        <v>20.2</v>
      </c>
      <c r="D1297" t="s">
        <v>34</v>
      </c>
      <c r="E1297">
        <f>_xlfn.XLOOKUP(D1297,Worksheet!$C$3:$C$32,Worksheet!$M$3:$M$32)</f>
        <v>112.1</v>
      </c>
      <c r="F1297" s="19">
        <f>_xlfn.XLOOKUP(D1297,Worksheet!$C$3:$C$32,Worksheet!$S$3:$S$32)</f>
        <v>0.58536585365853655</v>
      </c>
    </row>
    <row r="1298" spans="1:6" x14ac:dyDescent="0.2">
      <c r="A1298" t="s">
        <v>558</v>
      </c>
      <c r="B1298" s="4">
        <v>44647</v>
      </c>
      <c r="C1298">
        <v>6.9</v>
      </c>
      <c r="D1298" t="s">
        <v>94</v>
      </c>
      <c r="E1298">
        <f>_xlfn.XLOOKUP(D1298,Worksheet!$C$3:$C$32,Worksheet!$M$3:$M$32)</f>
        <v>110.8</v>
      </c>
      <c r="F1298" s="19">
        <f>_xlfn.XLOOKUP(D1298,Worksheet!$C$3:$C$32,Worksheet!$S$3:$S$32)</f>
        <v>0.62195121951219512</v>
      </c>
    </row>
    <row r="1299" spans="1:6" x14ac:dyDescent="0.2">
      <c r="A1299" t="s">
        <v>558</v>
      </c>
      <c r="B1299" s="4">
        <v>44650</v>
      </c>
      <c r="C1299">
        <v>17.899999999999999</v>
      </c>
      <c r="D1299" t="s">
        <v>33</v>
      </c>
      <c r="E1299">
        <f>_xlfn.XLOOKUP(D1299,Worksheet!$C$3:$C$32,Worksheet!$M$3:$M$32)</f>
        <v>106.9</v>
      </c>
      <c r="F1299" s="19">
        <f>_xlfn.XLOOKUP(D1299,Worksheet!$C$3:$C$32,Worksheet!$S$3:$S$32)</f>
        <v>0.64634146341463417</v>
      </c>
    </row>
    <row r="1300" spans="1:6" x14ac:dyDescent="0.2">
      <c r="A1300" t="s">
        <v>558</v>
      </c>
      <c r="B1300" s="4">
        <v>44652</v>
      </c>
      <c r="C1300">
        <v>15.7</v>
      </c>
      <c r="D1300" t="s">
        <v>42</v>
      </c>
      <c r="E1300">
        <f>_xlfn.XLOOKUP(D1300,Worksheet!$C$3:$C$32,Worksheet!$M$3:$M$32)</f>
        <v>109</v>
      </c>
      <c r="F1300" s="19">
        <f>_xlfn.XLOOKUP(D1300,Worksheet!$C$3:$C$32,Worksheet!$S$3:$S$32)</f>
        <v>0.68292682926829273</v>
      </c>
    </row>
    <row r="1301" spans="1:6" x14ac:dyDescent="0.2">
      <c r="A1301" t="s">
        <v>558</v>
      </c>
      <c r="B1301" s="4">
        <v>44654</v>
      </c>
      <c r="C1301">
        <v>9.1</v>
      </c>
      <c r="D1301" t="s">
        <v>68</v>
      </c>
      <c r="E1301">
        <f>_xlfn.XLOOKUP(D1301,Worksheet!$C$3:$C$32,Worksheet!$M$3:$M$32)</f>
        <v>112.8</v>
      </c>
      <c r="F1301" s="19">
        <f>_xlfn.XLOOKUP(D1301,Worksheet!$C$3:$C$32,Worksheet!$S$3:$S$32)</f>
        <v>0.29268292682926828</v>
      </c>
    </row>
    <row r="1302" spans="1:6" x14ac:dyDescent="0.2">
      <c r="A1302" t="s">
        <v>558</v>
      </c>
      <c r="B1302" s="4">
        <v>44656</v>
      </c>
      <c r="C1302">
        <v>10.9</v>
      </c>
      <c r="D1302" t="s">
        <v>62</v>
      </c>
      <c r="E1302">
        <f>_xlfn.XLOOKUP(D1302,Worksheet!$C$3:$C$32,Worksheet!$M$3:$M$32)</f>
        <v>113.3</v>
      </c>
      <c r="F1302" s="19">
        <f>_xlfn.XLOOKUP(D1302,Worksheet!$C$3:$C$32,Worksheet!$S$3:$S$32)</f>
        <v>0.40243902439024393</v>
      </c>
    </row>
    <row r="1303" spans="1:6" x14ac:dyDescent="0.2">
      <c r="A1303" t="s">
        <v>558</v>
      </c>
      <c r="B1303" s="4">
        <v>44657</v>
      </c>
      <c r="C1303">
        <v>6.3</v>
      </c>
      <c r="D1303" t="s">
        <v>64</v>
      </c>
      <c r="E1303">
        <f>_xlfn.XLOOKUP(D1303,Worksheet!$C$3:$C$32,Worksheet!$M$3:$M$32)</f>
        <v>110.1</v>
      </c>
      <c r="F1303" s="19">
        <f>_xlfn.XLOOKUP(D1303,Worksheet!$C$3:$C$32,Worksheet!$S$3:$S$32)</f>
        <v>0.51219512195121952</v>
      </c>
    </row>
    <row r="1304" spans="1:6" x14ac:dyDescent="0.2">
      <c r="A1304" t="s">
        <v>558</v>
      </c>
      <c r="B1304" s="4">
        <v>44659</v>
      </c>
      <c r="C1304">
        <v>15.6</v>
      </c>
      <c r="D1304" t="s">
        <v>118</v>
      </c>
      <c r="E1304">
        <f>_xlfn.XLOOKUP(D1304,Worksheet!$C$3:$C$32,Worksheet!$M$3:$M$32)</f>
        <v>110.5</v>
      </c>
      <c r="F1304" s="19">
        <f>_xlfn.XLOOKUP(D1304,Worksheet!$C$3:$C$32,Worksheet!$S$3:$S$32)</f>
        <v>0.59756097560975607</v>
      </c>
    </row>
    <row r="1305" spans="1:6" x14ac:dyDescent="0.2">
      <c r="A1305" t="s">
        <v>558</v>
      </c>
      <c r="B1305" s="4">
        <v>44661</v>
      </c>
      <c r="C1305">
        <v>-0.7</v>
      </c>
      <c r="D1305" t="s">
        <v>66</v>
      </c>
      <c r="E1305">
        <f>_xlfn.XLOOKUP(D1305,Worksheet!$C$3:$C$32,Worksheet!$M$3:$M$32)</f>
        <v>115.3</v>
      </c>
      <c r="F1305" s="19">
        <f>_xlfn.XLOOKUP(D1305,Worksheet!$C$3:$C$32,Worksheet!$S$3:$S$32)</f>
        <v>0.36585365853658536</v>
      </c>
    </row>
    <row r="1306" spans="1:6" x14ac:dyDescent="0.2">
      <c r="A1306" t="s">
        <v>558</v>
      </c>
      <c r="B1306" s="4">
        <v>44668</v>
      </c>
      <c r="C1306">
        <v>9.3000000000000007</v>
      </c>
      <c r="D1306" t="s">
        <v>74</v>
      </c>
      <c r="E1306">
        <f>_xlfn.XLOOKUP(D1306,Worksheet!$C$3:$C$32,Worksheet!$M$3:$M$32)</f>
        <v>113</v>
      </c>
      <c r="F1306" s="19">
        <f>_xlfn.XLOOKUP(D1306,Worksheet!$C$3:$C$32,Worksheet!$S$3:$S$32)</f>
        <v>0.43902439024390244</v>
      </c>
    </row>
    <row r="1307" spans="1:6" x14ac:dyDescent="0.2">
      <c r="A1307" t="s">
        <v>558</v>
      </c>
      <c r="B1307" s="4">
        <v>44670</v>
      </c>
      <c r="C1307">
        <v>16.2</v>
      </c>
      <c r="D1307" t="s">
        <v>74</v>
      </c>
      <c r="E1307">
        <f>_xlfn.XLOOKUP(D1307,Worksheet!$C$3:$C$32,Worksheet!$M$3:$M$32)</f>
        <v>113</v>
      </c>
      <c r="F1307" s="19">
        <f>_xlfn.XLOOKUP(D1307,Worksheet!$C$3:$C$32,Worksheet!$S$3:$S$32)</f>
        <v>0.43902439024390244</v>
      </c>
    </row>
    <row r="1308" spans="1:6" x14ac:dyDescent="0.2">
      <c r="A1308" t="s">
        <v>558</v>
      </c>
      <c r="B1308" s="4">
        <v>44673</v>
      </c>
      <c r="C1308">
        <v>13.8</v>
      </c>
      <c r="D1308" t="s">
        <v>74</v>
      </c>
      <c r="E1308">
        <f>_xlfn.XLOOKUP(D1308,Worksheet!$C$3:$C$32,Worksheet!$M$3:$M$32)</f>
        <v>113</v>
      </c>
      <c r="F1308" s="19">
        <f>_xlfn.XLOOKUP(D1308,Worksheet!$C$3:$C$32,Worksheet!$S$3:$S$32)</f>
        <v>0.43902439024390244</v>
      </c>
    </row>
    <row r="1309" spans="1:6" x14ac:dyDescent="0.2">
      <c r="A1309" t="s">
        <v>558</v>
      </c>
      <c r="B1309" s="4">
        <v>44675</v>
      </c>
      <c r="C1309">
        <v>7.1</v>
      </c>
      <c r="D1309" t="s">
        <v>74</v>
      </c>
      <c r="E1309">
        <f>_xlfn.XLOOKUP(D1309,Worksheet!$C$3:$C$32,Worksheet!$M$3:$M$32)</f>
        <v>113</v>
      </c>
      <c r="F1309" s="19">
        <f>_xlfn.XLOOKUP(D1309,Worksheet!$C$3:$C$32,Worksheet!$S$3:$S$32)</f>
        <v>0.43902439024390244</v>
      </c>
    </row>
    <row r="1310" spans="1:6" x14ac:dyDescent="0.2">
      <c r="A1310" t="s">
        <v>558</v>
      </c>
      <c r="B1310" s="4">
        <v>44677</v>
      </c>
      <c r="C1310">
        <v>29.2</v>
      </c>
      <c r="D1310" t="s">
        <v>74</v>
      </c>
      <c r="E1310">
        <f>_xlfn.XLOOKUP(D1310,Worksheet!$C$3:$C$32,Worksheet!$M$3:$M$32)</f>
        <v>113</v>
      </c>
      <c r="F1310" s="19">
        <f>_xlfn.XLOOKUP(D1310,Worksheet!$C$3:$C$32,Worksheet!$S$3:$S$32)</f>
        <v>0.43902439024390244</v>
      </c>
    </row>
    <row r="1311" spans="1:6" x14ac:dyDescent="0.2">
      <c r="A1311" t="s">
        <v>558</v>
      </c>
      <c r="B1311" s="4">
        <v>44679</v>
      </c>
      <c r="C1311">
        <v>12.3</v>
      </c>
      <c r="D1311" t="s">
        <v>74</v>
      </c>
      <c r="E1311">
        <f>_xlfn.XLOOKUP(D1311,Worksheet!$C$3:$C$32,Worksheet!$M$3:$M$32)</f>
        <v>113</v>
      </c>
      <c r="F1311" s="19">
        <f>_xlfn.XLOOKUP(D1311,Worksheet!$C$3:$C$32,Worksheet!$S$3:$S$32)</f>
        <v>0.43902439024390244</v>
      </c>
    </row>
    <row r="1312" spans="1:6" x14ac:dyDescent="0.2">
      <c r="A1312" t="s">
        <v>558</v>
      </c>
      <c r="B1312" s="4">
        <v>44683</v>
      </c>
      <c r="C1312">
        <v>14.8</v>
      </c>
      <c r="D1312" t="s">
        <v>49</v>
      </c>
      <c r="E1312">
        <f>_xlfn.XLOOKUP(D1312,Worksheet!$C$3:$C$32,Worksheet!$M$3:$M$32)</f>
        <v>109.4</v>
      </c>
      <c r="F1312" s="19">
        <f>_xlfn.XLOOKUP(D1312,Worksheet!$C$3:$C$32,Worksheet!$S$3:$S$32)</f>
        <v>0.63414634146341464</v>
      </c>
    </row>
    <row r="1313" spans="1:6" x14ac:dyDescent="0.2">
      <c r="A1313" t="s">
        <v>558</v>
      </c>
      <c r="B1313" s="4">
        <v>44685</v>
      </c>
      <c r="C1313">
        <v>15.9</v>
      </c>
      <c r="D1313" t="s">
        <v>49</v>
      </c>
      <c r="E1313">
        <f>_xlfn.XLOOKUP(D1313,Worksheet!$C$3:$C$32,Worksheet!$M$3:$M$32)</f>
        <v>109.4</v>
      </c>
      <c r="F1313" s="19">
        <f>_xlfn.XLOOKUP(D1313,Worksheet!$C$3:$C$32,Worksheet!$S$3:$S$32)</f>
        <v>0.63414634146341464</v>
      </c>
    </row>
    <row r="1314" spans="1:6" x14ac:dyDescent="0.2">
      <c r="A1314" t="s">
        <v>558</v>
      </c>
      <c r="B1314" s="4">
        <v>44687</v>
      </c>
      <c r="C1314">
        <v>8.1</v>
      </c>
      <c r="D1314" t="s">
        <v>49</v>
      </c>
      <c r="E1314">
        <f>_xlfn.XLOOKUP(D1314,Worksheet!$C$3:$C$32,Worksheet!$M$3:$M$32)</f>
        <v>109.4</v>
      </c>
      <c r="F1314" s="19">
        <f>_xlfn.XLOOKUP(D1314,Worksheet!$C$3:$C$32,Worksheet!$S$3:$S$32)</f>
        <v>0.63414634146341464</v>
      </c>
    </row>
    <row r="1315" spans="1:6" x14ac:dyDescent="0.2">
      <c r="A1315" t="s">
        <v>558</v>
      </c>
      <c r="B1315" s="4">
        <v>44689</v>
      </c>
      <c r="C1315">
        <v>3.3</v>
      </c>
      <c r="D1315" t="s">
        <v>49</v>
      </c>
      <c r="E1315">
        <f>_xlfn.XLOOKUP(D1315,Worksheet!$C$3:$C$32,Worksheet!$M$3:$M$32)</f>
        <v>109.4</v>
      </c>
      <c r="F1315" s="19">
        <f>_xlfn.XLOOKUP(D1315,Worksheet!$C$3:$C$32,Worksheet!$S$3:$S$32)</f>
        <v>0.63414634146341464</v>
      </c>
    </row>
    <row r="1316" spans="1:6" x14ac:dyDescent="0.2">
      <c r="A1316" t="s">
        <v>558</v>
      </c>
      <c r="B1316" s="4">
        <v>44691</v>
      </c>
      <c r="C1316">
        <v>13.7</v>
      </c>
      <c r="D1316" t="s">
        <v>49</v>
      </c>
      <c r="E1316">
        <f>_xlfn.XLOOKUP(D1316,Worksheet!$C$3:$C$32,Worksheet!$M$3:$M$32)</f>
        <v>109.4</v>
      </c>
      <c r="F1316" s="19">
        <f>_xlfn.XLOOKUP(D1316,Worksheet!$C$3:$C$32,Worksheet!$S$3:$S$32)</f>
        <v>0.63414634146341464</v>
      </c>
    </row>
    <row r="1317" spans="1:6" x14ac:dyDescent="0.2">
      <c r="A1317" t="s">
        <v>558</v>
      </c>
      <c r="B1317" s="4">
        <v>44693</v>
      </c>
      <c r="C1317">
        <v>6.6</v>
      </c>
      <c r="D1317" t="s">
        <v>49</v>
      </c>
      <c r="E1317">
        <f>_xlfn.XLOOKUP(D1317,Worksheet!$C$3:$C$32,Worksheet!$M$3:$M$32)</f>
        <v>109.4</v>
      </c>
      <c r="F1317" s="19">
        <f>_xlfn.XLOOKUP(D1317,Worksheet!$C$3:$C$32,Worksheet!$S$3:$S$32)</f>
        <v>0.63414634146341464</v>
      </c>
    </row>
    <row r="1318" spans="1:6" x14ac:dyDescent="0.2">
      <c r="A1318" t="s">
        <v>558</v>
      </c>
      <c r="B1318" s="4">
        <v>44696</v>
      </c>
      <c r="C1318">
        <v>0.4</v>
      </c>
      <c r="D1318" t="s">
        <v>49</v>
      </c>
      <c r="E1318">
        <f>_xlfn.XLOOKUP(D1318,Worksheet!$C$3:$C$32,Worksheet!$M$3:$M$32)</f>
        <v>109.4</v>
      </c>
      <c r="F1318" s="19">
        <f>_xlfn.XLOOKUP(D1318,Worksheet!$C$3:$C$32,Worksheet!$S$3:$S$32)</f>
        <v>0.63414634146341464</v>
      </c>
    </row>
    <row r="1319" spans="1:6" x14ac:dyDescent="0.2">
      <c r="A1319" t="s">
        <v>559</v>
      </c>
      <c r="B1319" s="4">
        <v>44490</v>
      </c>
      <c r="C1319">
        <v>23.4</v>
      </c>
      <c r="D1319" t="s">
        <v>33</v>
      </c>
      <c r="E1319">
        <f>_xlfn.XLOOKUP(D1319,Worksheet!$C$3:$C$32,Worksheet!$M$3:$M$32)</f>
        <v>106.9</v>
      </c>
      <c r="F1319" s="19">
        <f>_xlfn.XLOOKUP(D1319,Worksheet!$C$3:$C$32,Worksheet!$S$3:$S$32)</f>
        <v>0.64634146341463417</v>
      </c>
    </row>
    <row r="1320" spans="1:6" x14ac:dyDescent="0.2">
      <c r="A1320" t="s">
        <v>559</v>
      </c>
      <c r="B1320" s="4">
        <v>44492</v>
      </c>
      <c r="C1320">
        <v>33.5</v>
      </c>
      <c r="D1320" t="s">
        <v>42</v>
      </c>
      <c r="E1320">
        <f>_xlfn.XLOOKUP(D1320,Worksheet!$C$3:$C$32,Worksheet!$M$3:$M$32)</f>
        <v>109</v>
      </c>
      <c r="F1320" s="19">
        <f>_xlfn.XLOOKUP(D1320,Worksheet!$C$3:$C$32,Worksheet!$S$3:$S$32)</f>
        <v>0.68292682926829273</v>
      </c>
    </row>
    <row r="1321" spans="1:6" x14ac:dyDescent="0.2">
      <c r="A1321" t="s">
        <v>559</v>
      </c>
      <c r="B1321" s="4">
        <v>44494</v>
      </c>
      <c r="C1321">
        <v>13.2</v>
      </c>
      <c r="D1321" t="s">
        <v>96</v>
      </c>
      <c r="E1321">
        <f>_xlfn.XLOOKUP(D1321,Worksheet!$C$3:$C$32,Worksheet!$M$3:$M$32)</f>
        <v>116.9</v>
      </c>
      <c r="F1321" s="19">
        <f>_xlfn.XLOOKUP(D1321,Worksheet!$C$3:$C$32,Worksheet!$S$3:$S$32)</f>
        <v>0.32926829268292684</v>
      </c>
    </row>
    <row r="1322" spans="1:6" x14ac:dyDescent="0.2">
      <c r="A1322" t="s">
        <v>559</v>
      </c>
      <c r="B1322" s="4">
        <v>44496</v>
      </c>
      <c r="C1322">
        <v>2.5</v>
      </c>
      <c r="D1322" t="s">
        <v>87</v>
      </c>
      <c r="E1322">
        <f>_xlfn.XLOOKUP(D1322,Worksheet!$C$3:$C$32,Worksheet!$M$3:$M$32)</f>
        <v>109.7</v>
      </c>
      <c r="F1322" s="19">
        <f>_xlfn.XLOOKUP(D1322,Worksheet!$C$3:$C$32,Worksheet!$S$3:$S$32)</f>
        <v>0.53658536585365857</v>
      </c>
    </row>
    <row r="1323" spans="1:6" x14ac:dyDescent="0.2">
      <c r="A1323" t="s">
        <v>559</v>
      </c>
      <c r="B1323" s="4">
        <v>44498</v>
      </c>
      <c r="C1323">
        <v>31.1</v>
      </c>
      <c r="D1323" t="s">
        <v>96</v>
      </c>
      <c r="E1323">
        <f>_xlfn.XLOOKUP(D1323,Worksheet!$C$3:$C$32,Worksheet!$M$3:$M$32)</f>
        <v>116.9</v>
      </c>
      <c r="F1323" s="19">
        <f>_xlfn.XLOOKUP(D1323,Worksheet!$C$3:$C$32,Worksheet!$S$3:$S$32)</f>
        <v>0.32926829268292684</v>
      </c>
    </row>
    <row r="1324" spans="1:6" x14ac:dyDescent="0.2">
      <c r="A1324" t="s">
        <v>559</v>
      </c>
      <c r="B1324" s="4">
        <v>44501</v>
      </c>
      <c r="C1324">
        <v>25.3</v>
      </c>
      <c r="D1324" t="s">
        <v>68</v>
      </c>
      <c r="E1324">
        <f>_xlfn.XLOOKUP(D1324,Worksheet!$C$3:$C$32,Worksheet!$M$3:$M$32)</f>
        <v>112.8</v>
      </c>
      <c r="F1324" s="19">
        <f>_xlfn.XLOOKUP(D1324,Worksheet!$C$3:$C$32,Worksheet!$S$3:$S$32)</f>
        <v>0.29268292682926828</v>
      </c>
    </row>
    <row r="1325" spans="1:6" x14ac:dyDescent="0.2">
      <c r="A1325" t="s">
        <v>559</v>
      </c>
      <c r="B1325" s="4">
        <v>44503</v>
      </c>
      <c r="C1325">
        <v>23.7</v>
      </c>
      <c r="D1325" t="s">
        <v>80</v>
      </c>
      <c r="E1325">
        <f>_xlfn.XLOOKUP(D1325,Worksheet!$C$3:$C$32,Worksheet!$M$3:$M$32)</f>
        <v>111.7</v>
      </c>
      <c r="F1325" s="19">
        <f>_xlfn.XLOOKUP(D1325,Worksheet!$C$3:$C$32,Worksheet!$S$3:$S$32)</f>
        <v>0.56097560975609762</v>
      </c>
    </row>
    <row r="1326" spans="1:6" x14ac:dyDescent="0.2">
      <c r="A1326" t="s">
        <v>559</v>
      </c>
      <c r="B1326" s="4">
        <v>44505</v>
      </c>
      <c r="C1326">
        <v>10.8</v>
      </c>
      <c r="D1326" t="s">
        <v>80</v>
      </c>
      <c r="E1326">
        <f>_xlfn.XLOOKUP(D1326,Worksheet!$C$3:$C$32,Worksheet!$M$3:$M$32)</f>
        <v>111.7</v>
      </c>
      <c r="F1326" s="19">
        <f>_xlfn.XLOOKUP(D1326,Worksheet!$C$3:$C$32,Worksheet!$S$3:$S$32)</f>
        <v>0.56097560975609762</v>
      </c>
    </row>
    <row r="1327" spans="1:6" x14ac:dyDescent="0.2">
      <c r="A1327" t="s">
        <v>559</v>
      </c>
      <c r="B1327" s="4">
        <v>44507</v>
      </c>
      <c r="C1327">
        <v>9.1999999999999993</v>
      </c>
      <c r="D1327" t="s">
        <v>72</v>
      </c>
      <c r="E1327">
        <f>_xlfn.XLOOKUP(D1327,Worksheet!$C$3:$C$32,Worksheet!$M$3:$M$32)</f>
        <v>113.7</v>
      </c>
      <c r="F1327" s="19">
        <f>_xlfn.XLOOKUP(D1327,Worksheet!$C$3:$C$32,Worksheet!$S$3:$S$32)</f>
        <v>0.52439024390243905</v>
      </c>
    </row>
    <row r="1328" spans="1:6" x14ac:dyDescent="0.2">
      <c r="A1328" t="s">
        <v>559</v>
      </c>
      <c r="B1328" s="4">
        <v>44509</v>
      </c>
      <c r="C1328">
        <v>14.8</v>
      </c>
      <c r="D1328" t="s">
        <v>96</v>
      </c>
      <c r="E1328">
        <f>_xlfn.XLOOKUP(D1328,Worksheet!$C$3:$C$32,Worksheet!$M$3:$M$32)</f>
        <v>116.9</v>
      </c>
      <c r="F1328" s="19">
        <f>_xlfn.XLOOKUP(D1328,Worksheet!$C$3:$C$32,Worksheet!$S$3:$S$32)</f>
        <v>0.32926829268292684</v>
      </c>
    </row>
    <row r="1329" spans="1:6" x14ac:dyDescent="0.2">
      <c r="A1329" t="s">
        <v>559</v>
      </c>
      <c r="B1329" s="4">
        <v>44511</v>
      </c>
      <c r="C1329">
        <v>19</v>
      </c>
      <c r="D1329" t="s">
        <v>120</v>
      </c>
      <c r="E1329">
        <f>_xlfn.XLOOKUP(D1329,Worksheet!$C$3:$C$32,Worksheet!$M$3:$M$32)</f>
        <v>109.1</v>
      </c>
      <c r="F1329" s="19">
        <f>_xlfn.XLOOKUP(D1329,Worksheet!$C$3:$C$32,Worksheet!$S$3:$S$32)</f>
        <v>0.64634146341463417</v>
      </c>
    </row>
    <row r="1330" spans="1:6" x14ac:dyDescent="0.2">
      <c r="A1330" t="s">
        <v>559</v>
      </c>
      <c r="B1330" s="4">
        <v>44513</v>
      </c>
      <c r="C1330">
        <v>16.2</v>
      </c>
      <c r="D1330" t="s">
        <v>80</v>
      </c>
      <c r="E1330">
        <f>_xlfn.XLOOKUP(D1330,Worksheet!$C$3:$C$32,Worksheet!$M$3:$M$32)</f>
        <v>111.7</v>
      </c>
      <c r="F1330" s="19">
        <f>_xlfn.XLOOKUP(D1330,Worksheet!$C$3:$C$32,Worksheet!$S$3:$S$32)</f>
        <v>0.56097560975609762</v>
      </c>
    </row>
    <row r="1331" spans="1:6" x14ac:dyDescent="0.2">
      <c r="A1331" t="s">
        <v>559</v>
      </c>
      <c r="B1331" s="4">
        <v>44514</v>
      </c>
      <c r="C1331">
        <v>16.7</v>
      </c>
      <c r="D1331" t="s">
        <v>82</v>
      </c>
      <c r="E1331">
        <f>_xlfn.XLOOKUP(D1331,Worksheet!$C$3:$C$32,Worksheet!$M$3:$M$32)</f>
        <v>113.6</v>
      </c>
      <c r="F1331" s="19">
        <f>_xlfn.XLOOKUP(D1331,Worksheet!$C$3:$C$32,Worksheet!$S$3:$S$32)</f>
        <v>0.56097560975609762</v>
      </c>
    </row>
    <row r="1332" spans="1:6" x14ac:dyDescent="0.2">
      <c r="A1332" t="s">
        <v>559</v>
      </c>
      <c r="B1332" s="4">
        <v>44516</v>
      </c>
      <c r="C1332">
        <v>21.9</v>
      </c>
      <c r="D1332" t="s">
        <v>102</v>
      </c>
      <c r="E1332">
        <f>_xlfn.XLOOKUP(D1332,Worksheet!$C$3:$C$32,Worksheet!$M$3:$M$32)</f>
        <v>112.3</v>
      </c>
      <c r="F1332" s="19">
        <f>_xlfn.XLOOKUP(D1332,Worksheet!$C$3:$C$32,Worksheet!$S$3:$S$32)</f>
        <v>0.41463414634146339</v>
      </c>
    </row>
    <row r="1333" spans="1:6" x14ac:dyDescent="0.2">
      <c r="A1333" t="s">
        <v>559</v>
      </c>
      <c r="B1333" s="4">
        <v>44518</v>
      </c>
      <c r="C1333">
        <v>19.399999999999999</v>
      </c>
      <c r="D1333" t="s">
        <v>42</v>
      </c>
      <c r="E1333">
        <f>_xlfn.XLOOKUP(D1333,Worksheet!$C$3:$C$32,Worksheet!$M$3:$M$32)</f>
        <v>109</v>
      </c>
      <c r="F1333" s="19">
        <f>_xlfn.XLOOKUP(D1333,Worksheet!$C$3:$C$32,Worksheet!$S$3:$S$32)</f>
        <v>0.68292682926829273</v>
      </c>
    </row>
    <row r="1334" spans="1:6" x14ac:dyDescent="0.2">
      <c r="A1334" t="s">
        <v>559</v>
      </c>
      <c r="B1334" s="4">
        <v>44519</v>
      </c>
      <c r="C1334">
        <v>9.5</v>
      </c>
      <c r="D1334" t="s">
        <v>74</v>
      </c>
      <c r="E1334">
        <f>_xlfn.XLOOKUP(D1334,Worksheet!$C$3:$C$32,Worksheet!$M$3:$M$32)</f>
        <v>113</v>
      </c>
      <c r="F1334" s="19">
        <f>_xlfn.XLOOKUP(D1334,Worksheet!$C$3:$C$32,Worksheet!$S$3:$S$32)</f>
        <v>0.43902439024390244</v>
      </c>
    </row>
    <row r="1335" spans="1:6" x14ac:dyDescent="0.2">
      <c r="A1335" t="s">
        <v>559</v>
      </c>
      <c r="B1335" s="4">
        <v>44521</v>
      </c>
      <c r="C1335">
        <v>15.1</v>
      </c>
      <c r="D1335" t="s">
        <v>49</v>
      </c>
      <c r="E1335">
        <f>_xlfn.XLOOKUP(D1335,Worksheet!$C$3:$C$32,Worksheet!$M$3:$M$32)</f>
        <v>109.4</v>
      </c>
      <c r="F1335" s="19">
        <f>_xlfn.XLOOKUP(D1335,Worksheet!$C$3:$C$32,Worksheet!$S$3:$S$32)</f>
        <v>0.63414634146341464</v>
      </c>
    </row>
    <row r="1336" spans="1:6" x14ac:dyDescent="0.2">
      <c r="A1336" t="s">
        <v>559</v>
      </c>
      <c r="B1336" s="4">
        <v>44523</v>
      </c>
      <c r="C1336">
        <v>15.3</v>
      </c>
      <c r="D1336" t="s">
        <v>49</v>
      </c>
      <c r="E1336">
        <f>_xlfn.XLOOKUP(D1336,Worksheet!$C$3:$C$32,Worksheet!$M$3:$M$32)</f>
        <v>109.4</v>
      </c>
      <c r="F1336" s="19">
        <f>_xlfn.XLOOKUP(D1336,Worksheet!$C$3:$C$32,Worksheet!$S$3:$S$32)</f>
        <v>0.63414634146341464</v>
      </c>
    </row>
    <row r="1337" spans="1:6" x14ac:dyDescent="0.2">
      <c r="A1337" t="s">
        <v>559</v>
      </c>
      <c r="B1337" s="4">
        <v>44526</v>
      </c>
      <c r="C1337">
        <v>5.5</v>
      </c>
      <c r="D1337" t="s">
        <v>89</v>
      </c>
      <c r="E1337">
        <f>_xlfn.XLOOKUP(D1337,Worksheet!$C$3:$C$32,Worksheet!$M$3:$M$32)</f>
        <v>113.8</v>
      </c>
      <c r="F1337" s="19">
        <f>_xlfn.XLOOKUP(D1337,Worksheet!$C$3:$C$32,Worksheet!$S$3:$S$32)</f>
        <v>0.28048780487804881</v>
      </c>
    </row>
    <row r="1338" spans="1:6" x14ac:dyDescent="0.2">
      <c r="A1338" t="s">
        <v>559</v>
      </c>
      <c r="B1338" s="4">
        <v>44528</v>
      </c>
      <c r="C1338">
        <v>13</v>
      </c>
      <c r="D1338" t="s">
        <v>33</v>
      </c>
      <c r="E1338">
        <f>_xlfn.XLOOKUP(D1338,Worksheet!$C$3:$C$32,Worksheet!$M$3:$M$32)</f>
        <v>106.9</v>
      </c>
      <c r="F1338" s="19">
        <f>_xlfn.XLOOKUP(D1338,Worksheet!$C$3:$C$32,Worksheet!$S$3:$S$32)</f>
        <v>0.64634146341463417</v>
      </c>
    </row>
    <row r="1339" spans="1:6" x14ac:dyDescent="0.2">
      <c r="A1339" t="s">
        <v>559</v>
      </c>
      <c r="B1339" s="4">
        <v>44529</v>
      </c>
      <c r="C1339">
        <v>12.8</v>
      </c>
      <c r="D1339" t="s">
        <v>74</v>
      </c>
      <c r="E1339">
        <f>_xlfn.XLOOKUP(D1339,Worksheet!$C$3:$C$32,Worksheet!$M$3:$M$32)</f>
        <v>113</v>
      </c>
      <c r="F1339" s="19">
        <f>_xlfn.XLOOKUP(D1339,Worksheet!$C$3:$C$32,Worksheet!$S$3:$S$32)</f>
        <v>0.43902439024390244</v>
      </c>
    </row>
    <row r="1340" spans="1:6" x14ac:dyDescent="0.2">
      <c r="A1340" t="s">
        <v>559</v>
      </c>
      <c r="B1340" s="4">
        <v>44531</v>
      </c>
      <c r="C1340" t="s">
        <v>91</v>
      </c>
      <c r="D1340" t="s">
        <v>66</v>
      </c>
      <c r="E1340">
        <f>_xlfn.XLOOKUP(D1340,Worksheet!$C$3:$C$32,Worksheet!$M$3:$M$32)</f>
        <v>115.3</v>
      </c>
      <c r="F1340" s="19">
        <f>_xlfn.XLOOKUP(D1340,Worksheet!$C$3:$C$32,Worksheet!$S$3:$S$32)</f>
        <v>0.36585365853658536</v>
      </c>
    </row>
    <row r="1341" spans="1:6" x14ac:dyDescent="0.2">
      <c r="A1341" t="s">
        <v>559</v>
      </c>
      <c r="B1341" s="4">
        <v>44533</v>
      </c>
      <c r="C1341">
        <v>15.1</v>
      </c>
      <c r="D1341" t="s">
        <v>62</v>
      </c>
      <c r="E1341">
        <f>_xlfn.XLOOKUP(D1341,Worksheet!$C$3:$C$32,Worksheet!$M$3:$M$32)</f>
        <v>113.3</v>
      </c>
      <c r="F1341" s="19">
        <f>_xlfn.XLOOKUP(D1341,Worksheet!$C$3:$C$32,Worksheet!$S$3:$S$32)</f>
        <v>0.40243902439024393</v>
      </c>
    </row>
    <row r="1342" spans="1:6" x14ac:dyDescent="0.2">
      <c r="A1342" t="s">
        <v>559</v>
      </c>
      <c r="B1342" s="4">
        <v>44534</v>
      </c>
      <c r="C1342">
        <v>6.5</v>
      </c>
      <c r="D1342" t="s">
        <v>66</v>
      </c>
      <c r="E1342">
        <f>_xlfn.XLOOKUP(D1342,Worksheet!$C$3:$C$32,Worksheet!$M$3:$M$32)</f>
        <v>115.3</v>
      </c>
      <c r="F1342" s="19">
        <f>_xlfn.XLOOKUP(D1342,Worksheet!$C$3:$C$32,Worksheet!$S$3:$S$32)</f>
        <v>0.36585365853658536</v>
      </c>
    </row>
    <row r="1343" spans="1:6" x14ac:dyDescent="0.2">
      <c r="A1343" t="s">
        <v>559</v>
      </c>
      <c r="B1343" s="4">
        <v>44536</v>
      </c>
      <c r="C1343">
        <v>15.6</v>
      </c>
      <c r="D1343" t="s">
        <v>96</v>
      </c>
      <c r="E1343">
        <f>_xlfn.XLOOKUP(D1343,Worksheet!$C$3:$C$32,Worksheet!$M$3:$M$32)</f>
        <v>116.9</v>
      </c>
      <c r="F1343" s="19">
        <f>_xlfn.XLOOKUP(D1343,Worksheet!$C$3:$C$32,Worksheet!$S$3:$S$32)</f>
        <v>0.32926829268292684</v>
      </c>
    </row>
    <row r="1344" spans="1:6" x14ac:dyDescent="0.2">
      <c r="A1344" t="s">
        <v>559</v>
      </c>
      <c r="B1344" s="4">
        <v>44538</v>
      </c>
      <c r="C1344" t="s">
        <v>358</v>
      </c>
      <c r="D1344" t="s">
        <v>55</v>
      </c>
      <c r="E1344">
        <f>_xlfn.XLOOKUP(D1344,Worksheet!$C$3:$C$32,Worksheet!$M$3:$M$32)</f>
        <v>106.9</v>
      </c>
      <c r="F1344" s="19">
        <f>_xlfn.XLOOKUP(D1344,Worksheet!$C$3:$C$32,Worksheet!$S$3:$S$32)</f>
        <v>0.62195121951219512</v>
      </c>
    </row>
    <row r="1345" spans="1:6" x14ac:dyDescent="0.2">
      <c r="A1345" t="s">
        <v>559</v>
      </c>
      <c r="B1345" s="4">
        <v>44541</v>
      </c>
      <c r="C1345" t="s">
        <v>91</v>
      </c>
      <c r="D1345" t="s">
        <v>104</v>
      </c>
      <c r="E1345">
        <f>_xlfn.XLOOKUP(D1345,Worksheet!$C$3:$C$32,Worksheet!$M$3:$M$32)</f>
        <v>112.5</v>
      </c>
      <c r="F1345" s="19">
        <f>_xlfn.XLOOKUP(D1345,Worksheet!$C$3:$C$32,Worksheet!$S$3:$S$32)</f>
        <v>0.26829268292682928</v>
      </c>
    </row>
    <row r="1346" spans="1:6" x14ac:dyDescent="0.2">
      <c r="A1346" t="s">
        <v>559</v>
      </c>
      <c r="B1346" s="4">
        <v>44543</v>
      </c>
      <c r="C1346" t="s">
        <v>91</v>
      </c>
      <c r="D1346" t="s">
        <v>99</v>
      </c>
      <c r="E1346">
        <f>_xlfn.XLOOKUP(D1346,Worksheet!$C$3:$C$32,Worksheet!$M$3:$M$32)</f>
        <v>107.3</v>
      </c>
      <c r="F1346" s="19">
        <f>_xlfn.XLOOKUP(D1346,Worksheet!$C$3:$C$32,Worksheet!$S$3:$S$32)</f>
        <v>0.78048780487804881</v>
      </c>
    </row>
    <row r="1347" spans="1:6" x14ac:dyDescent="0.2">
      <c r="A1347" t="s">
        <v>559</v>
      </c>
      <c r="B1347" s="4">
        <v>44545</v>
      </c>
      <c r="C1347" t="s">
        <v>91</v>
      </c>
      <c r="D1347" t="s">
        <v>118</v>
      </c>
      <c r="E1347">
        <f>_xlfn.XLOOKUP(D1347,Worksheet!$C$3:$C$32,Worksheet!$M$3:$M$32)</f>
        <v>110.5</v>
      </c>
      <c r="F1347" s="19">
        <f>_xlfn.XLOOKUP(D1347,Worksheet!$C$3:$C$32,Worksheet!$S$3:$S$32)</f>
        <v>0.59756097560975607</v>
      </c>
    </row>
    <row r="1348" spans="1:6" x14ac:dyDescent="0.2">
      <c r="A1348" t="s">
        <v>559</v>
      </c>
      <c r="B1348" s="4">
        <v>44548</v>
      </c>
      <c r="C1348" t="s">
        <v>91</v>
      </c>
      <c r="D1348" t="s">
        <v>68</v>
      </c>
      <c r="E1348">
        <f>_xlfn.XLOOKUP(D1348,Worksheet!$C$3:$C$32,Worksheet!$M$3:$M$32)</f>
        <v>112.8</v>
      </c>
      <c r="F1348" s="19">
        <f>_xlfn.XLOOKUP(D1348,Worksheet!$C$3:$C$32,Worksheet!$S$3:$S$32)</f>
        <v>0.29268292682926828</v>
      </c>
    </row>
    <row r="1349" spans="1:6" x14ac:dyDescent="0.2">
      <c r="A1349" t="s">
        <v>559</v>
      </c>
      <c r="B1349" s="4">
        <v>44550</v>
      </c>
      <c r="C1349">
        <v>19.899999999999999</v>
      </c>
      <c r="D1349" t="s">
        <v>102</v>
      </c>
      <c r="E1349">
        <f>_xlfn.XLOOKUP(D1349,Worksheet!$C$3:$C$32,Worksheet!$M$3:$M$32)</f>
        <v>112.3</v>
      </c>
      <c r="F1349" s="19">
        <f>_xlfn.XLOOKUP(D1349,Worksheet!$C$3:$C$32,Worksheet!$S$3:$S$32)</f>
        <v>0.41463414634146339</v>
      </c>
    </row>
    <row r="1350" spans="1:6" x14ac:dyDescent="0.2">
      <c r="A1350" t="s">
        <v>559</v>
      </c>
      <c r="B1350" s="4">
        <v>44552</v>
      </c>
      <c r="C1350">
        <v>15.1</v>
      </c>
      <c r="D1350" t="s">
        <v>66</v>
      </c>
      <c r="E1350">
        <f>_xlfn.XLOOKUP(D1350,Worksheet!$C$3:$C$32,Worksheet!$M$3:$M$32)</f>
        <v>115.3</v>
      </c>
      <c r="F1350" s="19">
        <f>_xlfn.XLOOKUP(D1350,Worksheet!$C$3:$C$32,Worksheet!$S$3:$S$32)</f>
        <v>0.36585365853658536</v>
      </c>
    </row>
    <row r="1351" spans="1:6" x14ac:dyDescent="0.2">
      <c r="A1351" t="s">
        <v>559</v>
      </c>
      <c r="B1351" s="4">
        <v>44556</v>
      </c>
      <c r="C1351" t="s">
        <v>91</v>
      </c>
      <c r="D1351" t="s">
        <v>34</v>
      </c>
      <c r="E1351">
        <f>_xlfn.XLOOKUP(D1351,Worksheet!$C$3:$C$32,Worksheet!$M$3:$M$32)</f>
        <v>112.1</v>
      </c>
      <c r="F1351" s="19">
        <f>_xlfn.XLOOKUP(D1351,Worksheet!$C$3:$C$32,Worksheet!$S$3:$S$32)</f>
        <v>0.58536585365853655</v>
      </c>
    </row>
    <row r="1352" spans="1:6" x14ac:dyDescent="0.2">
      <c r="A1352" t="s">
        <v>559</v>
      </c>
      <c r="B1352" s="4">
        <v>44557</v>
      </c>
      <c r="C1352" t="s">
        <v>91</v>
      </c>
      <c r="D1352" t="s">
        <v>85</v>
      </c>
      <c r="E1352">
        <f>_xlfn.XLOOKUP(D1352,Worksheet!$C$3:$C$32,Worksheet!$M$3:$M$32)</f>
        <v>112.8</v>
      </c>
      <c r="F1352" s="19">
        <f>_xlfn.XLOOKUP(D1352,Worksheet!$C$3:$C$32,Worksheet!$S$3:$S$32)</f>
        <v>0.53658536585365857</v>
      </c>
    </row>
    <row r="1353" spans="1:6" x14ac:dyDescent="0.2">
      <c r="A1353" t="s">
        <v>559</v>
      </c>
      <c r="B1353" s="4">
        <v>44559</v>
      </c>
      <c r="C1353" t="s">
        <v>91</v>
      </c>
      <c r="D1353" t="s">
        <v>55</v>
      </c>
      <c r="E1353">
        <f>_xlfn.XLOOKUP(D1353,Worksheet!$C$3:$C$32,Worksheet!$M$3:$M$32)</f>
        <v>106.9</v>
      </c>
      <c r="F1353" s="19">
        <f>_xlfn.XLOOKUP(D1353,Worksheet!$C$3:$C$32,Worksheet!$S$3:$S$32)</f>
        <v>0.62195121951219512</v>
      </c>
    </row>
    <row r="1354" spans="1:6" x14ac:dyDescent="0.2">
      <c r="A1354" t="s">
        <v>559</v>
      </c>
      <c r="B1354" s="4">
        <v>44561</v>
      </c>
      <c r="C1354" t="s">
        <v>91</v>
      </c>
      <c r="D1354" t="s">
        <v>92</v>
      </c>
      <c r="E1354">
        <f>_xlfn.XLOOKUP(D1354,Worksheet!$C$3:$C$32,Worksheet!$M$3:$M$32)</f>
        <v>110.5</v>
      </c>
      <c r="F1354" s="19">
        <f>_xlfn.XLOOKUP(D1354,Worksheet!$C$3:$C$32,Worksheet!$S$3:$S$32)</f>
        <v>0.58536585365853655</v>
      </c>
    </row>
    <row r="1355" spans="1:6" x14ac:dyDescent="0.2">
      <c r="A1355" t="s">
        <v>559</v>
      </c>
      <c r="B1355" s="4">
        <v>44562</v>
      </c>
      <c r="C1355" t="s">
        <v>91</v>
      </c>
      <c r="D1355" t="s">
        <v>85</v>
      </c>
      <c r="E1355">
        <f>_xlfn.XLOOKUP(D1355,Worksheet!$C$3:$C$32,Worksheet!$M$3:$M$32)</f>
        <v>112.8</v>
      </c>
      <c r="F1355" s="19">
        <f>_xlfn.XLOOKUP(D1355,Worksheet!$C$3:$C$32,Worksheet!$S$3:$S$32)</f>
        <v>0.53658536585365857</v>
      </c>
    </row>
    <row r="1356" spans="1:6" x14ac:dyDescent="0.2">
      <c r="A1356" t="s">
        <v>559</v>
      </c>
      <c r="B1356" s="4">
        <v>44564</v>
      </c>
      <c r="C1356" t="s">
        <v>91</v>
      </c>
      <c r="D1356" t="s">
        <v>80</v>
      </c>
      <c r="E1356">
        <f>_xlfn.XLOOKUP(D1356,Worksheet!$C$3:$C$32,Worksheet!$M$3:$M$32)</f>
        <v>111.7</v>
      </c>
      <c r="F1356" s="19">
        <f>_xlfn.XLOOKUP(D1356,Worksheet!$C$3:$C$32,Worksheet!$S$3:$S$32)</f>
        <v>0.56097560975609762</v>
      </c>
    </row>
    <row r="1357" spans="1:6" x14ac:dyDescent="0.2">
      <c r="A1357" t="s">
        <v>559</v>
      </c>
      <c r="B1357" s="4">
        <v>44567</v>
      </c>
      <c r="C1357" t="s">
        <v>91</v>
      </c>
      <c r="D1357" t="s">
        <v>99</v>
      </c>
      <c r="E1357">
        <f>_xlfn.XLOOKUP(D1357,Worksheet!$C$3:$C$32,Worksheet!$M$3:$M$32)</f>
        <v>107.3</v>
      </c>
      <c r="F1357" s="19">
        <f>_xlfn.XLOOKUP(D1357,Worksheet!$C$3:$C$32,Worksheet!$S$3:$S$32)</f>
        <v>0.78048780487804881</v>
      </c>
    </row>
    <row r="1358" spans="1:6" x14ac:dyDescent="0.2">
      <c r="A1358" t="s">
        <v>559</v>
      </c>
      <c r="B1358" s="4">
        <v>44569</v>
      </c>
      <c r="C1358" t="s">
        <v>91</v>
      </c>
      <c r="D1358" t="s">
        <v>42</v>
      </c>
      <c r="E1358">
        <f>_xlfn.XLOOKUP(D1358,Worksheet!$C$3:$C$32,Worksheet!$M$3:$M$32)</f>
        <v>109</v>
      </c>
      <c r="F1358" s="19">
        <f>_xlfn.XLOOKUP(D1358,Worksheet!$C$3:$C$32,Worksheet!$S$3:$S$32)</f>
        <v>0.68292682926829273</v>
      </c>
    </row>
    <row r="1359" spans="1:6" x14ac:dyDescent="0.2">
      <c r="A1359" t="s">
        <v>559</v>
      </c>
      <c r="B1359" s="4">
        <v>44570</v>
      </c>
      <c r="C1359" t="s">
        <v>91</v>
      </c>
      <c r="D1359" t="s">
        <v>78</v>
      </c>
      <c r="E1359">
        <f>_xlfn.XLOOKUP(D1359,Worksheet!$C$3:$C$32,Worksheet!$M$3:$M$32)</f>
        <v>114.9</v>
      </c>
      <c r="F1359" s="19">
        <f>_xlfn.XLOOKUP(D1359,Worksheet!$C$3:$C$32,Worksheet!$S$3:$S$32)</f>
        <v>0.52439024390243905</v>
      </c>
    </row>
    <row r="1360" spans="1:6" x14ac:dyDescent="0.2">
      <c r="A1360" t="s">
        <v>559</v>
      </c>
      <c r="B1360" s="4">
        <v>44572</v>
      </c>
      <c r="C1360" t="s">
        <v>91</v>
      </c>
      <c r="D1360" t="s">
        <v>34</v>
      </c>
      <c r="E1360">
        <f>_xlfn.XLOOKUP(D1360,Worksheet!$C$3:$C$32,Worksheet!$M$3:$M$32)</f>
        <v>112.1</v>
      </c>
      <c r="F1360" s="19">
        <f>_xlfn.XLOOKUP(D1360,Worksheet!$C$3:$C$32,Worksheet!$S$3:$S$32)</f>
        <v>0.58536585365853655</v>
      </c>
    </row>
    <row r="1361" spans="1:6" x14ac:dyDescent="0.2">
      <c r="A1361" t="s">
        <v>559</v>
      </c>
      <c r="B1361" s="4">
        <v>44574</v>
      </c>
      <c r="C1361" t="s">
        <v>91</v>
      </c>
      <c r="D1361" t="s">
        <v>74</v>
      </c>
      <c r="E1361">
        <f>_xlfn.XLOOKUP(D1361,Worksheet!$C$3:$C$32,Worksheet!$M$3:$M$32)</f>
        <v>113</v>
      </c>
      <c r="F1361" s="19">
        <f>_xlfn.XLOOKUP(D1361,Worksheet!$C$3:$C$32,Worksheet!$S$3:$S$32)</f>
        <v>0.43902439024390244</v>
      </c>
    </row>
    <row r="1362" spans="1:6" x14ac:dyDescent="0.2">
      <c r="A1362" t="s">
        <v>559</v>
      </c>
      <c r="B1362" s="4">
        <v>44576</v>
      </c>
      <c r="C1362" t="s">
        <v>91</v>
      </c>
      <c r="D1362" t="s">
        <v>102</v>
      </c>
      <c r="E1362">
        <f>_xlfn.XLOOKUP(D1362,Worksheet!$C$3:$C$32,Worksheet!$M$3:$M$32)</f>
        <v>112.3</v>
      </c>
      <c r="F1362" s="19">
        <f>_xlfn.XLOOKUP(D1362,Worksheet!$C$3:$C$32,Worksheet!$S$3:$S$32)</f>
        <v>0.41463414634146339</v>
      </c>
    </row>
    <row r="1363" spans="1:6" x14ac:dyDescent="0.2">
      <c r="A1363" t="s">
        <v>559</v>
      </c>
      <c r="B1363" s="4">
        <v>44578</v>
      </c>
      <c r="C1363" t="s">
        <v>91</v>
      </c>
      <c r="D1363" t="s">
        <v>108</v>
      </c>
      <c r="E1363">
        <f>_xlfn.XLOOKUP(D1363,Worksheet!$C$3:$C$32,Worksheet!$M$3:$M$32)</f>
        <v>116.1</v>
      </c>
      <c r="F1363" s="19">
        <f>_xlfn.XLOOKUP(D1363,Worksheet!$C$3:$C$32,Worksheet!$S$3:$S$32)</f>
        <v>0.3048780487804878</v>
      </c>
    </row>
    <row r="1364" spans="1:6" x14ac:dyDescent="0.2">
      <c r="A1364" t="s">
        <v>559</v>
      </c>
      <c r="B1364" s="4">
        <v>44580</v>
      </c>
      <c r="C1364" t="s">
        <v>91</v>
      </c>
      <c r="D1364" t="s">
        <v>34</v>
      </c>
      <c r="E1364">
        <f>_xlfn.XLOOKUP(D1364,Worksheet!$C$3:$C$32,Worksheet!$M$3:$M$32)</f>
        <v>112.1</v>
      </c>
      <c r="F1364" s="19">
        <f>_xlfn.XLOOKUP(D1364,Worksheet!$C$3:$C$32,Worksheet!$S$3:$S$32)</f>
        <v>0.58536585365853655</v>
      </c>
    </row>
    <row r="1365" spans="1:6" x14ac:dyDescent="0.2">
      <c r="A1365" t="s">
        <v>559</v>
      </c>
      <c r="B1365" s="4">
        <v>44582</v>
      </c>
      <c r="C1365" t="s">
        <v>91</v>
      </c>
      <c r="D1365" t="s">
        <v>94</v>
      </c>
      <c r="E1365">
        <f>_xlfn.XLOOKUP(D1365,Worksheet!$C$3:$C$32,Worksheet!$M$3:$M$32)</f>
        <v>110.8</v>
      </c>
      <c r="F1365" s="19">
        <f>_xlfn.XLOOKUP(D1365,Worksheet!$C$3:$C$32,Worksheet!$S$3:$S$32)</f>
        <v>0.62195121951219512</v>
      </c>
    </row>
    <row r="1366" spans="1:6" x14ac:dyDescent="0.2">
      <c r="A1366" t="s">
        <v>559</v>
      </c>
      <c r="B1366" s="4">
        <v>44584</v>
      </c>
      <c r="C1366" t="s">
        <v>91</v>
      </c>
      <c r="D1366" t="s">
        <v>110</v>
      </c>
      <c r="E1366">
        <f>_xlfn.XLOOKUP(D1366,Worksheet!$C$3:$C$32,Worksheet!$M$3:$M$32)</f>
        <v>110.5</v>
      </c>
      <c r="F1366" s="19">
        <f>_xlfn.XLOOKUP(D1366,Worksheet!$C$3:$C$32,Worksheet!$S$3:$S$32)</f>
        <v>0.45121951219512196</v>
      </c>
    </row>
    <row r="1367" spans="1:6" x14ac:dyDescent="0.2">
      <c r="A1367" t="s">
        <v>559</v>
      </c>
      <c r="B1367" s="4">
        <v>44586</v>
      </c>
      <c r="C1367" t="s">
        <v>91</v>
      </c>
      <c r="D1367" t="s">
        <v>155</v>
      </c>
      <c r="E1367">
        <f>_xlfn.XLOOKUP(D1367,Worksheet!$C$3:$C$32,Worksheet!$M$3:$M$32)</f>
        <v>114.5</v>
      </c>
      <c r="F1367" s="19">
        <f>_xlfn.XLOOKUP(D1367,Worksheet!$C$3:$C$32,Worksheet!$S$3:$S$32)</f>
        <v>0.42682926829268292</v>
      </c>
    </row>
    <row r="1368" spans="1:6" x14ac:dyDescent="0.2">
      <c r="A1368" t="s">
        <v>559</v>
      </c>
      <c r="B1368" s="4">
        <v>44587</v>
      </c>
      <c r="C1368" t="s">
        <v>91</v>
      </c>
      <c r="D1368" t="s">
        <v>104</v>
      </c>
      <c r="E1368">
        <f>_xlfn.XLOOKUP(D1368,Worksheet!$C$3:$C$32,Worksheet!$M$3:$M$32)</f>
        <v>112.5</v>
      </c>
      <c r="F1368" s="19">
        <f>_xlfn.XLOOKUP(D1368,Worksheet!$C$3:$C$32,Worksheet!$S$3:$S$32)</f>
        <v>0.26829268292682928</v>
      </c>
    </row>
    <row r="1369" spans="1:6" x14ac:dyDescent="0.2">
      <c r="A1369" t="s">
        <v>559</v>
      </c>
      <c r="B1369" s="4">
        <v>44589</v>
      </c>
      <c r="C1369" t="s">
        <v>91</v>
      </c>
      <c r="D1369" t="s">
        <v>120</v>
      </c>
      <c r="E1369">
        <f>_xlfn.XLOOKUP(D1369,Worksheet!$C$3:$C$32,Worksheet!$M$3:$M$32)</f>
        <v>109.1</v>
      </c>
      <c r="F1369" s="19">
        <f>_xlfn.XLOOKUP(D1369,Worksheet!$C$3:$C$32,Worksheet!$S$3:$S$32)</f>
        <v>0.64634146341463417</v>
      </c>
    </row>
    <row r="1370" spans="1:6" x14ac:dyDescent="0.2">
      <c r="A1370" t="s">
        <v>559</v>
      </c>
      <c r="B1370" s="4">
        <v>44591</v>
      </c>
      <c r="C1370" t="s">
        <v>91</v>
      </c>
      <c r="D1370" t="s">
        <v>72</v>
      </c>
      <c r="E1370">
        <f>_xlfn.XLOOKUP(D1370,Worksheet!$C$3:$C$32,Worksheet!$M$3:$M$32)</f>
        <v>113.7</v>
      </c>
      <c r="F1370" s="19">
        <f>_xlfn.XLOOKUP(D1370,Worksheet!$C$3:$C$32,Worksheet!$S$3:$S$32)</f>
        <v>0.52439024390243905</v>
      </c>
    </row>
    <row r="1371" spans="1:6" x14ac:dyDescent="0.2">
      <c r="A1371" t="s">
        <v>559</v>
      </c>
      <c r="B1371" s="4">
        <v>44592</v>
      </c>
      <c r="C1371" t="s">
        <v>91</v>
      </c>
      <c r="D1371" t="s">
        <v>108</v>
      </c>
      <c r="E1371">
        <f>_xlfn.XLOOKUP(D1371,Worksheet!$C$3:$C$32,Worksheet!$M$3:$M$32)</f>
        <v>116.1</v>
      </c>
      <c r="F1371" s="19">
        <f>_xlfn.XLOOKUP(D1371,Worksheet!$C$3:$C$32,Worksheet!$S$3:$S$32)</f>
        <v>0.3048780487804878</v>
      </c>
    </row>
    <row r="1372" spans="1:6" x14ac:dyDescent="0.2">
      <c r="A1372" t="s">
        <v>559</v>
      </c>
      <c r="B1372" s="4">
        <v>44595</v>
      </c>
      <c r="C1372" t="s">
        <v>91</v>
      </c>
      <c r="D1372" t="s">
        <v>62</v>
      </c>
      <c r="E1372">
        <f>_xlfn.XLOOKUP(D1372,Worksheet!$C$3:$C$32,Worksheet!$M$3:$M$32)</f>
        <v>113.3</v>
      </c>
      <c r="F1372" s="19">
        <f>_xlfn.XLOOKUP(D1372,Worksheet!$C$3:$C$32,Worksheet!$S$3:$S$32)</f>
        <v>0.40243902439024393</v>
      </c>
    </row>
    <row r="1373" spans="1:6" x14ac:dyDescent="0.2">
      <c r="A1373" t="s">
        <v>559</v>
      </c>
      <c r="B1373" s="4">
        <v>44598</v>
      </c>
      <c r="C1373" t="s">
        <v>91</v>
      </c>
      <c r="D1373" t="s">
        <v>126</v>
      </c>
      <c r="E1373">
        <f>_xlfn.XLOOKUP(D1373,Worksheet!$C$3:$C$32,Worksheet!$M$3:$M$32)</f>
        <v>111.8</v>
      </c>
      <c r="F1373" s="19">
        <f>_xlfn.XLOOKUP(D1373,Worksheet!$C$3:$C$32,Worksheet!$S$3:$S$32)</f>
        <v>0.62195121951219512</v>
      </c>
    </row>
    <row r="1374" spans="1:6" x14ac:dyDescent="0.2">
      <c r="A1374" t="s">
        <v>559</v>
      </c>
      <c r="B1374" s="4">
        <v>44600</v>
      </c>
      <c r="C1374" t="s">
        <v>91</v>
      </c>
      <c r="D1374" t="s">
        <v>42</v>
      </c>
      <c r="E1374">
        <f>_xlfn.XLOOKUP(D1374,Worksheet!$C$3:$C$32,Worksheet!$M$3:$M$32)</f>
        <v>109</v>
      </c>
      <c r="F1374" s="19">
        <f>_xlfn.XLOOKUP(D1374,Worksheet!$C$3:$C$32,Worksheet!$S$3:$S$32)</f>
        <v>0.68292682926829273</v>
      </c>
    </row>
    <row r="1375" spans="1:6" x14ac:dyDescent="0.2">
      <c r="A1375" t="s">
        <v>559</v>
      </c>
      <c r="B1375" s="4">
        <v>44602</v>
      </c>
      <c r="C1375" t="s">
        <v>91</v>
      </c>
      <c r="D1375" t="s">
        <v>49</v>
      </c>
      <c r="E1375">
        <f>_xlfn.XLOOKUP(D1375,Worksheet!$C$3:$C$32,Worksheet!$M$3:$M$32)</f>
        <v>109.4</v>
      </c>
      <c r="F1375" s="19">
        <f>_xlfn.XLOOKUP(D1375,Worksheet!$C$3:$C$32,Worksheet!$S$3:$S$32)</f>
        <v>0.63414634146341464</v>
      </c>
    </row>
    <row r="1376" spans="1:6" x14ac:dyDescent="0.2">
      <c r="A1376" t="s">
        <v>559</v>
      </c>
      <c r="B1376" s="4">
        <v>44604</v>
      </c>
      <c r="C1376" t="s">
        <v>91</v>
      </c>
      <c r="D1376" t="s">
        <v>49</v>
      </c>
      <c r="E1376">
        <f>_xlfn.XLOOKUP(D1376,Worksheet!$C$3:$C$32,Worksheet!$M$3:$M$32)</f>
        <v>109.4</v>
      </c>
      <c r="F1376" s="19">
        <f>_xlfn.XLOOKUP(D1376,Worksheet!$C$3:$C$32,Worksheet!$S$3:$S$32)</f>
        <v>0.63414634146341464</v>
      </c>
    </row>
    <row r="1377" spans="1:6" x14ac:dyDescent="0.2">
      <c r="A1377" t="s">
        <v>559</v>
      </c>
      <c r="B1377" s="4">
        <v>44606</v>
      </c>
      <c r="C1377" t="s">
        <v>91</v>
      </c>
      <c r="D1377" t="s">
        <v>33</v>
      </c>
      <c r="E1377">
        <f>_xlfn.XLOOKUP(D1377,Worksheet!$C$3:$C$32,Worksheet!$M$3:$M$32)</f>
        <v>106.9</v>
      </c>
      <c r="F1377" s="19">
        <f>_xlfn.XLOOKUP(D1377,Worksheet!$C$3:$C$32,Worksheet!$S$3:$S$32)</f>
        <v>0.64634146341463417</v>
      </c>
    </row>
    <row r="1378" spans="1:6" x14ac:dyDescent="0.2">
      <c r="A1378" t="s">
        <v>559</v>
      </c>
      <c r="B1378" s="4">
        <v>44607</v>
      </c>
      <c r="C1378" t="s">
        <v>91</v>
      </c>
      <c r="D1378" t="s">
        <v>99</v>
      </c>
      <c r="E1378">
        <f>_xlfn.XLOOKUP(D1378,Worksheet!$C$3:$C$32,Worksheet!$M$3:$M$32)</f>
        <v>107.3</v>
      </c>
      <c r="F1378" s="19">
        <f>_xlfn.XLOOKUP(D1378,Worksheet!$C$3:$C$32,Worksheet!$S$3:$S$32)</f>
        <v>0.78048780487804881</v>
      </c>
    </row>
    <row r="1379" spans="1:6" x14ac:dyDescent="0.2">
      <c r="A1379" t="s">
        <v>559</v>
      </c>
      <c r="B1379" s="4">
        <v>44609</v>
      </c>
      <c r="C1379" t="s">
        <v>91</v>
      </c>
      <c r="D1379" t="s">
        <v>76</v>
      </c>
      <c r="E1379">
        <f>_xlfn.XLOOKUP(D1379,Worksheet!$C$3:$C$32,Worksheet!$M$3:$M$32)</f>
        <v>116.7</v>
      </c>
      <c r="F1379" s="19">
        <f>_xlfn.XLOOKUP(D1379,Worksheet!$C$3:$C$32,Worksheet!$S$3:$S$32)</f>
        <v>0.24390243902439024</v>
      </c>
    </row>
    <row r="1380" spans="1:6" x14ac:dyDescent="0.2">
      <c r="A1380" t="s">
        <v>559</v>
      </c>
      <c r="B1380" s="4">
        <v>44617</v>
      </c>
      <c r="C1380" t="s">
        <v>91</v>
      </c>
      <c r="D1380" t="s">
        <v>62</v>
      </c>
      <c r="E1380">
        <f>_xlfn.XLOOKUP(D1380,Worksheet!$C$3:$C$32,Worksheet!$M$3:$M$32)</f>
        <v>113.3</v>
      </c>
      <c r="F1380" s="19">
        <f>_xlfn.XLOOKUP(D1380,Worksheet!$C$3:$C$32,Worksheet!$S$3:$S$32)</f>
        <v>0.40243902439024393</v>
      </c>
    </row>
    <row r="1381" spans="1:6" x14ac:dyDescent="0.2">
      <c r="A1381" t="s">
        <v>559</v>
      </c>
      <c r="B1381" s="4">
        <v>44619</v>
      </c>
      <c r="C1381" t="s">
        <v>91</v>
      </c>
      <c r="D1381" t="s">
        <v>76</v>
      </c>
      <c r="E1381">
        <f>_xlfn.XLOOKUP(D1381,Worksheet!$C$3:$C$32,Worksheet!$M$3:$M$32)</f>
        <v>116.7</v>
      </c>
      <c r="F1381" s="19">
        <f>_xlfn.XLOOKUP(D1381,Worksheet!$C$3:$C$32,Worksheet!$S$3:$S$32)</f>
        <v>0.24390243902439024</v>
      </c>
    </row>
    <row r="1382" spans="1:6" x14ac:dyDescent="0.2">
      <c r="A1382" t="s">
        <v>559</v>
      </c>
      <c r="B1382" s="4">
        <v>44621</v>
      </c>
      <c r="C1382" t="s">
        <v>91</v>
      </c>
      <c r="D1382" t="s">
        <v>76</v>
      </c>
      <c r="E1382">
        <f>_xlfn.XLOOKUP(D1382,Worksheet!$C$3:$C$32,Worksheet!$M$3:$M$32)</f>
        <v>116.7</v>
      </c>
      <c r="F1382" s="19">
        <f>_xlfn.XLOOKUP(D1382,Worksheet!$C$3:$C$32,Worksheet!$S$3:$S$32)</f>
        <v>0.24390243902439024</v>
      </c>
    </row>
    <row r="1383" spans="1:6" x14ac:dyDescent="0.2">
      <c r="A1383" t="s">
        <v>559</v>
      </c>
      <c r="B1383" s="4">
        <v>44623</v>
      </c>
      <c r="C1383" t="s">
        <v>91</v>
      </c>
      <c r="D1383" t="s">
        <v>62</v>
      </c>
      <c r="E1383">
        <f>_xlfn.XLOOKUP(D1383,Worksheet!$C$3:$C$32,Worksheet!$M$3:$M$32)</f>
        <v>113.3</v>
      </c>
      <c r="F1383" s="19">
        <f>_xlfn.XLOOKUP(D1383,Worksheet!$C$3:$C$32,Worksheet!$S$3:$S$32)</f>
        <v>0.40243902439024393</v>
      </c>
    </row>
    <row r="1384" spans="1:6" x14ac:dyDescent="0.2">
      <c r="A1384" t="s">
        <v>559</v>
      </c>
      <c r="B1384" s="4">
        <v>44626</v>
      </c>
      <c r="C1384" t="s">
        <v>91</v>
      </c>
      <c r="D1384" t="s">
        <v>110</v>
      </c>
      <c r="E1384">
        <f>_xlfn.XLOOKUP(D1384,Worksheet!$C$3:$C$32,Worksheet!$M$3:$M$32)</f>
        <v>110.5</v>
      </c>
      <c r="F1384" s="19">
        <f>_xlfn.XLOOKUP(D1384,Worksheet!$C$3:$C$32,Worksheet!$S$3:$S$32)</f>
        <v>0.45121951219512196</v>
      </c>
    </row>
    <row r="1385" spans="1:6" x14ac:dyDescent="0.2">
      <c r="A1385" t="s">
        <v>559</v>
      </c>
      <c r="B1385" s="4">
        <v>44628</v>
      </c>
      <c r="C1385" t="s">
        <v>91</v>
      </c>
      <c r="D1385" t="s">
        <v>33</v>
      </c>
      <c r="E1385">
        <f>_xlfn.XLOOKUP(D1385,Worksheet!$C$3:$C$32,Worksheet!$M$3:$M$32)</f>
        <v>106.9</v>
      </c>
      <c r="F1385" s="19">
        <f>_xlfn.XLOOKUP(D1385,Worksheet!$C$3:$C$32,Worksheet!$S$3:$S$32)</f>
        <v>0.64634146341463417</v>
      </c>
    </row>
    <row r="1386" spans="1:6" x14ac:dyDescent="0.2">
      <c r="A1386" t="s">
        <v>559</v>
      </c>
      <c r="B1386" s="4">
        <v>44629</v>
      </c>
      <c r="C1386" t="s">
        <v>91</v>
      </c>
      <c r="D1386" t="s">
        <v>155</v>
      </c>
      <c r="E1386">
        <f>_xlfn.XLOOKUP(D1386,Worksheet!$C$3:$C$32,Worksheet!$M$3:$M$32)</f>
        <v>114.5</v>
      </c>
      <c r="F1386" s="19">
        <f>_xlfn.XLOOKUP(D1386,Worksheet!$C$3:$C$32,Worksheet!$S$3:$S$32)</f>
        <v>0.42682926829268292</v>
      </c>
    </row>
    <row r="1387" spans="1:6" x14ac:dyDescent="0.2">
      <c r="A1387" t="s">
        <v>559</v>
      </c>
      <c r="B1387" s="4">
        <v>44631</v>
      </c>
      <c r="C1387" t="s">
        <v>91</v>
      </c>
      <c r="D1387" t="s">
        <v>78</v>
      </c>
      <c r="E1387">
        <f>_xlfn.XLOOKUP(D1387,Worksheet!$C$3:$C$32,Worksheet!$M$3:$M$32)</f>
        <v>114.9</v>
      </c>
      <c r="F1387" s="19">
        <f>_xlfn.XLOOKUP(D1387,Worksheet!$C$3:$C$32,Worksheet!$S$3:$S$32)</f>
        <v>0.52439024390243905</v>
      </c>
    </row>
    <row r="1388" spans="1:6" x14ac:dyDescent="0.2">
      <c r="A1388" t="s">
        <v>559</v>
      </c>
      <c r="B1388" s="4">
        <v>44633</v>
      </c>
      <c r="C1388" t="s">
        <v>91</v>
      </c>
      <c r="D1388" t="s">
        <v>89</v>
      </c>
      <c r="E1388">
        <f>_xlfn.XLOOKUP(D1388,Worksheet!$C$3:$C$32,Worksheet!$M$3:$M$32)</f>
        <v>113.8</v>
      </c>
      <c r="F1388" s="19">
        <f>_xlfn.XLOOKUP(D1388,Worksheet!$C$3:$C$32,Worksheet!$S$3:$S$32)</f>
        <v>0.28048780487804881</v>
      </c>
    </row>
    <row r="1389" spans="1:6" x14ac:dyDescent="0.2">
      <c r="A1389" t="s">
        <v>559</v>
      </c>
      <c r="B1389" s="4">
        <v>44634</v>
      </c>
      <c r="C1389" t="s">
        <v>91</v>
      </c>
      <c r="D1389" t="s">
        <v>87</v>
      </c>
      <c r="E1389">
        <f>_xlfn.XLOOKUP(D1389,Worksheet!$C$3:$C$32,Worksheet!$M$3:$M$32)</f>
        <v>109.7</v>
      </c>
      <c r="F1389" s="19">
        <f>_xlfn.XLOOKUP(D1389,Worksheet!$C$3:$C$32,Worksheet!$S$3:$S$32)</f>
        <v>0.53658536585365857</v>
      </c>
    </row>
    <row r="1390" spans="1:6" x14ac:dyDescent="0.2">
      <c r="A1390" t="s">
        <v>559</v>
      </c>
      <c r="B1390" s="4">
        <v>44636</v>
      </c>
      <c r="C1390" t="s">
        <v>91</v>
      </c>
      <c r="D1390" t="s">
        <v>92</v>
      </c>
      <c r="E1390">
        <f>_xlfn.XLOOKUP(D1390,Worksheet!$C$3:$C$32,Worksheet!$M$3:$M$32)</f>
        <v>110.5</v>
      </c>
      <c r="F1390" s="19">
        <f>_xlfn.XLOOKUP(D1390,Worksheet!$C$3:$C$32,Worksheet!$S$3:$S$32)</f>
        <v>0.58536585365853655</v>
      </c>
    </row>
    <row r="1391" spans="1:6" x14ac:dyDescent="0.2">
      <c r="A1391" t="s">
        <v>559</v>
      </c>
      <c r="B1391" s="4">
        <v>44638</v>
      </c>
      <c r="C1391" t="s">
        <v>91</v>
      </c>
      <c r="D1391" t="s">
        <v>118</v>
      </c>
      <c r="E1391">
        <f>_xlfn.XLOOKUP(D1391,Worksheet!$C$3:$C$32,Worksheet!$M$3:$M$32)</f>
        <v>110.5</v>
      </c>
      <c r="F1391" s="19">
        <f>_xlfn.XLOOKUP(D1391,Worksheet!$C$3:$C$32,Worksheet!$S$3:$S$32)</f>
        <v>0.59756097560975607</v>
      </c>
    </row>
    <row r="1392" spans="1:6" x14ac:dyDescent="0.2">
      <c r="A1392" t="s">
        <v>559</v>
      </c>
      <c r="B1392" s="4">
        <v>44642</v>
      </c>
      <c r="C1392" t="s">
        <v>91</v>
      </c>
      <c r="D1392" t="s">
        <v>34</v>
      </c>
      <c r="E1392">
        <f>_xlfn.XLOOKUP(D1392,Worksheet!$C$3:$C$32,Worksheet!$M$3:$M$32)</f>
        <v>112.1</v>
      </c>
      <c r="F1392" s="19">
        <f>_xlfn.XLOOKUP(D1392,Worksheet!$C$3:$C$32,Worksheet!$S$3:$S$32)</f>
        <v>0.58536585365853655</v>
      </c>
    </row>
    <row r="1393" spans="1:6" x14ac:dyDescent="0.2">
      <c r="A1393" t="s">
        <v>559</v>
      </c>
      <c r="B1393" s="4">
        <v>44645</v>
      </c>
      <c r="C1393" t="s">
        <v>91</v>
      </c>
      <c r="D1393" t="s">
        <v>94</v>
      </c>
      <c r="E1393">
        <f>_xlfn.XLOOKUP(D1393,Worksheet!$C$3:$C$32,Worksheet!$M$3:$M$32)</f>
        <v>110.8</v>
      </c>
      <c r="F1393" s="19">
        <f>_xlfn.XLOOKUP(D1393,Worksheet!$C$3:$C$32,Worksheet!$S$3:$S$32)</f>
        <v>0.62195121951219512</v>
      </c>
    </row>
    <row r="1394" spans="1:6" x14ac:dyDescent="0.2">
      <c r="A1394" t="s">
        <v>559</v>
      </c>
      <c r="B1394" s="4">
        <v>44649</v>
      </c>
      <c r="C1394">
        <v>29.5</v>
      </c>
      <c r="D1394" t="s">
        <v>118</v>
      </c>
      <c r="E1394">
        <f>_xlfn.XLOOKUP(D1394,Worksheet!$C$3:$C$32,Worksheet!$M$3:$M$32)</f>
        <v>110.5</v>
      </c>
      <c r="F1394" s="19">
        <f>_xlfn.XLOOKUP(D1394,Worksheet!$C$3:$C$32,Worksheet!$S$3:$S$32)</f>
        <v>0.59756097560975607</v>
      </c>
    </row>
    <row r="1395" spans="1:6" x14ac:dyDescent="0.2">
      <c r="A1395" t="s">
        <v>559</v>
      </c>
      <c r="B1395" s="4">
        <v>44651</v>
      </c>
      <c r="C1395">
        <v>11.9</v>
      </c>
      <c r="D1395" t="s">
        <v>82</v>
      </c>
      <c r="E1395">
        <f>_xlfn.XLOOKUP(D1395,Worksheet!$C$3:$C$32,Worksheet!$M$3:$M$32)</f>
        <v>113.6</v>
      </c>
      <c r="F1395" s="19">
        <f>_xlfn.XLOOKUP(D1395,Worksheet!$C$3:$C$32,Worksheet!$S$3:$S$32)</f>
        <v>0.56097560975609762</v>
      </c>
    </row>
    <row r="1396" spans="1:6" x14ac:dyDescent="0.2">
      <c r="A1396" t="s">
        <v>559</v>
      </c>
      <c r="B1396" s="4">
        <v>44652</v>
      </c>
      <c r="C1396" t="s">
        <v>91</v>
      </c>
      <c r="D1396" t="s">
        <v>126</v>
      </c>
      <c r="E1396">
        <f>_xlfn.XLOOKUP(D1396,Worksheet!$C$3:$C$32,Worksheet!$M$3:$M$32)</f>
        <v>111.8</v>
      </c>
      <c r="F1396" s="19">
        <f>_xlfn.XLOOKUP(D1396,Worksheet!$C$3:$C$32,Worksheet!$S$3:$S$32)</f>
        <v>0.62195121951219512</v>
      </c>
    </row>
    <row r="1397" spans="1:6" x14ac:dyDescent="0.2">
      <c r="A1397" t="s">
        <v>559</v>
      </c>
      <c r="B1397" s="4">
        <v>44654</v>
      </c>
      <c r="C1397">
        <v>10.9</v>
      </c>
      <c r="D1397" t="s">
        <v>74</v>
      </c>
      <c r="E1397">
        <f>_xlfn.XLOOKUP(D1397,Worksheet!$C$3:$C$32,Worksheet!$M$3:$M$32)</f>
        <v>113</v>
      </c>
      <c r="F1397" s="19">
        <f>_xlfn.XLOOKUP(D1397,Worksheet!$C$3:$C$32,Worksheet!$S$3:$S$32)</f>
        <v>0.43902439024390244</v>
      </c>
    </row>
    <row r="1398" spans="1:6" x14ac:dyDescent="0.2">
      <c r="A1398" t="s">
        <v>559</v>
      </c>
      <c r="B1398" s="4">
        <v>44657</v>
      </c>
      <c r="C1398">
        <v>19.600000000000001</v>
      </c>
      <c r="D1398" t="s">
        <v>99</v>
      </c>
      <c r="E1398">
        <f>_xlfn.XLOOKUP(D1398,Worksheet!$C$3:$C$32,Worksheet!$M$3:$M$32)</f>
        <v>107.3</v>
      </c>
      <c r="F1398" s="19">
        <f>_xlfn.XLOOKUP(D1398,Worksheet!$C$3:$C$32,Worksheet!$S$3:$S$32)</f>
        <v>0.78048780487804881</v>
      </c>
    </row>
    <row r="1399" spans="1:6" x14ac:dyDescent="0.2">
      <c r="A1399" t="s">
        <v>559</v>
      </c>
      <c r="B1399" s="4">
        <v>44660</v>
      </c>
      <c r="C1399">
        <v>24</v>
      </c>
      <c r="D1399" t="s">
        <v>66</v>
      </c>
      <c r="E1399">
        <f>_xlfn.XLOOKUP(D1399,Worksheet!$C$3:$C$32,Worksheet!$M$3:$M$32)</f>
        <v>115.3</v>
      </c>
      <c r="F1399" s="19">
        <f>_xlfn.XLOOKUP(D1399,Worksheet!$C$3:$C$32,Worksheet!$S$3:$S$32)</f>
        <v>0.36585365853658536</v>
      </c>
    </row>
    <row r="1400" spans="1:6" x14ac:dyDescent="0.2">
      <c r="A1400" t="s">
        <v>559</v>
      </c>
      <c r="B1400" s="4">
        <v>44661</v>
      </c>
      <c r="C1400" t="s">
        <v>91</v>
      </c>
      <c r="D1400" t="s">
        <v>68</v>
      </c>
      <c r="E1400">
        <f>_xlfn.XLOOKUP(D1400,Worksheet!$C$3:$C$32,Worksheet!$M$3:$M$32)</f>
        <v>112.8</v>
      </c>
      <c r="F1400" s="19">
        <f>_xlfn.XLOOKUP(D1400,Worksheet!$C$3:$C$32,Worksheet!$S$3:$S$32)</f>
        <v>0.29268292682926828</v>
      </c>
    </row>
    <row r="1401" spans="1:6" x14ac:dyDescent="0.2">
      <c r="A1401" t="s">
        <v>560</v>
      </c>
      <c r="B1401" s="4">
        <v>44488</v>
      </c>
      <c r="C1401">
        <v>-0.4</v>
      </c>
      <c r="D1401" t="s">
        <v>33</v>
      </c>
      <c r="E1401">
        <f>_xlfn.XLOOKUP(D1401,Worksheet!$C$3:$C$32,Worksheet!$M$3:$M$32)</f>
        <v>106.9</v>
      </c>
      <c r="F1401" s="19">
        <f>_xlfn.XLOOKUP(D1401,Worksheet!$C$3:$C$32,Worksheet!$S$3:$S$32)</f>
        <v>0.64634146341463417</v>
      </c>
    </row>
    <row r="1402" spans="1:6" x14ac:dyDescent="0.2">
      <c r="A1402" t="s">
        <v>560</v>
      </c>
      <c r="B1402" s="4">
        <v>44491</v>
      </c>
      <c r="C1402">
        <v>12</v>
      </c>
      <c r="D1402" t="s">
        <v>99</v>
      </c>
      <c r="E1402">
        <f>_xlfn.XLOOKUP(D1402,Worksheet!$C$3:$C$32,Worksheet!$M$3:$M$32)</f>
        <v>107.3</v>
      </c>
      <c r="F1402" s="19">
        <f>_xlfn.XLOOKUP(D1402,Worksheet!$C$3:$C$32,Worksheet!$S$3:$S$32)</f>
        <v>0.78048780487804881</v>
      </c>
    </row>
    <row r="1403" spans="1:6" x14ac:dyDescent="0.2">
      <c r="A1403" t="s">
        <v>560</v>
      </c>
      <c r="B1403" s="4">
        <v>44493</v>
      </c>
      <c r="C1403">
        <v>9.1</v>
      </c>
      <c r="D1403" t="s">
        <v>42</v>
      </c>
      <c r="E1403">
        <f>_xlfn.XLOOKUP(D1403,Worksheet!$C$3:$C$32,Worksheet!$M$3:$M$32)</f>
        <v>109</v>
      </c>
      <c r="F1403" s="19">
        <f>_xlfn.XLOOKUP(D1403,Worksheet!$C$3:$C$32,Worksheet!$S$3:$S$32)</f>
        <v>0.68292682926829273</v>
      </c>
    </row>
    <row r="1404" spans="1:6" x14ac:dyDescent="0.2">
      <c r="A1404" t="s">
        <v>560</v>
      </c>
      <c r="B1404" s="4">
        <v>44495</v>
      </c>
      <c r="C1404">
        <v>25.9</v>
      </c>
      <c r="D1404" t="s">
        <v>102</v>
      </c>
      <c r="E1404">
        <f>_xlfn.XLOOKUP(D1404,Worksheet!$C$3:$C$32,Worksheet!$M$3:$M$32)</f>
        <v>112.3</v>
      </c>
      <c r="F1404" s="19">
        <f>_xlfn.XLOOKUP(D1404,Worksheet!$C$3:$C$32,Worksheet!$S$3:$S$32)</f>
        <v>0.41463414634146339</v>
      </c>
    </row>
    <row r="1405" spans="1:6" x14ac:dyDescent="0.2">
      <c r="A1405" t="s">
        <v>560</v>
      </c>
      <c r="B1405" s="4">
        <v>44496</v>
      </c>
      <c r="C1405">
        <v>13.1</v>
      </c>
      <c r="D1405" t="s">
        <v>68</v>
      </c>
      <c r="E1405">
        <f>_xlfn.XLOOKUP(D1405,Worksheet!$C$3:$C$32,Worksheet!$M$3:$M$32)</f>
        <v>112.8</v>
      </c>
      <c r="F1405" s="19">
        <f>_xlfn.XLOOKUP(D1405,Worksheet!$C$3:$C$32,Worksheet!$S$3:$S$32)</f>
        <v>0.29268292682926828</v>
      </c>
    </row>
    <row r="1406" spans="1:6" x14ac:dyDescent="0.2">
      <c r="A1406" t="s">
        <v>560</v>
      </c>
      <c r="B1406" s="4">
        <v>44498</v>
      </c>
      <c r="C1406">
        <v>13.6</v>
      </c>
      <c r="D1406" t="s">
        <v>87</v>
      </c>
      <c r="E1406">
        <f>_xlfn.XLOOKUP(D1406,Worksheet!$C$3:$C$32,Worksheet!$M$3:$M$32)</f>
        <v>109.7</v>
      </c>
      <c r="F1406" s="19">
        <f>_xlfn.XLOOKUP(D1406,Worksheet!$C$3:$C$32,Worksheet!$S$3:$S$32)</f>
        <v>0.53658536585365857</v>
      </c>
    </row>
    <row r="1407" spans="1:6" x14ac:dyDescent="0.2">
      <c r="A1407" t="s">
        <v>560</v>
      </c>
      <c r="B1407" s="4">
        <v>44500</v>
      </c>
      <c r="C1407">
        <v>14.3</v>
      </c>
      <c r="D1407" t="s">
        <v>76</v>
      </c>
      <c r="E1407">
        <f>_xlfn.XLOOKUP(D1407,Worksheet!$C$3:$C$32,Worksheet!$M$3:$M$32)</f>
        <v>116.7</v>
      </c>
      <c r="F1407" s="19">
        <f>_xlfn.XLOOKUP(D1407,Worksheet!$C$3:$C$32,Worksheet!$S$3:$S$32)</f>
        <v>0.24390243902439024</v>
      </c>
    </row>
    <row r="1408" spans="1:6" x14ac:dyDescent="0.2">
      <c r="A1408" t="s">
        <v>560</v>
      </c>
      <c r="B1408" s="4">
        <v>44502</v>
      </c>
      <c r="C1408">
        <v>22.1</v>
      </c>
      <c r="D1408" t="s">
        <v>76</v>
      </c>
      <c r="E1408">
        <f>_xlfn.XLOOKUP(D1408,Worksheet!$C$3:$C$32,Worksheet!$M$3:$M$32)</f>
        <v>116.7</v>
      </c>
      <c r="F1408" s="19">
        <f>_xlfn.XLOOKUP(D1408,Worksheet!$C$3:$C$32,Worksheet!$S$3:$S$32)</f>
        <v>0.24390243902439024</v>
      </c>
    </row>
    <row r="1409" spans="1:6" x14ac:dyDescent="0.2">
      <c r="A1409" t="s">
        <v>560</v>
      </c>
      <c r="B1409" s="4">
        <v>44504</v>
      </c>
      <c r="C1409">
        <v>15.8</v>
      </c>
      <c r="D1409" t="s">
        <v>68</v>
      </c>
      <c r="E1409">
        <f>_xlfn.XLOOKUP(D1409,Worksheet!$C$3:$C$32,Worksheet!$M$3:$M$32)</f>
        <v>112.8</v>
      </c>
      <c r="F1409" s="19">
        <f>_xlfn.XLOOKUP(D1409,Worksheet!$C$3:$C$32,Worksheet!$S$3:$S$32)</f>
        <v>0.29268292682926828</v>
      </c>
    </row>
    <row r="1410" spans="1:6" x14ac:dyDescent="0.2">
      <c r="A1410" t="s">
        <v>560</v>
      </c>
      <c r="B1410" s="4">
        <v>44506</v>
      </c>
      <c r="C1410">
        <v>0.6</v>
      </c>
      <c r="D1410" t="s">
        <v>96</v>
      </c>
      <c r="E1410">
        <f>_xlfn.XLOOKUP(D1410,Worksheet!$C$3:$C$32,Worksheet!$M$3:$M$32)</f>
        <v>116.9</v>
      </c>
      <c r="F1410" s="19">
        <f>_xlfn.XLOOKUP(D1410,Worksheet!$C$3:$C$32,Worksheet!$S$3:$S$32)</f>
        <v>0.32926829268292684</v>
      </c>
    </row>
    <row r="1411" spans="1:6" x14ac:dyDescent="0.2">
      <c r="A1411" t="s">
        <v>560</v>
      </c>
      <c r="B1411" s="4">
        <v>44508</v>
      </c>
      <c r="C1411">
        <v>15.5</v>
      </c>
      <c r="D1411" t="s">
        <v>72</v>
      </c>
      <c r="E1411">
        <f>_xlfn.XLOOKUP(D1411,Worksheet!$C$3:$C$32,Worksheet!$M$3:$M$32)</f>
        <v>113.7</v>
      </c>
      <c r="F1411" s="19">
        <f>_xlfn.XLOOKUP(D1411,Worksheet!$C$3:$C$32,Worksheet!$S$3:$S$32)</f>
        <v>0.52439024390243905</v>
      </c>
    </row>
    <row r="1412" spans="1:6" x14ac:dyDescent="0.2">
      <c r="A1412" t="s">
        <v>560</v>
      </c>
      <c r="B1412" s="4">
        <v>44510</v>
      </c>
      <c r="C1412">
        <v>19.8</v>
      </c>
      <c r="D1412" t="s">
        <v>120</v>
      </c>
      <c r="E1412">
        <f>_xlfn.XLOOKUP(D1412,Worksheet!$C$3:$C$32,Worksheet!$M$3:$M$32)</f>
        <v>109.1</v>
      </c>
      <c r="F1412" s="19">
        <f>_xlfn.XLOOKUP(D1412,Worksheet!$C$3:$C$32,Worksheet!$S$3:$S$32)</f>
        <v>0.64634146341463417</v>
      </c>
    </row>
    <row r="1413" spans="1:6" x14ac:dyDescent="0.2">
      <c r="A1413" t="s">
        <v>560</v>
      </c>
      <c r="B1413" s="4">
        <v>44512</v>
      </c>
      <c r="C1413">
        <v>12.5</v>
      </c>
      <c r="D1413" t="s">
        <v>80</v>
      </c>
      <c r="E1413">
        <f>_xlfn.XLOOKUP(D1413,Worksheet!$C$3:$C$32,Worksheet!$M$3:$M$32)</f>
        <v>111.7</v>
      </c>
      <c r="F1413" s="19">
        <f>_xlfn.XLOOKUP(D1413,Worksheet!$C$3:$C$32,Worksheet!$S$3:$S$32)</f>
        <v>0.56097560975609762</v>
      </c>
    </row>
    <row r="1414" spans="1:6" x14ac:dyDescent="0.2">
      <c r="A1414" t="s">
        <v>560</v>
      </c>
      <c r="B1414" s="4">
        <v>44514</v>
      </c>
      <c r="C1414">
        <v>10.3</v>
      </c>
      <c r="D1414" t="s">
        <v>102</v>
      </c>
      <c r="E1414">
        <f>_xlfn.XLOOKUP(D1414,Worksheet!$C$3:$C$32,Worksheet!$M$3:$M$32)</f>
        <v>112.3</v>
      </c>
      <c r="F1414" s="19">
        <f>_xlfn.XLOOKUP(D1414,Worksheet!$C$3:$C$32,Worksheet!$S$3:$S$32)</f>
        <v>0.41463414634146339</v>
      </c>
    </row>
    <row r="1415" spans="1:6" x14ac:dyDescent="0.2">
      <c r="A1415" t="s">
        <v>560</v>
      </c>
      <c r="B1415" s="4">
        <v>44515</v>
      </c>
      <c r="C1415">
        <v>17.7</v>
      </c>
      <c r="D1415" t="s">
        <v>82</v>
      </c>
      <c r="E1415">
        <f>_xlfn.XLOOKUP(D1415,Worksheet!$C$3:$C$32,Worksheet!$M$3:$M$32)</f>
        <v>113.6</v>
      </c>
      <c r="F1415" s="19">
        <f>_xlfn.XLOOKUP(D1415,Worksheet!$C$3:$C$32,Worksheet!$S$3:$S$32)</f>
        <v>0.56097560975609762</v>
      </c>
    </row>
    <row r="1416" spans="1:6" x14ac:dyDescent="0.2">
      <c r="A1416" t="s">
        <v>560</v>
      </c>
      <c r="B1416" s="4">
        <v>44517</v>
      </c>
      <c r="C1416">
        <v>19.100000000000001</v>
      </c>
      <c r="D1416" t="s">
        <v>126</v>
      </c>
      <c r="E1416">
        <f>_xlfn.XLOOKUP(D1416,Worksheet!$C$3:$C$32,Worksheet!$M$3:$M$32)</f>
        <v>111.8</v>
      </c>
      <c r="F1416" s="19">
        <f>_xlfn.XLOOKUP(D1416,Worksheet!$C$3:$C$32,Worksheet!$S$3:$S$32)</f>
        <v>0.62195121951219512</v>
      </c>
    </row>
    <row r="1417" spans="1:6" x14ac:dyDescent="0.2">
      <c r="A1417" t="s">
        <v>560</v>
      </c>
      <c r="B1417" s="4">
        <v>44519</v>
      </c>
      <c r="C1417">
        <v>6.5</v>
      </c>
      <c r="D1417" t="s">
        <v>55</v>
      </c>
      <c r="E1417">
        <f>_xlfn.XLOOKUP(D1417,Worksheet!$C$3:$C$32,Worksheet!$M$3:$M$32)</f>
        <v>106.9</v>
      </c>
      <c r="F1417" s="19">
        <f>_xlfn.XLOOKUP(D1417,Worksheet!$C$3:$C$32,Worksheet!$S$3:$S$32)</f>
        <v>0.62195121951219512</v>
      </c>
    </row>
    <row r="1418" spans="1:6" x14ac:dyDescent="0.2">
      <c r="A1418" t="s">
        <v>560</v>
      </c>
      <c r="B1418" s="4">
        <v>44521</v>
      </c>
      <c r="C1418">
        <v>21.6</v>
      </c>
      <c r="D1418" t="s">
        <v>89</v>
      </c>
      <c r="E1418">
        <f>_xlfn.XLOOKUP(D1418,Worksheet!$C$3:$C$32,Worksheet!$M$3:$M$32)</f>
        <v>113.8</v>
      </c>
      <c r="F1418" s="19">
        <f>_xlfn.XLOOKUP(D1418,Worksheet!$C$3:$C$32,Worksheet!$S$3:$S$32)</f>
        <v>0.28048780487804881</v>
      </c>
    </row>
    <row r="1419" spans="1:6" x14ac:dyDescent="0.2">
      <c r="A1419" t="s">
        <v>560</v>
      </c>
      <c r="B1419" s="4">
        <v>44523</v>
      </c>
      <c r="C1419">
        <v>28.5</v>
      </c>
      <c r="D1419" t="s">
        <v>110</v>
      </c>
      <c r="E1419">
        <f>_xlfn.XLOOKUP(D1419,Worksheet!$C$3:$C$32,Worksheet!$M$3:$M$32)</f>
        <v>110.5</v>
      </c>
      <c r="F1419" s="19">
        <f>_xlfn.XLOOKUP(D1419,Worksheet!$C$3:$C$32,Worksheet!$S$3:$S$32)</f>
        <v>0.45121951219512196</v>
      </c>
    </row>
    <row r="1420" spans="1:6" x14ac:dyDescent="0.2">
      <c r="A1420" t="s">
        <v>560</v>
      </c>
      <c r="B1420" s="4">
        <v>44524</v>
      </c>
      <c r="C1420">
        <v>12.2</v>
      </c>
      <c r="D1420" t="s">
        <v>108</v>
      </c>
      <c r="E1420">
        <f>_xlfn.XLOOKUP(D1420,Worksheet!$C$3:$C$32,Worksheet!$M$3:$M$32)</f>
        <v>116.1</v>
      </c>
      <c r="F1420" s="19">
        <f>_xlfn.XLOOKUP(D1420,Worksheet!$C$3:$C$32,Worksheet!$S$3:$S$32)</f>
        <v>0.3048780487804878</v>
      </c>
    </row>
    <row r="1421" spans="1:6" x14ac:dyDescent="0.2">
      <c r="A1421" t="s">
        <v>560</v>
      </c>
      <c r="B1421" s="4">
        <v>44526</v>
      </c>
      <c r="C1421">
        <v>29.7</v>
      </c>
      <c r="D1421" t="s">
        <v>66</v>
      </c>
      <c r="E1421">
        <f>_xlfn.XLOOKUP(D1421,Worksheet!$C$3:$C$32,Worksheet!$M$3:$M$32)</f>
        <v>115.3</v>
      </c>
      <c r="F1421" s="19">
        <f>_xlfn.XLOOKUP(D1421,Worksheet!$C$3:$C$32,Worksheet!$S$3:$S$32)</f>
        <v>0.36585365853658536</v>
      </c>
    </row>
    <row r="1422" spans="1:6" x14ac:dyDescent="0.2">
      <c r="A1422" t="s">
        <v>560</v>
      </c>
      <c r="B1422" s="4">
        <v>44528</v>
      </c>
      <c r="C1422">
        <v>22.3</v>
      </c>
      <c r="D1422" t="s">
        <v>89</v>
      </c>
      <c r="E1422">
        <f>_xlfn.XLOOKUP(D1422,Worksheet!$C$3:$C$32,Worksheet!$M$3:$M$32)</f>
        <v>113.8</v>
      </c>
      <c r="F1422" s="19">
        <f>_xlfn.XLOOKUP(D1422,Worksheet!$C$3:$C$32,Worksheet!$S$3:$S$32)</f>
        <v>0.28048780487804881</v>
      </c>
    </row>
    <row r="1423" spans="1:6" x14ac:dyDescent="0.2">
      <c r="A1423" t="s">
        <v>560</v>
      </c>
      <c r="B1423" s="4">
        <v>44530</v>
      </c>
      <c r="C1423">
        <v>12.6</v>
      </c>
      <c r="D1423" t="s">
        <v>66</v>
      </c>
      <c r="E1423">
        <f>_xlfn.XLOOKUP(D1423,Worksheet!$C$3:$C$32,Worksheet!$M$3:$M$32)</f>
        <v>115.3</v>
      </c>
      <c r="F1423" s="19">
        <f>_xlfn.XLOOKUP(D1423,Worksheet!$C$3:$C$32,Worksheet!$S$3:$S$32)</f>
        <v>0.36585365853658536</v>
      </c>
    </row>
    <row r="1424" spans="1:6" x14ac:dyDescent="0.2">
      <c r="A1424" t="s">
        <v>560</v>
      </c>
      <c r="B1424" s="4">
        <v>44533</v>
      </c>
      <c r="C1424">
        <v>10.7</v>
      </c>
      <c r="D1424" t="s">
        <v>64</v>
      </c>
      <c r="E1424">
        <f>_xlfn.XLOOKUP(D1424,Worksheet!$C$3:$C$32,Worksheet!$M$3:$M$32)</f>
        <v>110.1</v>
      </c>
      <c r="F1424" s="19">
        <f>_xlfn.XLOOKUP(D1424,Worksheet!$C$3:$C$32,Worksheet!$S$3:$S$32)</f>
        <v>0.51219512195121952</v>
      </c>
    </row>
    <row r="1425" spans="1:6" x14ac:dyDescent="0.2">
      <c r="A1425" t="s">
        <v>560</v>
      </c>
      <c r="B1425" s="4">
        <v>44537</v>
      </c>
      <c r="C1425">
        <v>21.2</v>
      </c>
      <c r="D1425" t="s">
        <v>55</v>
      </c>
      <c r="E1425">
        <f>_xlfn.XLOOKUP(D1425,Worksheet!$C$3:$C$32,Worksheet!$M$3:$M$32)</f>
        <v>106.9</v>
      </c>
      <c r="F1425" s="19">
        <f>_xlfn.XLOOKUP(D1425,Worksheet!$C$3:$C$32,Worksheet!$S$3:$S$32)</f>
        <v>0.62195121951219512</v>
      </c>
    </row>
    <row r="1426" spans="1:6" x14ac:dyDescent="0.2">
      <c r="A1426" t="s">
        <v>560</v>
      </c>
      <c r="B1426" s="4">
        <v>44539</v>
      </c>
      <c r="C1426">
        <v>2.5</v>
      </c>
      <c r="D1426" t="s">
        <v>42</v>
      </c>
      <c r="E1426">
        <f>_xlfn.XLOOKUP(D1426,Worksheet!$C$3:$C$32,Worksheet!$M$3:$M$32)</f>
        <v>109</v>
      </c>
      <c r="F1426" s="19">
        <f>_xlfn.XLOOKUP(D1426,Worksheet!$C$3:$C$32,Worksheet!$S$3:$S$32)</f>
        <v>0.68292682926829273</v>
      </c>
    </row>
    <row r="1427" spans="1:6" x14ac:dyDescent="0.2">
      <c r="A1427" t="s">
        <v>560</v>
      </c>
      <c r="B1427" s="4">
        <v>44540</v>
      </c>
      <c r="C1427">
        <v>7.7</v>
      </c>
      <c r="D1427" t="s">
        <v>68</v>
      </c>
      <c r="E1427">
        <f>_xlfn.XLOOKUP(D1427,Worksheet!$C$3:$C$32,Worksheet!$M$3:$M$32)</f>
        <v>112.8</v>
      </c>
      <c r="F1427" s="19">
        <f>_xlfn.XLOOKUP(D1427,Worksheet!$C$3:$C$32,Worksheet!$S$3:$S$32)</f>
        <v>0.29268292682926828</v>
      </c>
    </row>
    <row r="1428" spans="1:6" x14ac:dyDescent="0.2">
      <c r="A1428" t="s">
        <v>560</v>
      </c>
      <c r="B1428" s="4">
        <v>44542</v>
      </c>
      <c r="C1428">
        <v>12.2</v>
      </c>
      <c r="D1428" t="s">
        <v>104</v>
      </c>
      <c r="E1428">
        <f>_xlfn.XLOOKUP(D1428,Worksheet!$C$3:$C$32,Worksheet!$M$3:$M$32)</f>
        <v>112.5</v>
      </c>
      <c r="F1428" s="19">
        <f>_xlfn.XLOOKUP(D1428,Worksheet!$C$3:$C$32,Worksheet!$S$3:$S$32)</f>
        <v>0.26829268292682928</v>
      </c>
    </row>
    <row r="1429" spans="1:6" x14ac:dyDescent="0.2">
      <c r="A1429" t="s">
        <v>560</v>
      </c>
      <c r="B1429" s="4">
        <v>44545</v>
      </c>
      <c r="C1429">
        <v>17.7</v>
      </c>
      <c r="D1429" t="s">
        <v>49</v>
      </c>
      <c r="E1429">
        <f>_xlfn.XLOOKUP(D1429,Worksheet!$C$3:$C$32,Worksheet!$M$3:$M$32)</f>
        <v>109.4</v>
      </c>
      <c r="F1429" s="19">
        <f>_xlfn.XLOOKUP(D1429,Worksheet!$C$3:$C$32,Worksheet!$S$3:$S$32)</f>
        <v>0.63414634146341464</v>
      </c>
    </row>
    <row r="1430" spans="1:6" x14ac:dyDescent="0.2">
      <c r="A1430" t="s">
        <v>560</v>
      </c>
      <c r="B1430" s="4">
        <v>44547</v>
      </c>
      <c r="C1430">
        <v>10.5</v>
      </c>
      <c r="D1430" t="s">
        <v>80</v>
      </c>
      <c r="E1430">
        <f>_xlfn.XLOOKUP(D1430,Worksheet!$C$3:$C$32,Worksheet!$M$3:$M$32)</f>
        <v>111.7</v>
      </c>
      <c r="F1430" s="19">
        <f>_xlfn.XLOOKUP(D1430,Worksheet!$C$3:$C$32,Worksheet!$S$3:$S$32)</f>
        <v>0.56097560975609762</v>
      </c>
    </row>
    <row r="1431" spans="1:6" x14ac:dyDescent="0.2">
      <c r="A1431" t="s">
        <v>560</v>
      </c>
      <c r="B1431" s="4">
        <v>44549</v>
      </c>
      <c r="C1431">
        <v>12.6</v>
      </c>
      <c r="D1431" t="s">
        <v>82</v>
      </c>
      <c r="E1431">
        <f>_xlfn.XLOOKUP(D1431,Worksheet!$C$3:$C$32,Worksheet!$M$3:$M$32)</f>
        <v>113.6</v>
      </c>
      <c r="F1431" s="19">
        <f>_xlfn.XLOOKUP(D1431,Worksheet!$C$3:$C$32,Worksheet!$S$3:$S$32)</f>
        <v>0.56097560975609762</v>
      </c>
    </row>
    <row r="1432" spans="1:6" x14ac:dyDescent="0.2">
      <c r="A1432" t="s">
        <v>560</v>
      </c>
      <c r="B1432" s="4">
        <v>44551</v>
      </c>
      <c r="C1432">
        <v>12.9</v>
      </c>
      <c r="D1432" t="s">
        <v>99</v>
      </c>
      <c r="E1432">
        <f>_xlfn.XLOOKUP(D1432,Worksheet!$C$3:$C$32,Worksheet!$M$3:$M$32)</f>
        <v>107.3</v>
      </c>
      <c r="F1432" s="19">
        <f>_xlfn.XLOOKUP(D1432,Worksheet!$C$3:$C$32,Worksheet!$S$3:$S$32)</f>
        <v>0.78048780487804881</v>
      </c>
    </row>
    <row r="1433" spans="1:6" x14ac:dyDescent="0.2">
      <c r="A1433" t="s">
        <v>560</v>
      </c>
      <c r="B1433" s="4">
        <v>44553</v>
      </c>
      <c r="C1433">
        <v>18.899999999999999</v>
      </c>
      <c r="D1433" t="s">
        <v>102</v>
      </c>
      <c r="E1433">
        <f>_xlfn.XLOOKUP(D1433,Worksheet!$C$3:$C$32,Worksheet!$M$3:$M$32)</f>
        <v>112.3</v>
      </c>
      <c r="F1433" s="19">
        <f>_xlfn.XLOOKUP(D1433,Worksheet!$C$3:$C$32,Worksheet!$S$3:$S$32)</f>
        <v>0.41463414634146339</v>
      </c>
    </row>
    <row r="1434" spans="1:6" x14ac:dyDescent="0.2">
      <c r="A1434" t="s">
        <v>560</v>
      </c>
      <c r="B1434" s="4">
        <v>44555</v>
      </c>
      <c r="C1434">
        <v>9.5</v>
      </c>
      <c r="D1434" t="s">
        <v>85</v>
      </c>
      <c r="E1434">
        <f>_xlfn.XLOOKUP(D1434,Worksheet!$C$3:$C$32,Worksheet!$M$3:$M$32)</f>
        <v>112.8</v>
      </c>
      <c r="F1434" s="19">
        <f>_xlfn.XLOOKUP(D1434,Worksheet!$C$3:$C$32,Worksheet!$S$3:$S$32)</f>
        <v>0.53658536585365857</v>
      </c>
    </row>
    <row r="1435" spans="1:6" x14ac:dyDescent="0.2">
      <c r="A1435" t="s">
        <v>560</v>
      </c>
      <c r="B1435" s="4">
        <v>44558</v>
      </c>
      <c r="C1435">
        <v>21.6</v>
      </c>
      <c r="D1435" t="s">
        <v>76</v>
      </c>
      <c r="E1435">
        <f>_xlfn.XLOOKUP(D1435,Worksheet!$C$3:$C$32,Worksheet!$M$3:$M$32)</f>
        <v>116.7</v>
      </c>
      <c r="F1435" s="19">
        <f>_xlfn.XLOOKUP(D1435,Worksheet!$C$3:$C$32,Worksheet!$S$3:$S$32)</f>
        <v>0.24390243902439024</v>
      </c>
    </row>
    <row r="1436" spans="1:6" x14ac:dyDescent="0.2">
      <c r="A1436" t="s">
        <v>560</v>
      </c>
      <c r="B1436" s="4">
        <v>44559</v>
      </c>
      <c r="C1436">
        <v>12.8</v>
      </c>
      <c r="D1436" t="s">
        <v>42</v>
      </c>
      <c r="E1436">
        <f>_xlfn.XLOOKUP(D1436,Worksheet!$C$3:$C$32,Worksheet!$M$3:$M$32)</f>
        <v>109</v>
      </c>
      <c r="F1436" s="19">
        <f>_xlfn.XLOOKUP(D1436,Worksheet!$C$3:$C$32,Worksheet!$S$3:$S$32)</f>
        <v>0.68292682926829273</v>
      </c>
    </row>
    <row r="1437" spans="1:6" x14ac:dyDescent="0.2">
      <c r="A1437" t="s">
        <v>560</v>
      </c>
      <c r="B1437" s="4">
        <v>44561</v>
      </c>
      <c r="C1437">
        <v>19.100000000000001</v>
      </c>
      <c r="D1437" t="s">
        <v>96</v>
      </c>
      <c r="E1437">
        <f>_xlfn.XLOOKUP(D1437,Worksheet!$C$3:$C$32,Worksheet!$M$3:$M$32)</f>
        <v>116.9</v>
      </c>
      <c r="F1437" s="19">
        <f>_xlfn.XLOOKUP(D1437,Worksheet!$C$3:$C$32,Worksheet!$S$3:$S$32)</f>
        <v>0.32926829268292684</v>
      </c>
    </row>
    <row r="1438" spans="1:6" x14ac:dyDescent="0.2">
      <c r="A1438" t="s">
        <v>560</v>
      </c>
      <c r="B1438" s="4">
        <v>44563</v>
      </c>
      <c r="C1438">
        <v>5.9</v>
      </c>
      <c r="D1438" t="s">
        <v>80</v>
      </c>
      <c r="E1438">
        <f>_xlfn.XLOOKUP(D1438,Worksheet!$C$3:$C$32,Worksheet!$M$3:$M$32)</f>
        <v>111.7</v>
      </c>
      <c r="F1438" s="19">
        <f>_xlfn.XLOOKUP(D1438,Worksheet!$C$3:$C$32,Worksheet!$S$3:$S$32)</f>
        <v>0.56097560975609762</v>
      </c>
    </row>
    <row r="1439" spans="1:6" x14ac:dyDescent="0.2">
      <c r="A1439" t="s">
        <v>560</v>
      </c>
      <c r="B1439" s="4">
        <v>44565</v>
      </c>
      <c r="C1439">
        <v>12.5</v>
      </c>
      <c r="D1439" t="s">
        <v>66</v>
      </c>
      <c r="E1439">
        <f>_xlfn.XLOOKUP(D1439,Worksheet!$C$3:$C$32,Worksheet!$M$3:$M$32)</f>
        <v>115.3</v>
      </c>
      <c r="F1439" s="19">
        <f>_xlfn.XLOOKUP(D1439,Worksheet!$C$3:$C$32,Worksheet!$S$3:$S$32)</f>
        <v>0.36585365853658536</v>
      </c>
    </row>
    <row r="1440" spans="1:6" x14ac:dyDescent="0.2">
      <c r="A1440" t="s">
        <v>560</v>
      </c>
      <c r="B1440" s="4">
        <v>44568</v>
      </c>
      <c r="C1440">
        <v>7.4</v>
      </c>
      <c r="D1440" t="s">
        <v>78</v>
      </c>
      <c r="E1440">
        <f>_xlfn.XLOOKUP(D1440,Worksheet!$C$3:$C$32,Worksheet!$M$3:$M$32)</f>
        <v>114.9</v>
      </c>
      <c r="F1440" s="19">
        <f>_xlfn.XLOOKUP(D1440,Worksheet!$C$3:$C$32,Worksheet!$S$3:$S$32)</f>
        <v>0.52439024390243905</v>
      </c>
    </row>
    <row r="1441" spans="1:6" x14ac:dyDescent="0.2">
      <c r="A1441" t="s">
        <v>560</v>
      </c>
      <c r="B1441" s="4">
        <v>44570</v>
      </c>
      <c r="C1441">
        <v>5</v>
      </c>
      <c r="D1441" t="s">
        <v>42</v>
      </c>
      <c r="E1441">
        <f>_xlfn.XLOOKUP(D1441,Worksheet!$C$3:$C$32,Worksheet!$M$3:$M$32)</f>
        <v>109</v>
      </c>
      <c r="F1441" s="19">
        <f>_xlfn.XLOOKUP(D1441,Worksheet!$C$3:$C$32,Worksheet!$S$3:$S$32)</f>
        <v>0.68292682926829273</v>
      </c>
    </row>
    <row r="1442" spans="1:6" x14ac:dyDescent="0.2">
      <c r="A1442" t="s">
        <v>560</v>
      </c>
      <c r="B1442" s="4">
        <v>44573</v>
      </c>
      <c r="C1442">
        <v>6.4</v>
      </c>
      <c r="D1442" t="s">
        <v>66</v>
      </c>
      <c r="E1442">
        <f>_xlfn.XLOOKUP(D1442,Worksheet!$C$3:$C$32,Worksheet!$M$3:$M$32)</f>
        <v>115.3</v>
      </c>
      <c r="F1442" s="19">
        <f>_xlfn.XLOOKUP(D1442,Worksheet!$C$3:$C$32,Worksheet!$S$3:$S$32)</f>
        <v>0.36585365853658536</v>
      </c>
    </row>
    <row r="1443" spans="1:6" x14ac:dyDescent="0.2">
      <c r="A1443" t="s">
        <v>560</v>
      </c>
      <c r="B1443" s="4">
        <v>44576</v>
      </c>
      <c r="C1443">
        <v>14.9</v>
      </c>
      <c r="D1443" t="s">
        <v>34</v>
      </c>
      <c r="E1443">
        <f>_xlfn.XLOOKUP(D1443,Worksheet!$C$3:$C$32,Worksheet!$M$3:$M$32)</f>
        <v>112.1</v>
      </c>
      <c r="F1443" s="19">
        <f>_xlfn.XLOOKUP(D1443,Worksheet!$C$3:$C$32,Worksheet!$S$3:$S$32)</f>
        <v>0.58536585365853655</v>
      </c>
    </row>
    <row r="1444" spans="1:6" x14ac:dyDescent="0.2">
      <c r="A1444" t="s">
        <v>560</v>
      </c>
      <c r="B1444" s="4">
        <v>44578</v>
      </c>
      <c r="C1444">
        <v>9.6</v>
      </c>
      <c r="D1444" t="s">
        <v>118</v>
      </c>
      <c r="E1444">
        <f>_xlfn.XLOOKUP(D1444,Worksheet!$C$3:$C$32,Worksheet!$M$3:$M$32)</f>
        <v>110.5</v>
      </c>
      <c r="F1444" s="19">
        <f>_xlfn.XLOOKUP(D1444,Worksheet!$C$3:$C$32,Worksheet!$S$3:$S$32)</f>
        <v>0.59756097560975607</v>
      </c>
    </row>
    <row r="1445" spans="1:6" x14ac:dyDescent="0.2">
      <c r="A1445" t="s">
        <v>560</v>
      </c>
      <c r="B1445" s="4">
        <v>44580</v>
      </c>
      <c r="C1445">
        <v>5.6</v>
      </c>
      <c r="D1445" t="s">
        <v>108</v>
      </c>
      <c r="E1445">
        <f>_xlfn.XLOOKUP(D1445,Worksheet!$C$3:$C$32,Worksheet!$M$3:$M$32)</f>
        <v>116.1</v>
      </c>
      <c r="F1445" s="19">
        <f>_xlfn.XLOOKUP(D1445,Worksheet!$C$3:$C$32,Worksheet!$S$3:$S$32)</f>
        <v>0.3048780487804878</v>
      </c>
    </row>
    <row r="1446" spans="1:6" x14ac:dyDescent="0.2">
      <c r="A1446" t="s">
        <v>560</v>
      </c>
      <c r="B1446" s="4">
        <v>44582</v>
      </c>
      <c r="C1446">
        <v>17.100000000000001</v>
      </c>
      <c r="D1446" t="s">
        <v>104</v>
      </c>
      <c r="E1446">
        <f>_xlfn.XLOOKUP(D1446,Worksheet!$C$3:$C$32,Worksheet!$M$3:$M$32)</f>
        <v>112.5</v>
      </c>
      <c r="F1446" s="19">
        <f>_xlfn.XLOOKUP(D1446,Worksheet!$C$3:$C$32,Worksheet!$S$3:$S$32)</f>
        <v>0.26829268292682928</v>
      </c>
    </row>
    <row r="1447" spans="1:6" x14ac:dyDescent="0.2">
      <c r="A1447" t="s">
        <v>560</v>
      </c>
      <c r="B1447" s="4">
        <v>44584</v>
      </c>
      <c r="C1447">
        <v>21.1</v>
      </c>
      <c r="D1447" t="s">
        <v>120</v>
      </c>
      <c r="E1447">
        <f>_xlfn.XLOOKUP(D1447,Worksheet!$C$3:$C$32,Worksheet!$M$3:$M$32)</f>
        <v>109.1</v>
      </c>
      <c r="F1447" s="19">
        <f>_xlfn.XLOOKUP(D1447,Worksheet!$C$3:$C$32,Worksheet!$S$3:$S$32)</f>
        <v>0.64634146341463417</v>
      </c>
    </row>
    <row r="1448" spans="1:6" x14ac:dyDescent="0.2">
      <c r="A1448" t="s">
        <v>560</v>
      </c>
      <c r="B1448" s="4">
        <v>44586</v>
      </c>
      <c r="C1448">
        <v>7.4</v>
      </c>
      <c r="D1448" t="s">
        <v>85</v>
      </c>
      <c r="E1448">
        <f>_xlfn.XLOOKUP(D1448,Worksheet!$C$3:$C$32,Worksheet!$M$3:$M$32)</f>
        <v>112.8</v>
      </c>
      <c r="F1448" s="19">
        <f>_xlfn.XLOOKUP(D1448,Worksheet!$C$3:$C$32,Worksheet!$S$3:$S$32)</f>
        <v>0.53658536585365857</v>
      </c>
    </row>
    <row r="1449" spans="1:6" x14ac:dyDescent="0.2">
      <c r="A1449" t="s">
        <v>560</v>
      </c>
      <c r="B1449" s="4">
        <v>44588</v>
      </c>
      <c r="C1449">
        <v>12.1</v>
      </c>
      <c r="D1449" t="s">
        <v>94</v>
      </c>
      <c r="E1449">
        <f>_xlfn.XLOOKUP(D1449,Worksheet!$C$3:$C$32,Worksheet!$M$3:$M$32)</f>
        <v>110.8</v>
      </c>
      <c r="F1449" s="19">
        <f>_xlfn.XLOOKUP(D1449,Worksheet!$C$3:$C$32,Worksheet!$S$3:$S$32)</f>
        <v>0.62195121951219512</v>
      </c>
    </row>
    <row r="1450" spans="1:6" x14ac:dyDescent="0.2">
      <c r="A1450" t="s">
        <v>560</v>
      </c>
      <c r="B1450" s="4">
        <v>44589</v>
      </c>
      <c r="C1450">
        <v>25.4</v>
      </c>
      <c r="D1450" t="s">
        <v>72</v>
      </c>
      <c r="E1450">
        <f>_xlfn.XLOOKUP(D1450,Worksheet!$C$3:$C$32,Worksheet!$M$3:$M$32)</f>
        <v>113.7</v>
      </c>
      <c r="F1450" s="19">
        <f>_xlfn.XLOOKUP(D1450,Worksheet!$C$3:$C$32,Worksheet!$S$3:$S$32)</f>
        <v>0.52439024390243905</v>
      </c>
    </row>
    <row r="1451" spans="1:6" x14ac:dyDescent="0.2">
      <c r="A1451" t="s">
        <v>560</v>
      </c>
      <c r="B1451" s="4">
        <v>44591</v>
      </c>
      <c r="C1451">
        <v>18.600000000000001</v>
      </c>
      <c r="D1451" t="s">
        <v>78</v>
      </c>
      <c r="E1451">
        <f>_xlfn.XLOOKUP(D1451,Worksheet!$C$3:$C$32,Worksheet!$M$3:$M$32)</f>
        <v>114.9</v>
      </c>
      <c r="F1451" s="19">
        <f>_xlfn.XLOOKUP(D1451,Worksheet!$C$3:$C$32,Worksheet!$S$3:$S$32)</f>
        <v>0.52439024390243905</v>
      </c>
    </row>
    <row r="1452" spans="1:6" x14ac:dyDescent="0.2">
      <c r="A1452" t="s">
        <v>560</v>
      </c>
      <c r="B1452" s="4">
        <v>44594</v>
      </c>
      <c r="C1452">
        <v>9.3000000000000007</v>
      </c>
      <c r="D1452" t="s">
        <v>96</v>
      </c>
      <c r="E1452">
        <f>_xlfn.XLOOKUP(D1452,Worksheet!$C$3:$C$32,Worksheet!$M$3:$M$32)</f>
        <v>116.9</v>
      </c>
      <c r="F1452" s="19">
        <f>_xlfn.XLOOKUP(D1452,Worksheet!$C$3:$C$32,Worksheet!$S$3:$S$32)</f>
        <v>0.32926829268292684</v>
      </c>
    </row>
    <row r="1453" spans="1:6" x14ac:dyDescent="0.2">
      <c r="A1453" t="s">
        <v>560</v>
      </c>
      <c r="B1453" s="4">
        <v>44595</v>
      </c>
      <c r="C1453">
        <v>10.8</v>
      </c>
      <c r="D1453" t="s">
        <v>64</v>
      </c>
      <c r="E1453">
        <f>_xlfn.XLOOKUP(D1453,Worksheet!$C$3:$C$32,Worksheet!$M$3:$M$32)</f>
        <v>110.1</v>
      </c>
      <c r="F1453" s="19">
        <f>_xlfn.XLOOKUP(D1453,Worksheet!$C$3:$C$32,Worksheet!$S$3:$S$32)</f>
        <v>0.51219512195121952</v>
      </c>
    </row>
    <row r="1454" spans="1:6" x14ac:dyDescent="0.2">
      <c r="A1454" t="s">
        <v>560</v>
      </c>
      <c r="B1454" s="4">
        <v>44597</v>
      </c>
      <c r="C1454">
        <v>-0.5</v>
      </c>
      <c r="D1454" t="s">
        <v>110</v>
      </c>
      <c r="E1454">
        <f>_xlfn.XLOOKUP(D1454,Worksheet!$C$3:$C$32,Worksheet!$M$3:$M$32)</f>
        <v>110.5</v>
      </c>
      <c r="F1454" s="19">
        <f>_xlfn.XLOOKUP(D1454,Worksheet!$C$3:$C$32,Worksheet!$S$3:$S$32)</f>
        <v>0.45121951219512196</v>
      </c>
    </row>
    <row r="1455" spans="1:6" x14ac:dyDescent="0.2">
      <c r="A1455" t="s">
        <v>560</v>
      </c>
      <c r="B1455" s="4">
        <v>44600</v>
      </c>
      <c r="C1455">
        <v>5.9</v>
      </c>
      <c r="D1455" t="s">
        <v>126</v>
      </c>
      <c r="E1455">
        <f>_xlfn.XLOOKUP(D1455,Worksheet!$C$3:$C$32,Worksheet!$M$3:$M$32)</f>
        <v>111.8</v>
      </c>
      <c r="F1455" s="19">
        <f>_xlfn.XLOOKUP(D1455,Worksheet!$C$3:$C$32,Worksheet!$S$3:$S$32)</f>
        <v>0.62195121951219512</v>
      </c>
    </row>
    <row r="1456" spans="1:6" x14ac:dyDescent="0.2">
      <c r="A1456" t="s">
        <v>560</v>
      </c>
      <c r="B1456" s="4">
        <v>44601</v>
      </c>
      <c r="C1456" t="s">
        <v>358</v>
      </c>
      <c r="D1456" t="s">
        <v>96</v>
      </c>
      <c r="E1456">
        <f>_xlfn.XLOOKUP(D1456,Worksheet!$C$3:$C$32,Worksheet!$M$3:$M$32)</f>
        <v>116.9</v>
      </c>
      <c r="F1456" s="19">
        <f>_xlfn.XLOOKUP(D1456,Worksheet!$C$3:$C$32,Worksheet!$S$3:$S$32)</f>
        <v>0.32926829268292684</v>
      </c>
    </row>
    <row r="1457" spans="1:6" x14ac:dyDescent="0.2">
      <c r="A1457" t="s">
        <v>560</v>
      </c>
      <c r="B1457" s="4">
        <v>44604</v>
      </c>
      <c r="C1457">
        <v>17.100000000000001</v>
      </c>
      <c r="D1457" t="s">
        <v>33</v>
      </c>
      <c r="E1457">
        <f>_xlfn.XLOOKUP(D1457,Worksheet!$C$3:$C$32,Worksheet!$M$3:$M$32)</f>
        <v>106.9</v>
      </c>
      <c r="F1457" s="19">
        <f>_xlfn.XLOOKUP(D1457,Worksheet!$C$3:$C$32,Worksheet!$S$3:$S$32)</f>
        <v>0.64634146341463417</v>
      </c>
    </row>
    <row r="1458" spans="1:6" x14ac:dyDescent="0.2">
      <c r="A1458" t="s">
        <v>560</v>
      </c>
      <c r="B1458" s="4">
        <v>44608</v>
      </c>
      <c r="C1458">
        <v>11.2</v>
      </c>
      <c r="D1458" t="s">
        <v>118</v>
      </c>
      <c r="E1458">
        <f>_xlfn.XLOOKUP(D1458,Worksheet!$C$3:$C$32,Worksheet!$M$3:$M$32)</f>
        <v>110.5</v>
      </c>
      <c r="F1458" s="19">
        <f>_xlfn.XLOOKUP(D1458,Worksheet!$C$3:$C$32,Worksheet!$S$3:$S$32)</f>
        <v>0.59756097560975607</v>
      </c>
    </row>
    <row r="1459" spans="1:6" x14ac:dyDescent="0.2">
      <c r="A1459" t="s">
        <v>560</v>
      </c>
      <c r="B1459" s="4">
        <v>44617</v>
      </c>
      <c r="C1459">
        <v>7.5</v>
      </c>
      <c r="D1459" t="s">
        <v>64</v>
      </c>
      <c r="E1459">
        <f>_xlfn.XLOOKUP(D1459,Worksheet!$C$3:$C$32,Worksheet!$M$3:$M$32)</f>
        <v>110.1</v>
      </c>
      <c r="F1459" s="19">
        <f>_xlfn.XLOOKUP(D1459,Worksheet!$C$3:$C$32,Worksheet!$S$3:$S$32)</f>
        <v>0.51219512195121952</v>
      </c>
    </row>
    <row r="1460" spans="1:6" x14ac:dyDescent="0.2">
      <c r="A1460" t="s">
        <v>560</v>
      </c>
      <c r="B1460" s="4">
        <v>44619</v>
      </c>
      <c r="C1460">
        <v>2.8</v>
      </c>
      <c r="D1460" t="s">
        <v>74</v>
      </c>
      <c r="E1460">
        <f>_xlfn.XLOOKUP(D1460,Worksheet!$C$3:$C$32,Worksheet!$M$3:$M$32)</f>
        <v>113</v>
      </c>
      <c r="F1460" s="19">
        <f>_xlfn.XLOOKUP(D1460,Worksheet!$C$3:$C$32,Worksheet!$S$3:$S$32)</f>
        <v>0.43902439024390244</v>
      </c>
    </row>
    <row r="1461" spans="1:6" x14ac:dyDescent="0.2">
      <c r="A1461" t="s">
        <v>560</v>
      </c>
      <c r="B1461" s="4">
        <v>44621</v>
      </c>
      <c r="C1461">
        <v>11.8</v>
      </c>
      <c r="D1461" t="s">
        <v>49</v>
      </c>
      <c r="E1461">
        <f>_xlfn.XLOOKUP(D1461,Worksheet!$C$3:$C$32,Worksheet!$M$3:$M$32)</f>
        <v>109.4</v>
      </c>
      <c r="F1461" s="19">
        <f>_xlfn.XLOOKUP(D1461,Worksheet!$C$3:$C$32,Worksheet!$S$3:$S$32)</f>
        <v>0.63414634146341464</v>
      </c>
    </row>
    <row r="1462" spans="1:6" x14ac:dyDescent="0.2">
      <c r="A1462" t="s">
        <v>560</v>
      </c>
      <c r="B1462" s="4">
        <v>44623</v>
      </c>
      <c r="C1462">
        <v>9.9</v>
      </c>
      <c r="D1462" t="s">
        <v>64</v>
      </c>
      <c r="E1462">
        <f>_xlfn.XLOOKUP(D1462,Worksheet!$C$3:$C$32,Worksheet!$M$3:$M$32)</f>
        <v>110.1</v>
      </c>
      <c r="F1462" s="19">
        <f>_xlfn.XLOOKUP(D1462,Worksheet!$C$3:$C$32,Worksheet!$S$3:$S$32)</f>
        <v>0.51219512195121952</v>
      </c>
    </row>
    <row r="1463" spans="1:6" x14ac:dyDescent="0.2">
      <c r="A1463" t="s">
        <v>560</v>
      </c>
      <c r="B1463" s="4">
        <v>44625</v>
      </c>
      <c r="C1463">
        <v>8.3000000000000007</v>
      </c>
      <c r="D1463" t="s">
        <v>33</v>
      </c>
      <c r="E1463">
        <f>_xlfn.XLOOKUP(D1463,Worksheet!$C$3:$C$32,Worksheet!$M$3:$M$32)</f>
        <v>106.9</v>
      </c>
      <c r="F1463" s="19">
        <f>_xlfn.XLOOKUP(D1463,Worksheet!$C$3:$C$32,Worksheet!$S$3:$S$32)</f>
        <v>0.64634146341463417</v>
      </c>
    </row>
    <row r="1464" spans="1:6" x14ac:dyDescent="0.2">
      <c r="A1464" t="s">
        <v>560</v>
      </c>
      <c r="B1464" s="4">
        <v>44627</v>
      </c>
      <c r="C1464">
        <v>8.1999999999999993</v>
      </c>
      <c r="D1464" t="s">
        <v>102</v>
      </c>
      <c r="E1464">
        <f>_xlfn.XLOOKUP(D1464,Worksheet!$C$3:$C$32,Worksheet!$M$3:$M$32)</f>
        <v>112.3</v>
      </c>
      <c r="F1464" s="19">
        <f>_xlfn.XLOOKUP(D1464,Worksheet!$C$3:$C$32,Worksheet!$S$3:$S$32)</f>
        <v>0.41463414634146339</v>
      </c>
    </row>
    <row r="1465" spans="1:6" x14ac:dyDescent="0.2">
      <c r="A1465" t="s">
        <v>560</v>
      </c>
      <c r="B1465" s="4">
        <v>44629</v>
      </c>
      <c r="C1465">
        <v>25</v>
      </c>
      <c r="D1465" t="s">
        <v>76</v>
      </c>
      <c r="E1465">
        <f>_xlfn.XLOOKUP(D1465,Worksheet!$C$3:$C$32,Worksheet!$M$3:$M$32)</f>
        <v>116.7</v>
      </c>
      <c r="F1465" s="19">
        <f>_xlfn.XLOOKUP(D1465,Worksheet!$C$3:$C$32,Worksheet!$S$3:$S$32)</f>
        <v>0.24390243902439024</v>
      </c>
    </row>
    <row r="1466" spans="1:6" x14ac:dyDescent="0.2">
      <c r="A1466" t="s">
        <v>560</v>
      </c>
      <c r="B1466" s="4">
        <v>44631</v>
      </c>
      <c r="C1466">
        <v>3.6</v>
      </c>
      <c r="D1466" t="s">
        <v>155</v>
      </c>
      <c r="E1466">
        <f>_xlfn.XLOOKUP(D1466,Worksheet!$C$3:$C$32,Worksheet!$M$3:$M$32)</f>
        <v>114.5</v>
      </c>
      <c r="F1466" s="19">
        <f>_xlfn.XLOOKUP(D1466,Worksheet!$C$3:$C$32,Worksheet!$S$3:$S$32)</f>
        <v>0.42682926829268292</v>
      </c>
    </row>
    <row r="1467" spans="1:6" x14ac:dyDescent="0.2">
      <c r="A1467" t="s">
        <v>560</v>
      </c>
      <c r="B1467" s="4">
        <v>44633</v>
      </c>
      <c r="C1467">
        <v>5.6</v>
      </c>
      <c r="D1467" t="s">
        <v>99</v>
      </c>
      <c r="E1467">
        <f>_xlfn.XLOOKUP(D1467,Worksheet!$C$3:$C$32,Worksheet!$M$3:$M$32)</f>
        <v>107.3</v>
      </c>
      <c r="F1467" s="19">
        <f>_xlfn.XLOOKUP(D1467,Worksheet!$C$3:$C$32,Worksheet!$S$3:$S$32)</f>
        <v>0.78048780487804881</v>
      </c>
    </row>
    <row r="1468" spans="1:6" x14ac:dyDescent="0.2">
      <c r="A1468" t="s">
        <v>560</v>
      </c>
      <c r="B1468" s="4">
        <v>44634</v>
      </c>
      <c r="C1468">
        <v>13.4</v>
      </c>
      <c r="D1468" t="s">
        <v>92</v>
      </c>
      <c r="E1468">
        <f>_xlfn.XLOOKUP(D1468,Worksheet!$C$3:$C$32,Worksheet!$M$3:$M$32)</f>
        <v>110.5</v>
      </c>
      <c r="F1468" s="19">
        <f>_xlfn.XLOOKUP(D1468,Worksheet!$C$3:$C$32,Worksheet!$S$3:$S$32)</f>
        <v>0.58536585365853655</v>
      </c>
    </row>
    <row r="1469" spans="1:6" x14ac:dyDescent="0.2">
      <c r="A1469" t="s">
        <v>560</v>
      </c>
      <c r="B1469" s="4">
        <v>44636</v>
      </c>
      <c r="C1469">
        <v>11.1</v>
      </c>
      <c r="D1469" t="s">
        <v>80</v>
      </c>
      <c r="E1469">
        <f>_xlfn.XLOOKUP(D1469,Worksheet!$C$3:$C$32,Worksheet!$M$3:$M$32)</f>
        <v>111.7</v>
      </c>
      <c r="F1469" s="19">
        <f>_xlfn.XLOOKUP(D1469,Worksheet!$C$3:$C$32,Worksheet!$S$3:$S$32)</f>
        <v>0.56097560975609762</v>
      </c>
    </row>
    <row r="1470" spans="1:6" x14ac:dyDescent="0.2">
      <c r="A1470" t="s">
        <v>560</v>
      </c>
      <c r="B1470" s="4">
        <v>44638</v>
      </c>
      <c r="C1470">
        <v>19.2</v>
      </c>
      <c r="D1470" t="s">
        <v>92</v>
      </c>
      <c r="E1470">
        <f>_xlfn.XLOOKUP(D1470,Worksheet!$C$3:$C$32,Worksheet!$M$3:$M$32)</f>
        <v>110.5</v>
      </c>
      <c r="F1470" s="19">
        <f>_xlfn.XLOOKUP(D1470,Worksheet!$C$3:$C$32,Worksheet!$S$3:$S$32)</f>
        <v>0.58536585365853655</v>
      </c>
    </row>
    <row r="1471" spans="1:6" x14ac:dyDescent="0.2">
      <c r="A1471" t="s">
        <v>560</v>
      </c>
      <c r="B1471" s="4">
        <v>44639</v>
      </c>
      <c r="C1471">
        <v>20.399999999999999</v>
      </c>
      <c r="D1471" t="s">
        <v>155</v>
      </c>
      <c r="E1471">
        <f>_xlfn.XLOOKUP(D1471,Worksheet!$C$3:$C$32,Worksheet!$M$3:$M$32)</f>
        <v>114.5</v>
      </c>
      <c r="F1471" s="19">
        <f>_xlfn.XLOOKUP(D1471,Worksheet!$C$3:$C$32,Worksheet!$S$3:$S$32)</f>
        <v>0.42682926829268292</v>
      </c>
    </row>
    <row r="1472" spans="1:6" x14ac:dyDescent="0.2">
      <c r="A1472" t="s">
        <v>560</v>
      </c>
      <c r="B1472" s="4">
        <v>44641</v>
      </c>
      <c r="C1472">
        <v>19.399999999999999</v>
      </c>
      <c r="D1472" t="s">
        <v>87</v>
      </c>
      <c r="E1472">
        <f>_xlfn.XLOOKUP(D1472,Worksheet!$C$3:$C$32,Worksheet!$M$3:$M$32)</f>
        <v>109.7</v>
      </c>
      <c r="F1472" s="19">
        <f>_xlfn.XLOOKUP(D1472,Worksheet!$C$3:$C$32,Worksheet!$S$3:$S$32)</f>
        <v>0.53658536585365857</v>
      </c>
    </row>
    <row r="1473" spans="1:6" x14ac:dyDescent="0.2">
      <c r="A1473" t="s">
        <v>560</v>
      </c>
      <c r="B1473" s="4">
        <v>44643</v>
      </c>
      <c r="C1473">
        <v>15.1</v>
      </c>
      <c r="D1473" t="s">
        <v>94</v>
      </c>
      <c r="E1473">
        <f>_xlfn.XLOOKUP(D1473,Worksheet!$C$3:$C$32,Worksheet!$M$3:$M$32)</f>
        <v>110.8</v>
      </c>
      <c r="F1473" s="19">
        <f>_xlfn.XLOOKUP(D1473,Worksheet!$C$3:$C$32,Worksheet!$S$3:$S$32)</f>
        <v>0.62195121951219512</v>
      </c>
    </row>
    <row r="1474" spans="1:6" x14ac:dyDescent="0.2">
      <c r="A1474" t="s">
        <v>560</v>
      </c>
      <c r="B1474" s="4">
        <v>44647</v>
      </c>
      <c r="C1474">
        <v>15.4</v>
      </c>
      <c r="D1474" t="s">
        <v>74</v>
      </c>
      <c r="E1474">
        <f>_xlfn.XLOOKUP(D1474,Worksheet!$C$3:$C$32,Worksheet!$M$3:$M$32)</f>
        <v>113</v>
      </c>
      <c r="F1474" s="19">
        <f>_xlfn.XLOOKUP(D1474,Worksheet!$C$3:$C$32,Worksheet!$S$3:$S$32)</f>
        <v>0.43902439024390244</v>
      </c>
    </row>
    <row r="1475" spans="1:6" x14ac:dyDescent="0.2">
      <c r="A1475" t="s">
        <v>560</v>
      </c>
      <c r="B1475" s="4">
        <v>44649</v>
      </c>
      <c r="C1475">
        <v>20.100000000000001</v>
      </c>
      <c r="D1475" t="s">
        <v>49</v>
      </c>
      <c r="E1475">
        <f>_xlfn.XLOOKUP(D1475,Worksheet!$C$3:$C$32,Worksheet!$M$3:$M$32)</f>
        <v>109.4</v>
      </c>
      <c r="F1475" s="19">
        <f>_xlfn.XLOOKUP(D1475,Worksheet!$C$3:$C$32,Worksheet!$S$3:$S$32)</f>
        <v>0.63414634146341464</v>
      </c>
    </row>
    <row r="1476" spans="1:6" x14ac:dyDescent="0.2">
      <c r="A1476" t="s">
        <v>560</v>
      </c>
      <c r="B1476" s="4">
        <v>44651</v>
      </c>
      <c r="C1476">
        <v>16.7</v>
      </c>
      <c r="D1476" t="s">
        <v>118</v>
      </c>
      <c r="E1476">
        <f>_xlfn.XLOOKUP(D1476,Worksheet!$C$3:$C$32,Worksheet!$M$3:$M$32)</f>
        <v>110.5</v>
      </c>
      <c r="F1476" s="19">
        <f>_xlfn.XLOOKUP(D1476,Worksheet!$C$3:$C$32,Worksheet!$S$3:$S$32)</f>
        <v>0.59756097560975607</v>
      </c>
    </row>
    <row r="1477" spans="1:6" x14ac:dyDescent="0.2">
      <c r="A1477" t="s">
        <v>560</v>
      </c>
      <c r="B1477" s="4">
        <v>44652</v>
      </c>
      <c r="C1477">
        <v>5.6</v>
      </c>
      <c r="D1477" t="s">
        <v>74</v>
      </c>
      <c r="E1477">
        <f>_xlfn.XLOOKUP(D1477,Worksheet!$C$3:$C$32,Worksheet!$M$3:$M$32)</f>
        <v>113</v>
      </c>
      <c r="F1477" s="19">
        <f>_xlfn.XLOOKUP(D1477,Worksheet!$C$3:$C$32,Worksheet!$S$3:$S$32)</f>
        <v>0.43902439024390244</v>
      </c>
    </row>
    <row r="1478" spans="1:6" x14ac:dyDescent="0.2">
      <c r="A1478" t="s">
        <v>560</v>
      </c>
      <c r="B1478" s="4">
        <v>44654</v>
      </c>
      <c r="C1478">
        <v>26.3</v>
      </c>
      <c r="D1478" t="s">
        <v>34</v>
      </c>
      <c r="E1478">
        <f>_xlfn.XLOOKUP(D1478,Worksheet!$C$3:$C$32,Worksheet!$M$3:$M$32)</f>
        <v>112.1</v>
      </c>
      <c r="F1478" s="19">
        <f>_xlfn.XLOOKUP(D1478,Worksheet!$C$3:$C$32,Worksheet!$S$3:$S$32)</f>
        <v>0.58536585365853655</v>
      </c>
    </row>
    <row r="1479" spans="1:6" x14ac:dyDescent="0.2">
      <c r="A1479" t="s">
        <v>560</v>
      </c>
      <c r="B1479" s="4">
        <v>44656</v>
      </c>
      <c r="C1479">
        <v>14.4</v>
      </c>
      <c r="D1479" t="s">
        <v>99</v>
      </c>
      <c r="E1479">
        <f>_xlfn.XLOOKUP(D1479,Worksheet!$C$3:$C$32,Worksheet!$M$3:$M$32)</f>
        <v>107.3</v>
      </c>
      <c r="F1479" s="19">
        <f>_xlfn.XLOOKUP(D1479,Worksheet!$C$3:$C$32,Worksheet!$S$3:$S$32)</f>
        <v>0.78048780487804881</v>
      </c>
    </row>
    <row r="1480" spans="1:6" x14ac:dyDescent="0.2">
      <c r="A1480" t="s">
        <v>560</v>
      </c>
      <c r="B1480" s="4">
        <v>44658</v>
      </c>
      <c r="C1480" t="s">
        <v>91</v>
      </c>
      <c r="D1480" t="s">
        <v>33</v>
      </c>
      <c r="E1480">
        <f>_xlfn.XLOOKUP(D1480,Worksheet!$C$3:$C$32,Worksheet!$M$3:$M$32)</f>
        <v>106.9</v>
      </c>
      <c r="F1480" s="19">
        <f>_xlfn.XLOOKUP(D1480,Worksheet!$C$3:$C$32,Worksheet!$S$3:$S$32)</f>
        <v>0.64634146341463417</v>
      </c>
    </row>
    <row r="1481" spans="1:6" x14ac:dyDescent="0.2">
      <c r="A1481" t="s">
        <v>560</v>
      </c>
      <c r="B1481" s="4">
        <v>44659</v>
      </c>
      <c r="C1481" t="s">
        <v>91</v>
      </c>
      <c r="D1481" t="s">
        <v>68</v>
      </c>
      <c r="E1481">
        <f>_xlfn.XLOOKUP(D1481,Worksheet!$C$3:$C$32,Worksheet!$M$3:$M$32)</f>
        <v>112.8</v>
      </c>
      <c r="F1481" s="19">
        <f>_xlfn.XLOOKUP(D1481,Worksheet!$C$3:$C$32,Worksheet!$S$3:$S$32)</f>
        <v>0.29268292682926828</v>
      </c>
    </row>
    <row r="1482" spans="1:6" x14ac:dyDescent="0.2">
      <c r="A1482" t="s">
        <v>560</v>
      </c>
      <c r="B1482" s="4">
        <v>44661</v>
      </c>
      <c r="C1482" t="s">
        <v>91</v>
      </c>
      <c r="D1482" t="s">
        <v>34</v>
      </c>
      <c r="E1482">
        <f>_xlfn.XLOOKUP(D1482,Worksheet!$C$3:$C$32,Worksheet!$M$3:$M$32)</f>
        <v>112.1</v>
      </c>
      <c r="F1482" s="19">
        <f>_xlfn.XLOOKUP(D1482,Worksheet!$C$3:$C$32,Worksheet!$S$3:$S$32)</f>
        <v>0.58536585365853655</v>
      </c>
    </row>
    <row r="1483" spans="1:6" x14ac:dyDescent="0.2">
      <c r="A1483" t="s">
        <v>561</v>
      </c>
      <c r="B1483" s="4">
        <v>44490</v>
      </c>
      <c r="C1483">
        <v>4.2</v>
      </c>
      <c r="D1483" t="s">
        <v>33</v>
      </c>
      <c r="E1483">
        <f>_xlfn.XLOOKUP(D1483,Worksheet!$C$3:$C$32,Worksheet!$M$3:$M$32)</f>
        <v>106.9</v>
      </c>
      <c r="F1483" s="19">
        <f>_xlfn.XLOOKUP(D1483,Worksheet!$C$3:$C$32,Worksheet!$S$3:$S$32)</f>
        <v>0.64634146341463417</v>
      </c>
    </row>
    <row r="1484" spans="1:6" x14ac:dyDescent="0.2">
      <c r="A1484" t="s">
        <v>561</v>
      </c>
      <c r="B1484" s="4">
        <v>44492</v>
      </c>
      <c r="C1484">
        <v>9.4</v>
      </c>
      <c r="D1484" t="s">
        <v>42</v>
      </c>
      <c r="E1484">
        <f>_xlfn.XLOOKUP(D1484,Worksheet!$C$3:$C$32,Worksheet!$M$3:$M$32)</f>
        <v>109</v>
      </c>
      <c r="F1484" s="19">
        <f>_xlfn.XLOOKUP(D1484,Worksheet!$C$3:$C$32,Worksheet!$S$3:$S$32)</f>
        <v>0.68292682926829273</v>
      </c>
    </row>
    <row r="1485" spans="1:6" x14ac:dyDescent="0.2">
      <c r="A1485" t="s">
        <v>561</v>
      </c>
      <c r="B1485" s="4">
        <v>44494</v>
      </c>
      <c r="C1485">
        <v>9.3000000000000007</v>
      </c>
      <c r="D1485" t="s">
        <v>96</v>
      </c>
      <c r="E1485">
        <f>_xlfn.XLOOKUP(D1485,Worksheet!$C$3:$C$32,Worksheet!$M$3:$M$32)</f>
        <v>116.9</v>
      </c>
      <c r="F1485" s="19">
        <f>_xlfn.XLOOKUP(D1485,Worksheet!$C$3:$C$32,Worksheet!$S$3:$S$32)</f>
        <v>0.32926829268292684</v>
      </c>
    </row>
    <row r="1486" spans="1:6" x14ac:dyDescent="0.2">
      <c r="A1486" t="s">
        <v>561</v>
      </c>
      <c r="B1486" s="4">
        <v>44496</v>
      </c>
      <c r="C1486">
        <v>11.6</v>
      </c>
      <c r="D1486" t="s">
        <v>87</v>
      </c>
      <c r="E1486">
        <f>_xlfn.XLOOKUP(D1486,Worksheet!$C$3:$C$32,Worksheet!$M$3:$M$32)</f>
        <v>109.7</v>
      </c>
      <c r="F1486" s="19">
        <f>_xlfn.XLOOKUP(D1486,Worksheet!$C$3:$C$32,Worksheet!$S$3:$S$32)</f>
        <v>0.53658536585365857</v>
      </c>
    </row>
    <row r="1487" spans="1:6" x14ac:dyDescent="0.2">
      <c r="A1487" t="s">
        <v>561</v>
      </c>
      <c r="B1487" s="4">
        <v>44498</v>
      </c>
      <c r="C1487">
        <v>3.4</v>
      </c>
      <c r="D1487" t="s">
        <v>96</v>
      </c>
      <c r="E1487">
        <f>_xlfn.XLOOKUP(D1487,Worksheet!$C$3:$C$32,Worksheet!$M$3:$M$32)</f>
        <v>116.9</v>
      </c>
      <c r="F1487" s="19">
        <f>_xlfn.XLOOKUP(D1487,Worksheet!$C$3:$C$32,Worksheet!$S$3:$S$32)</f>
        <v>0.32926829268292684</v>
      </c>
    </row>
    <row r="1488" spans="1:6" x14ac:dyDescent="0.2">
      <c r="A1488" t="s">
        <v>561</v>
      </c>
      <c r="B1488" s="4">
        <v>44501</v>
      </c>
      <c r="C1488">
        <v>5</v>
      </c>
      <c r="D1488" t="s">
        <v>68</v>
      </c>
      <c r="E1488">
        <f>_xlfn.XLOOKUP(D1488,Worksheet!$C$3:$C$32,Worksheet!$M$3:$M$32)</f>
        <v>112.8</v>
      </c>
      <c r="F1488" s="19">
        <f>_xlfn.XLOOKUP(D1488,Worksheet!$C$3:$C$32,Worksheet!$S$3:$S$32)</f>
        <v>0.29268292682926828</v>
      </c>
    </row>
    <row r="1489" spans="1:6" x14ac:dyDescent="0.2">
      <c r="A1489" t="s">
        <v>561</v>
      </c>
      <c r="B1489" s="4">
        <v>44503</v>
      </c>
      <c r="C1489">
        <v>25.5</v>
      </c>
      <c r="D1489" t="s">
        <v>80</v>
      </c>
      <c r="E1489">
        <f>_xlfn.XLOOKUP(D1489,Worksheet!$C$3:$C$32,Worksheet!$M$3:$M$32)</f>
        <v>111.7</v>
      </c>
      <c r="F1489" s="19">
        <f>_xlfn.XLOOKUP(D1489,Worksheet!$C$3:$C$32,Worksheet!$S$3:$S$32)</f>
        <v>0.56097560975609762</v>
      </c>
    </row>
    <row r="1490" spans="1:6" x14ac:dyDescent="0.2">
      <c r="A1490" t="s">
        <v>561</v>
      </c>
      <c r="B1490" s="4">
        <v>44505</v>
      </c>
      <c r="C1490">
        <v>13.6</v>
      </c>
      <c r="D1490" t="s">
        <v>80</v>
      </c>
      <c r="E1490">
        <f>_xlfn.XLOOKUP(D1490,Worksheet!$C$3:$C$32,Worksheet!$M$3:$M$32)</f>
        <v>111.7</v>
      </c>
      <c r="F1490" s="19">
        <f>_xlfn.XLOOKUP(D1490,Worksheet!$C$3:$C$32,Worksheet!$S$3:$S$32)</f>
        <v>0.56097560975609762</v>
      </c>
    </row>
    <row r="1491" spans="1:6" x14ac:dyDescent="0.2">
      <c r="A1491" t="s">
        <v>561</v>
      </c>
      <c r="B1491" s="4">
        <v>44507</v>
      </c>
      <c r="C1491">
        <v>12</v>
      </c>
      <c r="D1491" t="s">
        <v>72</v>
      </c>
      <c r="E1491">
        <f>_xlfn.XLOOKUP(D1491,Worksheet!$C$3:$C$32,Worksheet!$M$3:$M$32)</f>
        <v>113.7</v>
      </c>
      <c r="F1491" s="19">
        <f>_xlfn.XLOOKUP(D1491,Worksheet!$C$3:$C$32,Worksheet!$S$3:$S$32)</f>
        <v>0.52439024390243905</v>
      </c>
    </row>
    <row r="1492" spans="1:6" x14ac:dyDescent="0.2">
      <c r="A1492" t="s">
        <v>561</v>
      </c>
      <c r="B1492" s="4">
        <v>44509</v>
      </c>
      <c r="C1492">
        <v>16.399999999999999</v>
      </c>
      <c r="D1492" t="s">
        <v>96</v>
      </c>
      <c r="E1492">
        <f>_xlfn.XLOOKUP(D1492,Worksheet!$C$3:$C$32,Worksheet!$M$3:$M$32)</f>
        <v>116.9</v>
      </c>
      <c r="F1492" s="19">
        <f>_xlfn.XLOOKUP(D1492,Worksheet!$C$3:$C$32,Worksheet!$S$3:$S$32)</f>
        <v>0.32926829268292684</v>
      </c>
    </row>
    <row r="1493" spans="1:6" x14ac:dyDescent="0.2">
      <c r="A1493" t="s">
        <v>561</v>
      </c>
      <c r="B1493" s="4">
        <v>44511</v>
      </c>
      <c r="C1493">
        <v>13.2</v>
      </c>
      <c r="D1493" t="s">
        <v>120</v>
      </c>
      <c r="E1493">
        <f>_xlfn.XLOOKUP(D1493,Worksheet!$C$3:$C$32,Worksheet!$M$3:$M$32)</f>
        <v>109.1</v>
      </c>
      <c r="F1493" s="19">
        <f>_xlfn.XLOOKUP(D1493,Worksheet!$C$3:$C$32,Worksheet!$S$3:$S$32)</f>
        <v>0.64634146341463417</v>
      </c>
    </row>
    <row r="1494" spans="1:6" x14ac:dyDescent="0.2">
      <c r="A1494" t="s">
        <v>561</v>
      </c>
      <c r="B1494" s="4">
        <v>44513</v>
      </c>
      <c r="C1494">
        <v>15</v>
      </c>
      <c r="D1494" t="s">
        <v>80</v>
      </c>
      <c r="E1494">
        <f>_xlfn.XLOOKUP(D1494,Worksheet!$C$3:$C$32,Worksheet!$M$3:$M$32)</f>
        <v>111.7</v>
      </c>
      <c r="F1494" s="19">
        <f>_xlfn.XLOOKUP(D1494,Worksheet!$C$3:$C$32,Worksheet!$S$3:$S$32)</f>
        <v>0.56097560975609762</v>
      </c>
    </row>
    <row r="1495" spans="1:6" x14ac:dyDescent="0.2">
      <c r="A1495" t="s">
        <v>561</v>
      </c>
      <c r="B1495" s="4">
        <v>44514</v>
      </c>
      <c r="C1495">
        <v>6.4</v>
      </c>
      <c r="D1495" t="s">
        <v>82</v>
      </c>
      <c r="E1495">
        <f>_xlfn.XLOOKUP(D1495,Worksheet!$C$3:$C$32,Worksheet!$M$3:$M$32)</f>
        <v>113.6</v>
      </c>
      <c r="F1495" s="19">
        <f>_xlfn.XLOOKUP(D1495,Worksheet!$C$3:$C$32,Worksheet!$S$3:$S$32)</f>
        <v>0.56097560975609762</v>
      </c>
    </row>
    <row r="1496" spans="1:6" x14ac:dyDescent="0.2">
      <c r="A1496" t="s">
        <v>561</v>
      </c>
      <c r="B1496" s="4">
        <v>44516</v>
      </c>
      <c r="C1496">
        <v>10.6</v>
      </c>
      <c r="D1496" t="s">
        <v>102</v>
      </c>
      <c r="E1496">
        <f>_xlfn.XLOOKUP(D1496,Worksheet!$C$3:$C$32,Worksheet!$M$3:$M$32)</f>
        <v>112.3</v>
      </c>
      <c r="F1496" s="19">
        <f>_xlfn.XLOOKUP(D1496,Worksheet!$C$3:$C$32,Worksheet!$S$3:$S$32)</f>
        <v>0.41463414634146339</v>
      </c>
    </row>
    <row r="1497" spans="1:6" x14ac:dyDescent="0.2">
      <c r="A1497" t="s">
        <v>561</v>
      </c>
      <c r="B1497" s="4">
        <v>44518</v>
      </c>
      <c r="C1497">
        <v>11.3</v>
      </c>
      <c r="D1497" t="s">
        <v>42</v>
      </c>
      <c r="E1497">
        <f>_xlfn.XLOOKUP(D1497,Worksheet!$C$3:$C$32,Worksheet!$M$3:$M$32)</f>
        <v>109</v>
      </c>
      <c r="F1497" s="19">
        <f>_xlfn.XLOOKUP(D1497,Worksheet!$C$3:$C$32,Worksheet!$S$3:$S$32)</f>
        <v>0.68292682926829273</v>
      </c>
    </row>
    <row r="1498" spans="1:6" x14ac:dyDescent="0.2">
      <c r="A1498" t="s">
        <v>561</v>
      </c>
      <c r="B1498" s="4">
        <v>44519</v>
      </c>
      <c r="C1498">
        <v>-5.3</v>
      </c>
      <c r="D1498" t="s">
        <v>74</v>
      </c>
      <c r="E1498">
        <f>_xlfn.XLOOKUP(D1498,Worksheet!$C$3:$C$32,Worksheet!$M$3:$M$32)</f>
        <v>113</v>
      </c>
      <c r="F1498" s="19">
        <f>_xlfn.XLOOKUP(D1498,Worksheet!$C$3:$C$32,Worksheet!$S$3:$S$32)</f>
        <v>0.43902439024390244</v>
      </c>
    </row>
    <row r="1499" spans="1:6" x14ac:dyDescent="0.2">
      <c r="A1499" t="s">
        <v>561</v>
      </c>
      <c r="B1499" s="4">
        <v>44521</v>
      </c>
      <c r="C1499">
        <v>16.600000000000001</v>
      </c>
      <c r="D1499" t="s">
        <v>49</v>
      </c>
      <c r="E1499">
        <f>_xlfn.XLOOKUP(D1499,Worksheet!$C$3:$C$32,Worksheet!$M$3:$M$32)</f>
        <v>109.4</v>
      </c>
      <c r="F1499" s="19">
        <f>_xlfn.XLOOKUP(D1499,Worksheet!$C$3:$C$32,Worksheet!$S$3:$S$32)</f>
        <v>0.63414634146341464</v>
      </c>
    </row>
    <row r="1500" spans="1:6" x14ac:dyDescent="0.2">
      <c r="A1500" t="s">
        <v>561</v>
      </c>
      <c r="B1500" s="4">
        <v>44523</v>
      </c>
      <c r="C1500">
        <v>22.7</v>
      </c>
      <c r="D1500" t="s">
        <v>49</v>
      </c>
      <c r="E1500">
        <f>_xlfn.XLOOKUP(D1500,Worksheet!$C$3:$C$32,Worksheet!$M$3:$M$32)</f>
        <v>109.4</v>
      </c>
      <c r="F1500" s="19">
        <f>_xlfn.XLOOKUP(D1500,Worksheet!$C$3:$C$32,Worksheet!$S$3:$S$32)</f>
        <v>0.63414634146341464</v>
      </c>
    </row>
    <row r="1501" spans="1:6" x14ac:dyDescent="0.2">
      <c r="A1501" t="s">
        <v>561</v>
      </c>
      <c r="B1501" s="4">
        <v>44526</v>
      </c>
      <c r="C1501">
        <v>14.1</v>
      </c>
      <c r="D1501" t="s">
        <v>89</v>
      </c>
      <c r="E1501">
        <f>_xlfn.XLOOKUP(D1501,Worksheet!$C$3:$C$32,Worksheet!$M$3:$M$32)</f>
        <v>113.8</v>
      </c>
      <c r="F1501" s="19">
        <f>_xlfn.XLOOKUP(D1501,Worksheet!$C$3:$C$32,Worksheet!$S$3:$S$32)</f>
        <v>0.28048780487804881</v>
      </c>
    </row>
    <row r="1502" spans="1:6" x14ac:dyDescent="0.2">
      <c r="A1502" t="s">
        <v>561</v>
      </c>
      <c r="B1502" s="4">
        <v>44528</v>
      </c>
      <c r="C1502">
        <v>-4.8</v>
      </c>
      <c r="D1502" t="s">
        <v>33</v>
      </c>
      <c r="E1502">
        <f>_xlfn.XLOOKUP(D1502,Worksheet!$C$3:$C$32,Worksheet!$M$3:$M$32)</f>
        <v>106.9</v>
      </c>
      <c r="F1502" s="19">
        <f>_xlfn.XLOOKUP(D1502,Worksheet!$C$3:$C$32,Worksheet!$S$3:$S$32)</f>
        <v>0.64634146341463417</v>
      </c>
    </row>
    <row r="1503" spans="1:6" x14ac:dyDescent="0.2">
      <c r="A1503" t="s">
        <v>561</v>
      </c>
      <c r="B1503" s="4">
        <v>44529</v>
      </c>
      <c r="C1503">
        <v>12.3</v>
      </c>
      <c r="D1503" t="s">
        <v>74</v>
      </c>
      <c r="E1503">
        <f>_xlfn.XLOOKUP(D1503,Worksheet!$C$3:$C$32,Worksheet!$M$3:$M$32)</f>
        <v>113</v>
      </c>
      <c r="F1503" s="19">
        <f>_xlfn.XLOOKUP(D1503,Worksheet!$C$3:$C$32,Worksheet!$S$3:$S$32)</f>
        <v>0.43902439024390244</v>
      </c>
    </row>
    <row r="1504" spans="1:6" x14ac:dyDescent="0.2">
      <c r="A1504" t="s">
        <v>561</v>
      </c>
      <c r="B1504" s="4">
        <v>44531</v>
      </c>
      <c r="C1504">
        <v>7.9</v>
      </c>
      <c r="D1504" t="s">
        <v>66</v>
      </c>
      <c r="E1504">
        <f>_xlfn.XLOOKUP(D1504,Worksheet!$C$3:$C$32,Worksheet!$M$3:$M$32)</f>
        <v>115.3</v>
      </c>
      <c r="F1504" s="19">
        <f>_xlfn.XLOOKUP(D1504,Worksheet!$C$3:$C$32,Worksheet!$S$3:$S$32)</f>
        <v>0.36585365853658536</v>
      </c>
    </row>
    <row r="1505" spans="1:6" x14ac:dyDescent="0.2">
      <c r="A1505" t="s">
        <v>561</v>
      </c>
      <c r="B1505" s="4">
        <v>44533</v>
      </c>
      <c r="C1505">
        <v>12.7</v>
      </c>
      <c r="D1505" t="s">
        <v>62</v>
      </c>
      <c r="E1505">
        <f>_xlfn.XLOOKUP(D1505,Worksheet!$C$3:$C$32,Worksheet!$M$3:$M$32)</f>
        <v>113.3</v>
      </c>
      <c r="F1505" s="19">
        <f>_xlfn.XLOOKUP(D1505,Worksheet!$C$3:$C$32,Worksheet!$S$3:$S$32)</f>
        <v>0.40243902439024393</v>
      </c>
    </row>
    <row r="1506" spans="1:6" x14ac:dyDescent="0.2">
      <c r="A1506" t="s">
        <v>561</v>
      </c>
      <c r="B1506" s="4">
        <v>44534</v>
      </c>
      <c r="C1506">
        <v>2</v>
      </c>
      <c r="D1506" t="s">
        <v>66</v>
      </c>
      <c r="E1506">
        <f>_xlfn.XLOOKUP(D1506,Worksheet!$C$3:$C$32,Worksheet!$M$3:$M$32)</f>
        <v>115.3</v>
      </c>
      <c r="F1506" s="19">
        <f>_xlfn.XLOOKUP(D1506,Worksheet!$C$3:$C$32,Worksheet!$S$3:$S$32)</f>
        <v>0.36585365853658536</v>
      </c>
    </row>
    <row r="1507" spans="1:6" x14ac:dyDescent="0.2">
      <c r="A1507" t="s">
        <v>561</v>
      </c>
      <c r="B1507" s="4">
        <v>44536</v>
      </c>
      <c r="C1507">
        <v>11.1</v>
      </c>
      <c r="D1507" t="s">
        <v>96</v>
      </c>
      <c r="E1507">
        <f>_xlfn.XLOOKUP(D1507,Worksheet!$C$3:$C$32,Worksheet!$M$3:$M$32)</f>
        <v>116.9</v>
      </c>
      <c r="F1507" s="19">
        <f>_xlfn.XLOOKUP(D1507,Worksheet!$C$3:$C$32,Worksheet!$S$3:$S$32)</f>
        <v>0.32926829268292684</v>
      </c>
    </row>
    <row r="1508" spans="1:6" x14ac:dyDescent="0.2">
      <c r="A1508" t="s">
        <v>561</v>
      </c>
      <c r="B1508" s="4">
        <v>44538</v>
      </c>
      <c r="C1508">
        <v>3</v>
      </c>
      <c r="D1508" t="s">
        <v>55</v>
      </c>
      <c r="E1508">
        <f>_xlfn.XLOOKUP(D1508,Worksheet!$C$3:$C$32,Worksheet!$M$3:$M$32)</f>
        <v>106.9</v>
      </c>
      <c r="F1508" s="19">
        <f>_xlfn.XLOOKUP(D1508,Worksheet!$C$3:$C$32,Worksheet!$S$3:$S$32)</f>
        <v>0.62195121951219512</v>
      </c>
    </row>
    <row r="1509" spans="1:6" x14ac:dyDescent="0.2">
      <c r="A1509" t="s">
        <v>561</v>
      </c>
      <c r="B1509" s="4">
        <v>44541</v>
      </c>
      <c r="C1509">
        <v>15.7</v>
      </c>
      <c r="D1509" t="s">
        <v>104</v>
      </c>
      <c r="E1509">
        <f>_xlfn.XLOOKUP(D1509,Worksheet!$C$3:$C$32,Worksheet!$M$3:$M$32)</f>
        <v>112.5</v>
      </c>
      <c r="F1509" s="19">
        <f>_xlfn.XLOOKUP(D1509,Worksheet!$C$3:$C$32,Worksheet!$S$3:$S$32)</f>
        <v>0.26829268292682928</v>
      </c>
    </row>
    <row r="1510" spans="1:6" x14ac:dyDescent="0.2">
      <c r="A1510" t="s">
        <v>561</v>
      </c>
      <c r="B1510" s="4">
        <v>44543</v>
      </c>
      <c r="C1510">
        <v>12.2</v>
      </c>
      <c r="D1510" t="s">
        <v>99</v>
      </c>
      <c r="E1510">
        <f>_xlfn.XLOOKUP(D1510,Worksheet!$C$3:$C$32,Worksheet!$M$3:$M$32)</f>
        <v>107.3</v>
      </c>
      <c r="F1510" s="19">
        <f>_xlfn.XLOOKUP(D1510,Worksheet!$C$3:$C$32,Worksheet!$S$3:$S$32)</f>
        <v>0.78048780487804881</v>
      </c>
    </row>
    <row r="1511" spans="1:6" x14ac:dyDescent="0.2">
      <c r="A1511" t="s">
        <v>561</v>
      </c>
      <c r="B1511" s="4">
        <v>44545</v>
      </c>
      <c r="C1511">
        <v>11.1</v>
      </c>
      <c r="D1511" t="s">
        <v>118</v>
      </c>
      <c r="E1511">
        <f>_xlfn.XLOOKUP(D1511,Worksheet!$C$3:$C$32,Worksheet!$M$3:$M$32)</f>
        <v>110.5</v>
      </c>
      <c r="F1511" s="19">
        <f>_xlfn.XLOOKUP(D1511,Worksheet!$C$3:$C$32,Worksheet!$S$3:$S$32)</f>
        <v>0.59756097560975607</v>
      </c>
    </row>
    <row r="1512" spans="1:6" x14ac:dyDescent="0.2">
      <c r="A1512" t="s">
        <v>561</v>
      </c>
      <c r="B1512" s="4">
        <v>44548</v>
      </c>
      <c r="C1512">
        <v>13</v>
      </c>
      <c r="D1512" t="s">
        <v>68</v>
      </c>
      <c r="E1512">
        <f>_xlfn.XLOOKUP(D1512,Worksheet!$C$3:$C$32,Worksheet!$M$3:$M$32)</f>
        <v>112.8</v>
      </c>
      <c r="F1512" s="19">
        <f>_xlfn.XLOOKUP(D1512,Worksheet!$C$3:$C$32,Worksheet!$S$3:$S$32)</f>
        <v>0.29268292682926828</v>
      </c>
    </row>
    <row r="1513" spans="1:6" x14ac:dyDescent="0.2">
      <c r="A1513" t="s">
        <v>561</v>
      </c>
      <c r="B1513" s="4">
        <v>44550</v>
      </c>
      <c r="C1513">
        <v>3.4</v>
      </c>
      <c r="D1513" t="s">
        <v>102</v>
      </c>
      <c r="E1513">
        <f>_xlfn.XLOOKUP(D1513,Worksheet!$C$3:$C$32,Worksheet!$M$3:$M$32)</f>
        <v>112.3</v>
      </c>
      <c r="F1513" s="19">
        <f>_xlfn.XLOOKUP(D1513,Worksheet!$C$3:$C$32,Worksheet!$S$3:$S$32)</f>
        <v>0.41463414634146339</v>
      </c>
    </row>
    <row r="1514" spans="1:6" x14ac:dyDescent="0.2">
      <c r="A1514" t="s">
        <v>561</v>
      </c>
      <c r="B1514" s="4">
        <v>44552</v>
      </c>
      <c r="C1514" t="s">
        <v>91</v>
      </c>
      <c r="D1514" t="s">
        <v>66</v>
      </c>
      <c r="E1514">
        <f>_xlfn.XLOOKUP(D1514,Worksheet!$C$3:$C$32,Worksheet!$M$3:$M$32)</f>
        <v>115.3</v>
      </c>
      <c r="F1514" s="19">
        <f>_xlfn.XLOOKUP(D1514,Worksheet!$C$3:$C$32,Worksheet!$S$3:$S$32)</f>
        <v>0.36585365853658536</v>
      </c>
    </row>
    <row r="1515" spans="1:6" x14ac:dyDescent="0.2">
      <c r="A1515" t="s">
        <v>561</v>
      </c>
      <c r="B1515" s="4">
        <v>44556</v>
      </c>
      <c r="C1515" t="s">
        <v>91</v>
      </c>
      <c r="D1515" t="s">
        <v>34</v>
      </c>
      <c r="E1515">
        <f>_xlfn.XLOOKUP(D1515,Worksheet!$C$3:$C$32,Worksheet!$M$3:$M$32)</f>
        <v>112.1</v>
      </c>
      <c r="F1515" s="19">
        <f>_xlfn.XLOOKUP(D1515,Worksheet!$C$3:$C$32,Worksheet!$S$3:$S$32)</f>
        <v>0.58536585365853655</v>
      </c>
    </row>
    <row r="1516" spans="1:6" x14ac:dyDescent="0.2">
      <c r="A1516" t="s">
        <v>561</v>
      </c>
      <c r="B1516" s="4">
        <v>44557</v>
      </c>
      <c r="C1516" t="s">
        <v>91</v>
      </c>
      <c r="D1516" t="s">
        <v>85</v>
      </c>
      <c r="E1516">
        <f>_xlfn.XLOOKUP(D1516,Worksheet!$C$3:$C$32,Worksheet!$M$3:$M$32)</f>
        <v>112.8</v>
      </c>
      <c r="F1516" s="19">
        <f>_xlfn.XLOOKUP(D1516,Worksheet!$C$3:$C$32,Worksheet!$S$3:$S$32)</f>
        <v>0.53658536585365857</v>
      </c>
    </row>
    <row r="1517" spans="1:6" x14ac:dyDescent="0.2">
      <c r="A1517" t="s">
        <v>561</v>
      </c>
      <c r="B1517" s="4">
        <v>44559</v>
      </c>
      <c r="C1517" t="s">
        <v>91</v>
      </c>
      <c r="D1517" t="s">
        <v>55</v>
      </c>
      <c r="E1517">
        <f>_xlfn.XLOOKUP(D1517,Worksheet!$C$3:$C$32,Worksheet!$M$3:$M$32)</f>
        <v>106.9</v>
      </c>
      <c r="F1517" s="19">
        <f>_xlfn.XLOOKUP(D1517,Worksheet!$C$3:$C$32,Worksheet!$S$3:$S$32)</f>
        <v>0.62195121951219512</v>
      </c>
    </row>
    <row r="1518" spans="1:6" x14ac:dyDescent="0.2">
      <c r="A1518" t="s">
        <v>561</v>
      </c>
      <c r="B1518" s="4">
        <v>44561</v>
      </c>
      <c r="C1518">
        <v>10.5</v>
      </c>
      <c r="D1518" t="s">
        <v>92</v>
      </c>
      <c r="E1518">
        <f>_xlfn.XLOOKUP(D1518,Worksheet!$C$3:$C$32,Worksheet!$M$3:$M$32)</f>
        <v>110.5</v>
      </c>
      <c r="F1518" s="19">
        <f>_xlfn.XLOOKUP(D1518,Worksheet!$C$3:$C$32,Worksheet!$S$3:$S$32)</f>
        <v>0.58536585365853655</v>
      </c>
    </row>
    <row r="1519" spans="1:6" x14ac:dyDescent="0.2">
      <c r="A1519" t="s">
        <v>561</v>
      </c>
      <c r="B1519" s="4">
        <v>44562</v>
      </c>
      <c r="C1519">
        <v>14.9</v>
      </c>
      <c r="D1519" t="s">
        <v>85</v>
      </c>
      <c r="E1519">
        <f>_xlfn.XLOOKUP(D1519,Worksheet!$C$3:$C$32,Worksheet!$M$3:$M$32)</f>
        <v>112.8</v>
      </c>
      <c r="F1519" s="19">
        <f>_xlfn.XLOOKUP(D1519,Worksheet!$C$3:$C$32,Worksheet!$S$3:$S$32)</f>
        <v>0.53658536585365857</v>
      </c>
    </row>
    <row r="1520" spans="1:6" x14ac:dyDescent="0.2">
      <c r="A1520" t="s">
        <v>561</v>
      </c>
      <c r="B1520" s="4">
        <v>44564</v>
      </c>
      <c r="C1520">
        <v>-1.6</v>
      </c>
      <c r="D1520" t="s">
        <v>80</v>
      </c>
      <c r="E1520">
        <f>_xlfn.XLOOKUP(D1520,Worksheet!$C$3:$C$32,Worksheet!$M$3:$M$32)</f>
        <v>111.7</v>
      </c>
      <c r="F1520" s="19">
        <f>_xlfn.XLOOKUP(D1520,Worksheet!$C$3:$C$32,Worksheet!$S$3:$S$32)</f>
        <v>0.56097560975609762</v>
      </c>
    </row>
    <row r="1521" spans="1:6" x14ac:dyDescent="0.2">
      <c r="A1521" t="s">
        <v>561</v>
      </c>
      <c r="B1521" s="4">
        <v>44567</v>
      </c>
      <c r="C1521">
        <v>4.7</v>
      </c>
      <c r="D1521" t="s">
        <v>99</v>
      </c>
      <c r="E1521">
        <f>_xlfn.XLOOKUP(D1521,Worksheet!$C$3:$C$32,Worksheet!$M$3:$M$32)</f>
        <v>107.3</v>
      </c>
      <c r="F1521" s="19">
        <f>_xlfn.XLOOKUP(D1521,Worksheet!$C$3:$C$32,Worksheet!$S$3:$S$32)</f>
        <v>0.78048780487804881</v>
      </c>
    </row>
    <row r="1522" spans="1:6" x14ac:dyDescent="0.2">
      <c r="A1522" t="s">
        <v>561</v>
      </c>
      <c r="B1522" s="4">
        <v>44569</v>
      </c>
      <c r="C1522">
        <v>7.2</v>
      </c>
      <c r="D1522" t="s">
        <v>42</v>
      </c>
      <c r="E1522">
        <f>_xlfn.XLOOKUP(D1522,Worksheet!$C$3:$C$32,Worksheet!$M$3:$M$32)</f>
        <v>109</v>
      </c>
      <c r="F1522" s="19">
        <f>_xlfn.XLOOKUP(D1522,Worksheet!$C$3:$C$32,Worksheet!$S$3:$S$32)</f>
        <v>0.68292682926829273</v>
      </c>
    </row>
    <row r="1523" spans="1:6" x14ac:dyDescent="0.2">
      <c r="A1523" t="s">
        <v>561</v>
      </c>
      <c r="B1523" s="4">
        <v>44570</v>
      </c>
      <c r="C1523">
        <v>4.8</v>
      </c>
      <c r="D1523" t="s">
        <v>78</v>
      </c>
      <c r="E1523">
        <f>_xlfn.XLOOKUP(D1523,Worksheet!$C$3:$C$32,Worksheet!$M$3:$M$32)</f>
        <v>114.9</v>
      </c>
      <c r="F1523" s="19">
        <f>_xlfn.XLOOKUP(D1523,Worksheet!$C$3:$C$32,Worksheet!$S$3:$S$32)</f>
        <v>0.52439024390243905</v>
      </c>
    </row>
    <row r="1524" spans="1:6" x14ac:dyDescent="0.2">
      <c r="A1524" t="s">
        <v>561</v>
      </c>
      <c r="B1524" s="4">
        <v>44572</v>
      </c>
      <c r="C1524">
        <v>6.6</v>
      </c>
      <c r="D1524" t="s">
        <v>34</v>
      </c>
      <c r="E1524">
        <f>_xlfn.XLOOKUP(D1524,Worksheet!$C$3:$C$32,Worksheet!$M$3:$M$32)</f>
        <v>112.1</v>
      </c>
      <c r="F1524" s="19">
        <f>_xlfn.XLOOKUP(D1524,Worksheet!$C$3:$C$32,Worksheet!$S$3:$S$32)</f>
        <v>0.58536585365853655</v>
      </c>
    </row>
    <row r="1525" spans="1:6" x14ac:dyDescent="0.2">
      <c r="A1525" t="s">
        <v>561</v>
      </c>
      <c r="B1525" s="4">
        <v>44574</v>
      </c>
      <c r="C1525">
        <v>1</v>
      </c>
      <c r="D1525" t="s">
        <v>74</v>
      </c>
      <c r="E1525">
        <f>_xlfn.XLOOKUP(D1525,Worksheet!$C$3:$C$32,Worksheet!$M$3:$M$32)</f>
        <v>113</v>
      </c>
      <c r="F1525" s="19">
        <f>_xlfn.XLOOKUP(D1525,Worksheet!$C$3:$C$32,Worksheet!$S$3:$S$32)</f>
        <v>0.43902439024390244</v>
      </c>
    </row>
    <row r="1526" spans="1:6" x14ac:dyDescent="0.2">
      <c r="A1526" t="s">
        <v>561</v>
      </c>
      <c r="B1526" s="4">
        <v>44576</v>
      </c>
      <c r="C1526">
        <v>1.4</v>
      </c>
      <c r="D1526" t="s">
        <v>102</v>
      </c>
      <c r="E1526">
        <f>_xlfn.XLOOKUP(D1526,Worksheet!$C$3:$C$32,Worksheet!$M$3:$M$32)</f>
        <v>112.3</v>
      </c>
      <c r="F1526" s="19">
        <f>_xlfn.XLOOKUP(D1526,Worksheet!$C$3:$C$32,Worksheet!$S$3:$S$32)</f>
        <v>0.41463414634146339</v>
      </c>
    </row>
    <row r="1527" spans="1:6" x14ac:dyDescent="0.2">
      <c r="A1527" t="s">
        <v>561</v>
      </c>
      <c r="B1527" s="4">
        <v>44578</v>
      </c>
      <c r="C1527">
        <v>20.6</v>
      </c>
      <c r="D1527" t="s">
        <v>108</v>
      </c>
      <c r="E1527">
        <f>_xlfn.XLOOKUP(D1527,Worksheet!$C$3:$C$32,Worksheet!$M$3:$M$32)</f>
        <v>116.1</v>
      </c>
      <c r="F1527" s="19">
        <f>_xlfn.XLOOKUP(D1527,Worksheet!$C$3:$C$32,Worksheet!$S$3:$S$32)</f>
        <v>0.3048780487804878</v>
      </c>
    </row>
    <row r="1528" spans="1:6" x14ac:dyDescent="0.2">
      <c r="A1528" t="s">
        <v>561</v>
      </c>
      <c r="B1528" s="4">
        <v>44580</v>
      </c>
      <c r="C1528">
        <v>23.5</v>
      </c>
      <c r="D1528" t="s">
        <v>34</v>
      </c>
      <c r="E1528">
        <f>_xlfn.XLOOKUP(D1528,Worksheet!$C$3:$C$32,Worksheet!$M$3:$M$32)</f>
        <v>112.1</v>
      </c>
      <c r="F1528" s="19">
        <f>_xlfn.XLOOKUP(D1528,Worksheet!$C$3:$C$32,Worksheet!$S$3:$S$32)</f>
        <v>0.58536585365853655</v>
      </c>
    </row>
    <row r="1529" spans="1:6" x14ac:dyDescent="0.2">
      <c r="A1529" t="s">
        <v>561</v>
      </c>
      <c r="B1529" s="4">
        <v>44582</v>
      </c>
      <c r="C1529">
        <v>15.6</v>
      </c>
      <c r="D1529" t="s">
        <v>94</v>
      </c>
      <c r="E1529">
        <f>_xlfn.XLOOKUP(D1529,Worksheet!$C$3:$C$32,Worksheet!$M$3:$M$32)</f>
        <v>110.8</v>
      </c>
      <c r="F1529" s="19">
        <f>_xlfn.XLOOKUP(D1529,Worksheet!$C$3:$C$32,Worksheet!$S$3:$S$32)</f>
        <v>0.62195121951219512</v>
      </c>
    </row>
    <row r="1530" spans="1:6" x14ac:dyDescent="0.2">
      <c r="A1530" t="s">
        <v>561</v>
      </c>
      <c r="B1530" s="4">
        <v>44584</v>
      </c>
      <c r="C1530">
        <v>19.3</v>
      </c>
      <c r="D1530" t="s">
        <v>110</v>
      </c>
      <c r="E1530">
        <f>_xlfn.XLOOKUP(D1530,Worksheet!$C$3:$C$32,Worksheet!$M$3:$M$32)</f>
        <v>110.5</v>
      </c>
      <c r="F1530" s="19">
        <f>_xlfn.XLOOKUP(D1530,Worksheet!$C$3:$C$32,Worksheet!$S$3:$S$32)</f>
        <v>0.45121951219512196</v>
      </c>
    </row>
    <row r="1531" spans="1:6" x14ac:dyDescent="0.2">
      <c r="A1531" t="s">
        <v>561</v>
      </c>
      <c r="B1531" s="4">
        <v>44586</v>
      </c>
      <c r="C1531">
        <v>-1</v>
      </c>
      <c r="D1531" t="s">
        <v>155</v>
      </c>
      <c r="E1531">
        <f>_xlfn.XLOOKUP(D1531,Worksheet!$C$3:$C$32,Worksheet!$M$3:$M$32)</f>
        <v>114.5</v>
      </c>
      <c r="F1531" s="19">
        <f>_xlfn.XLOOKUP(D1531,Worksheet!$C$3:$C$32,Worksheet!$S$3:$S$32)</f>
        <v>0.42682926829268292</v>
      </c>
    </row>
    <row r="1532" spans="1:6" x14ac:dyDescent="0.2">
      <c r="A1532" t="s">
        <v>561</v>
      </c>
      <c r="B1532" s="4">
        <v>44587</v>
      </c>
      <c r="C1532">
        <v>-1.1000000000000001</v>
      </c>
      <c r="D1532" t="s">
        <v>104</v>
      </c>
      <c r="E1532">
        <f>_xlfn.XLOOKUP(D1532,Worksheet!$C$3:$C$32,Worksheet!$M$3:$M$32)</f>
        <v>112.5</v>
      </c>
      <c r="F1532" s="19">
        <f>_xlfn.XLOOKUP(D1532,Worksheet!$C$3:$C$32,Worksheet!$S$3:$S$32)</f>
        <v>0.26829268292682928</v>
      </c>
    </row>
    <row r="1533" spans="1:6" x14ac:dyDescent="0.2">
      <c r="A1533" t="s">
        <v>561</v>
      </c>
      <c r="B1533" s="4">
        <v>44589</v>
      </c>
      <c r="C1533">
        <v>7.5</v>
      </c>
      <c r="D1533" t="s">
        <v>120</v>
      </c>
      <c r="E1533">
        <f>_xlfn.XLOOKUP(D1533,Worksheet!$C$3:$C$32,Worksheet!$M$3:$M$32)</f>
        <v>109.1</v>
      </c>
      <c r="F1533" s="19">
        <f>_xlfn.XLOOKUP(D1533,Worksheet!$C$3:$C$32,Worksheet!$S$3:$S$32)</f>
        <v>0.64634146341463417</v>
      </c>
    </row>
    <row r="1534" spans="1:6" x14ac:dyDescent="0.2">
      <c r="A1534" t="s">
        <v>561</v>
      </c>
      <c r="B1534" s="4">
        <v>44591</v>
      </c>
      <c r="C1534">
        <v>16.600000000000001</v>
      </c>
      <c r="D1534" t="s">
        <v>72</v>
      </c>
      <c r="E1534">
        <f>_xlfn.XLOOKUP(D1534,Worksheet!$C$3:$C$32,Worksheet!$M$3:$M$32)</f>
        <v>113.7</v>
      </c>
      <c r="F1534" s="19">
        <f>_xlfn.XLOOKUP(D1534,Worksheet!$C$3:$C$32,Worksheet!$S$3:$S$32)</f>
        <v>0.52439024390243905</v>
      </c>
    </row>
    <row r="1535" spans="1:6" x14ac:dyDescent="0.2">
      <c r="A1535" t="s">
        <v>561</v>
      </c>
      <c r="B1535" s="4">
        <v>44592</v>
      </c>
      <c r="C1535">
        <v>14.4</v>
      </c>
      <c r="D1535" t="s">
        <v>108</v>
      </c>
      <c r="E1535">
        <f>_xlfn.XLOOKUP(D1535,Worksheet!$C$3:$C$32,Worksheet!$M$3:$M$32)</f>
        <v>116.1</v>
      </c>
      <c r="F1535" s="19">
        <f>_xlfn.XLOOKUP(D1535,Worksheet!$C$3:$C$32,Worksheet!$S$3:$S$32)</f>
        <v>0.3048780487804878</v>
      </c>
    </row>
    <row r="1536" spans="1:6" x14ac:dyDescent="0.2">
      <c r="A1536" t="s">
        <v>561</v>
      </c>
      <c r="B1536" s="4">
        <v>44595</v>
      </c>
      <c r="C1536">
        <v>20.7</v>
      </c>
      <c r="D1536" t="s">
        <v>62</v>
      </c>
      <c r="E1536">
        <f>_xlfn.XLOOKUP(D1536,Worksheet!$C$3:$C$32,Worksheet!$M$3:$M$32)</f>
        <v>113.3</v>
      </c>
      <c r="F1536" s="19">
        <f>_xlfn.XLOOKUP(D1536,Worksheet!$C$3:$C$32,Worksheet!$S$3:$S$32)</f>
        <v>0.40243902439024393</v>
      </c>
    </row>
    <row r="1537" spans="1:6" x14ac:dyDescent="0.2">
      <c r="A1537" t="s">
        <v>561</v>
      </c>
      <c r="B1537" s="4">
        <v>44598</v>
      </c>
      <c r="C1537">
        <v>5.5</v>
      </c>
      <c r="D1537" t="s">
        <v>126</v>
      </c>
      <c r="E1537">
        <f>_xlfn.XLOOKUP(D1537,Worksheet!$C$3:$C$32,Worksheet!$M$3:$M$32)</f>
        <v>111.8</v>
      </c>
      <c r="F1537" s="19">
        <f>_xlfn.XLOOKUP(D1537,Worksheet!$C$3:$C$32,Worksheet!$S$3:$S$32)</f>
        <v>0.62195121951219512</v>
      </c>
    </row>
    <row r="1538" spans="1:6" x14ac:dyDescent="0.2">
      <c r="A1538" t="s">
        <v>561</v>
      </c>
      <c r="B1538" s="4">
        <v>44600</v>
      </c>
      <c r="C1538">
        <v>2.2999999999999998</v>
      </c>
      <c r="D1538" t="s">
        <v>42</v>
      </c>
      <c r="E1538">
        <f>_xlfn.XLOOKUP(D1538,Worksheet!$C$3:$C$32,Worksheet!$M$3:$M$32)</f>
        <v>109</v>
      </c>
      <c r="F1538" s="19">
        <f>_xlfn.XLOOKUP(D1538,Worksheet!$C$3:$C$32,Worksheet!$S$3:$S$32)</f>
        <v>0.68292682926829273</v>
      </c>
    </row>
    <row r="1539" spans="1:6" x14ac:dyDescent="0.2">
      <c r="A1539" t="s">
        <v>561</v>
      </c>
      <c r="B1539" s="4">
        <v>44602</v>
      </c>
      <c r="C1539">
        <v>14.1</v>
      </c>
      <c r="D1539" t="s">
        <v>49</v>
      </c>
      <c r="E1539">
        <f>_xlfn.XLOOKUP(D1539,Worksheet!$C$3:$C$32,Worksheet!$M$3:$M$32)</f>
        <v>109.4</v>
      </c>
      <c r="F1539" s="19">
        <f>_xlfn.XLOOKUP(D1539,Worksheet!$C$3:$C$32,Worksheet!$S$3:$S$32)</f>
        <v>0.63414634146341464</v>
      </c>
    </row>
    <row r="1540" spans="1:6" x14ac:dyDescent="0.2">
      <c r="A1540" t="s">
        <v>561</v>
      </c>
      <c r="B1540" s="4">
        <v>44604</v>
      </c>
      <c r="C1540">
        <v>20.9</v>
      </c>
      <c r="D1540" t="s">
        <v>49</v>
      </c>
      <c r="E1540">
        <f>_xlfn.XLOOKUP(D1540,Worksheet!$C$3:$C$32,Worksheet!$M$3:$M$32)</f>
        <v>109.4</v>
      </c>
      <c r="F1540" s="19">
        <f>_xlfn.XLOOKUP(D1540,Worksheet!$C$3:$C$32,Worksheet!$S$3:$S$32)</f>
        <v>0.63414634146341464</v>
      </c>
    </row>
    <row r="1541" spans="1:6" x14ac:dyDescent="0.2">
      <c r="A1541" t="s">
        <v>561</v>
      </c>
      <c r="B1541" s="4">
        <v>44606</v>
      </c>
      <c r="C1541">
        <v>15.2</v>
      </c>
      <c r="D1541" t="s">
        <v>33</v>
      </c>
      <c r="E1541">
        <f>_xlfn.XLOOKUP(D1541,Worksheet!$C$3:$C$32,Worksheet!$M$3:$M$32)</f>
        <v>106.9</v>
      </c>
      <c r="F1541" s="19">
        <f>_xlfn.XLOOKUP(D1541,Worksheet!$C$3:$C$32,Worksheet!$S$3:$S$32)</f>
        <v>0.64634146341463417</v>
      </c>
    </row>
    <row r="1542" spans="1:6" x14ac:dyDescent="0.2">
      <c r="A1542" t="s">
        <v>561</v>
      </c>
      <c r="B1542" s="4">
        <v>44607</v>
      </c>
      <c r="C1542">
        <v>1.6</v>
      </c>
      <c r="D1542" t="s">
        <v>99</v>
      </c>
      <c r="E1542">
        <f>_xlfn.XLOOKUP(D1542,Worksheet!$C$3:$C$32,Worksheet!$M$3:$M$32)</f>
        <v>107.3</v>
      </c>
      <c r="F1542" s="19">
        <f>_xlfn.XLOOKUP(D1542,Worksheet!$C$3:$C$32,Worksheet!$S$3:$S$32)</f>
        <v>0.78048780487804881</v>
      </c>
    </row>
    <row r="1543" spans="1:6" x14ac:dyDescent="0.2">
      <c r="A1543" t="s">
        <v>561</v>
      </c>
      <c r="B1543" s="4">
        <v>44609</v>
      </c>
      <c r="C1543">
        <v>14.6</v>
      </c>
      <c r="D1543" t="s">
        <v>76</v>
      </c>
      <c r="E1543">
        <f>_xlfn.XLOOKUP(D1543,Worksheet!$C$3:$C$32,Worksheet!$M$3:$M$32)</f>
        <v>116.7</v>
      </c>
      <c r="F1543" s="19">
        <f>_xlfn.XLOOKUP(D1543,Worksheet!$C$3:$C$32,Worksheet!$S$3:$S$32)</f>
        <v>0.24390243902439024</v>
      </c>
    </row>
    <row r="1544" spans="1:6" x14ac:dyDescent="0.2">
      <c r="A1544" t="s">
        <v>561</v>
      </c>
      <c r="B1544" s="4">
        <v>44617</v>
      </c>
      <c r="C1544">
        <v>11.8</v>
      </c>
      <c r="D1544" t="s">
        <v>62</v>
      </c>
      <c r="E1544">
        <f>_xlfn.XLOOKUP(D1544,Worksheet!$C$3:$C$32,Worksheet!$M$3:$M$32)</f>
        <v>113.3</v>
      </c>
      <c r="F1544" s="19">
        <f>_xlfn.XLOOKUP(D1544,Worksheet!$C$3:$C$32,Worksheet!$S$3:$S$32)</f>
        <v>0.40243902439024393</v>
      </c>
    </row>
    <row r="1545" spans="1:6" x14ac:dyDescent="0.2">
      <c r="A1545" t="s">
        <v>561</v>
      </c>
      <c r="B1545" s="4">
        <v>44619</v>
      </c>
      <c r="C1545">
        <v>14</v>
      </c>
      <c r="D1545" t="s">
        <v>76</v>
      </c>
      <c r="E1545">
        <f>_xlfn.XLOOKUP(D1545,Worksheet!$C$3:$C$32,Worksheet!$M$3:$M$32)</f>
        <v>116.7</v>
      </c>
      <c r="F1545" s="19">
        <f>_xlfn.XLOOKUP(D1545,Worksheet!$C$3:$C$32,Worksheet!$S$3:$S$32)</f>
        <v>0.24390243902439024</v>
      </c>
    </row>
    <row r="1546" spans="1:6" x14ac:dyDescent="0.2">
      <c r="A1546" t="s">
        <v>561</v>
      </c>
      <c r="B1546" s="4">
        <v>44621</v>
      </c>
      <c r="C1546">
        <v>12.9</v>
      </c>
      <c r="D1546" t="s">
        <v>76</v>
      </c>
      <c r="E1546">
        <f>_xlfn.XLOOKUP(D1546,Worksheet!$C$3:$C$32,Worksheet!$M$3:$M$32)</f>
        <v>116.7</v>
      </c>
      <c r="F1546" s="19">
        <f>_xlfn.XLOOKUP(D1546,Worksheet!$C$3:$C$32,Worksheet!$S$3:$S$32)</f>
        <v>0.24390243902439024</v>
      </c>
    </row>
    <row r="1547" spans="1:6" x14ac:dyDescent="0.2">
      <c r="A1547" t="s">
        <v>561</v>
      </c>
      <c r="B1547" s="4">
        <v>44623</v>
      </c>
      <c r="C1547">
        <v>27.1</v>
      </c>
      <c r="D1547" t="s">
        <v>62</v>
      </c>
      <c r="E1547">
        <f>_xlfn.XLOOKUP(D1547,Worksheet!$C$3:$C$32,Worksheet!$M$3:$M$32)</f>
        <v>113.3</v>
      </c>
      <c r="F1547" s="19">
        <f>_xlfn.XLOOKUP(D1547,Worksheet!$C$3:$C$32,Worksheet!$S$3:$S$32)</f>
        <v>0.40243902439024393</v>
      </c>
    </row>
    <row r="1548" spans="1:6" x14ac:dyDescent="0.2">
      <c r="A1548" t="s">
        <v>561</v>
      </c>
      <c r="B1548" s="4">
        <v>44626</v>
      </c>
      <c r="C1548">
        <v>2.5</v>
      </c>
      <c r="D1548" t="s">
        <v>110</v>
      </c>
      <c r="E1548">
        <f>_xlfn.XLOOKUP(D1548,Worksheet!$C$3:$C$32,Worksheet!$M$3:$M$32)</f>
        <v>110.5</v>
      </c>
      <c r="F1548" s="19">
        <f>_xlfn.XLOOKUP(D1548,Worksheet!$C$3:$C$32,Worksheet!$S$3:$S$32)</f>
        <v>0.45121951219512196</v>
      </c>
    </row>
    <row r="1549" spans="1:6" x14ac:dyDescent="0.2">
      <c r="A1549" t="s">
        <v>561</v>
      </c>
      <c r="B1549" s="4">
        <v>44628</v>
      </c>
      <c r="C1549">
        <v>0.9</v>
      </c>
      <c r="D1549" t="s">
        <v>33</v>
      </c>
      <c r="E1549">
        <f>_xlfn.XLOOKUP(D1549,Worksheet!$C$3:$C$32,Worksheet!$M$3:$M$32)</f>
        <v>106.9</v>
      </c>
      <c r="F1549" s="19">
        <f>_xlfn.XLOOKUP(D1549,Worksheet!$C$3:$C$32,Worksheet!$S$3:$S$32)</f>
        <v>0.64634146341463417</v>
      </c>
    </row>
    <row r="1550" spans="1:6" x14ac:dyDescent="0.2">
      <c r="A1550" t="s">
        <v>561</v>
      </c>
      <c r="B1550" s="4">
        <v>44629</v>
      </c>
      <c r="C1550">
        <v>23</v>
      </c>
      <c r="D1550" t="s">
        <v>155</v>
      </c>
      <c r="E1550">
        <f>_xlfn.XLOOKUP(D1550,Worksheet!$C$3:$C$32,Worksheet!$M$3:$M$32)</f>
        <v>114.5</v>
      </c>
      <c r="F1550" s="19">
        <f>_xlfn.XLOOKUP(D1550,Worksheet!$C$3:$C$32,Worksheet!$S$3:$S$32)</f>
        <v>0.42682926829268292</v>
      </c>
    </row>
    <row r="1551" spans="1:6" x14ac:dyDescent="0.2">
      <c r="A1551" t="s">
        <v>561</v>
      </c>
      <c r="B1551" s="4">
        <v>44631</v>
      </c>
      <c r="C1551">
        <v>14.2</v>
      </c>
      <c r="D1551" t="s">
        <v>78</v>
      </c>
      <c r="E1551">
        <f>_xlfn.XLOOKUP(D1551,Worksheet!$C$3:$C$32,Worksheet!$M$3:$M$32)</f>
        <v>114.9</v>
      </c>
      <c r="F1551" s="19">
        <f>_xlfn.XLOOKUP(D1551,Worksheet!$C$3:$C$32,Worksheet!$S$3:$S$32)</f>
        <v>0.52439024390243905</v>
      </c>
    </row>
    <row r="1552" spans="1:6" x14ac:dyDescent="0.2">
      <c r="A1552" t="s">
        <v>561</v>
      </c>
      <c r="B1552" s="4">
        <v>44633</v>
      </c>
      <c r="C1552">
        <v>15.4</v>
      </c>
      <c r="D1552" t="s">
        <v>89</v>
      </c>
      <c r="E1552">
        <f>_xlfn.XLOOKUP(D1552,Worksheet!$C$3:$C$32,Worksheet!$M$3:$M$32)</f>
        <v>113.8</v>
      </c>
      <c r="F1552" s="19">
        <f>_xlfn.XLOOKUP(D1552,Worksheet!$C$3:$C$32,Worksheet!$S$3:$S$32)</f>
        <v>0.28048780487804881</v>
      </c>
    </row>
    <row r="1553" spans="1:6" x14ac:dyDescent="0.2">
      <c r="A1553" t="s">
        <v>561</v>
      </c>
      <c r="B1553" s="4">
        <v>44634</v>
      </c>
      <c r="C1553" t="s">
        <v>210</v>
      </c>
      <c r="D1553" t="s">
        <v>87</v>
      </c>
      <c r="E1553">
        <f>_xlfn.XLOOKUP(D1553,Worksheet!$C$3:$C$32,Worksheet!$M$3:$M$32)</f>
        <v>109.7</v>
      </c>
      <c r="F1553" s="19">
        <f>_xlfn.XLOOKUP(D1553,Worksheet!$C$3:$C$32,Worksheet!$S$3:$S$32)</f>
        <v>0.53658536585365857</v>
      </c>
    </row>
    <row r="1554" spans="1:6" x14ac:dyDescent="0.2">
      <c r="A1554" t="s">
        <v>561</v>
      </c>
      <c r="B1554" s="4">
        <v>44636</v>
      </c>
      <c r="C1554">
        <v>15.2</v>
      </c>
      <c r="D1554" t="s">
        <v>92</v>
      </c>
      <c r="E1554">
        <f>_xlfn.XLOOKUP(D1554,Worksheet!$C$3:$C$32,Worksheet!$M$3:$M$32)</f>
        <v>110.5</v>
      </c>
      <c r="F1554" s="19">
        <f>_xlfn.XLOOKUP(D1554,Worksheet!$C$3:$C$32,Worksheet!$S$3:$S$32)</f>
        <v>0.58536585365853655</v>
      </c>
    </row>
    <row r="1555" spans="1:6" x14ac:dyDescent="0.2">
      <c r="A1555" t="s">
        <v>561</v>
      </c>
      <c r="B1555" s="4">
        <v>44638</v>
      </c>
      <c r="C1555">
        <v>2.8</v>
      </c>
      <c r="D1555" t="s">
        <v>118</v>
      </c>
      <c r="E1555">
        <f>_xlfn.XLOOKUP(D1555,Worksheet!$C$3:$C$32,Worksheet!$M$3:$M$32)</f>
        <v>110.5</v>
      </c>
      <c r="F1555" s="19">
        <f>_xlfn.XLOOKUP(D1555,Worksheet!$C$3:$C$32,Worksheet!$S$3:$S$32)</f>
        <v>0.59756097560975607</v>
      </c>
    </row>
    <row r="1556" spans="1:6" x14ac:dyDescent="0.2">
      <c r="A1556" t="s">
        <v>561</v>
      </c>
      <c r="B1556" s="4">
        <v>44642</v>
      </c>
      <c r="C1556">
        <v>8.6999999999999993</v>
      </c>
      <c r="D1556" t="s">
        <v>34</v>
      </c>
      <c r="E1556">
        <f>_xlfn.XLOOKUP(D1556,Worksheet!$C$3:$C$32,Worksheet!$M$3:$M$32)</f>
        <v>112.1</v>
      </c>
      <c r="F1556" s="19">
        <f>_xlfn.XLOOKUP(D1556,Worksheet!$C$3:$C$32,Worksheet!$S$3:$S$32)</f>
        <v>0.58536585365853655</v>
      </c>
    </row>
    <row r="1557" spans="1:6" x14ac:dyDescent="0.2">
      <c r="A1557" t="s">
        <v>561</v>
      </c>
      <c r="B1557" s="4">
        <v>44645</v>
      </c>
      <c r="C1557">
        <v>0.6</v>
      </c>
      <c r="D1557" t="s">
        <v>94</v>
      </c>
      <c r="E1557">
        <f>_xlfn.XLOOKUP(D1557,Worksheet!$C$3:$C$32,Worksheet!$M$3:$M$32)</f>
        <v>110.8</v>
      </c>
      <c r="F1557" s="19">
        <f>_xlfn.XLOOKUP(D1557,Worksheet!$C$3:$C$32,Worksheet!$S$3:$S$32)</f>
        <v>0.62195121951219512</v>
      </c>
    </row>
    <row r="1558" spans="1:6" x14ac:dyDescent="0.2">
      <c r="A1558" t="s">
        <v>561</v>
      </c>
      <c r="B1558" s="4">
        <v>44649</v>
      </c>
      <c r="C1558">
        <v>9.9</v>
      </c>
      <c r="D1558" t="s">
        <v>118</v>
      </c>
      <c r="E1558">
        <f>_xlfn.XLOOKUP(D1558,Worksheet!$C$3:$C$32,Worksheet!$M$3:$M$32)</f>
        <v>110.5</v>
      </c>
      <c r="F1558" s="19">
        <f>_xlfn.XLOOKUP(D1558,Worksheet!$C$3:$C$32,Worksheet!$S$3:$S$32)</f>
        <v>0.59756097560975607</v>
      </c>
    </row>
    <row r="1559" spans="1:6" x14ac:dyDescent="0.2">
      <c r="A1559" t="s">
        <v>561</v>
      </c>
      <c r="B1559" s="4">
        <v>44651</v>
      </c>
      <c r="C1559">
        <v>22.2</v>
      </c>
      <c r="D1559" t="s">
        <v>82</v>
      </c>
      <c r="E1559">
        <f>_xlfn.XLOOKUP(D1559,Worksheet!$C$3:$C$32,Worksheet!$M$3:$M$32)</f>
        <v>113.6</v>
      </c>
      <c r="F1559" s="19">
        <f>_xlfn.XLOOKUP(D1559,Worksheet!$C$3:$C$32,Worksheet!$S$3:$S$32)</f>
        <v>0.56097560975609762</v>
      </c>
    </row>
    <row r="1560" spans="1:6" x14ac:dyDescent="0.2">
      <c r="A1560" t="s">
        <v>561</v>
      </c>
      <c r="B1560" s="4">
        <v>44652</v>
      </c>
      <c r="C1560" t="s">
        <v>169</v>
      </c>
      <c r="D1560" t="s">
        <v>126</v>
      </c>
      <c r="E1560">
        <f>_xlfn.XLOOKUP(D1560,Worksheet!$C$3:$C$32,Worksheet!$M$3:$M$32)</f>
        <v>111.8</v>
      </c>
      <c r="F1560" s="19">
        <f>_xlfn.XLOOKUP(D1560,Worksheet!$C$3:$C$32,Worksheet!$S$3:$S$32)</f>
        <v>0.62195121951219512</v>
      </c>
    </row>
    <row r="1561" spans="1:6" x14ac:dyDescent="0.2">
      <c r="A1561" t="s">
        <v>561</v>
      </c>
      <c r="B1561" s="4">
        <v>44654</v>
      </c>
      <c r="C1561">
        <v>6</v>
      </c>
      <c r="D1561" t="s">
        <v>74</v>
      </c>
      <c r="E1561">
        <f>_xlfn.XLOOKUP(D1561,Worksheet!$C$3:$C$32,Worksheet!$M$3:$M$32)</f>
        <v>113</v>
      </c>
      <c r="F1561" s="19">
        <f>_xlfn.XLOOKUP(D1561,Worksheet!$C$3:$C$32,Worksheet!$S$3:$S$32)</f>
        <v>0.43902439024390244</v>
      </c>
    </row>
    <row r="1562" spans="1:6" x14ac:dyDescent="0.2">
      <c r="A1562" t="s">
        <v>561</v>
      </c>
      <c r="B1562" s="4">
        <v>44657</v>
      </c>
      <c r="C1562">
        <v>5.2</v>
      </c>
      <c r="D1562" t="s">
        <v>99</v>
      </c>
      <c r="E1562">
        <f>_xlfn.XLOOKUP(D1562,Worksheet!$C$3:$C$32,Worksheet!$M$3:$M$32)</f>
        <v>107.3</v>
      </c>
      <c r="F1562" s="19">
        <f>_xlfn.XLOOKUP(D1562,Worksheet!$C$3:$C$32,Worksheet!$S$3:$S$32)</f>
        <v>0.78048780487804881</v>
      </c>
    </row>
    <row r="1563" spans="1:6" x14ac:dyDescent="0.2">
      <c r="A1563" t="s">
        <v>561</v>
      </c>
      <c r="B1563" s="4">
        <v>44660</v>
      </c>
      <c r="C1563">
        <v>-0.5</v>
      </c>
      <c r="D1563" t="s">
        <v>66</v>
      </c>
      <c r="E1563">
        <f>_xlfn.XLOOKUP(D1563,Worksheet!$C$3:$C$32,Worksheet!$M$3:$M$32)</f>
        <v>115.3</v>
      </c>
      <c r="F1563" s="19">
        <f>_xlfn.XLOOKUP(D1563,Worksheet!$C$3:$C$32,Worksheet!$S$3:$S$32)</f>
        <v>0.36585365853658536</v>
      </c>
    </row>
    <row r="1564" spans="1:6" x14ac:dyDescent="0.2">
      <c r="A1564" t="s">
        <v>561</v>
      </c>
      <c r="B1564" s="4">
        <v>44661</v>
      </c>
      <c r="C1564" t="s">
        <v>91</v>
      </c>
      <c r="D1564" t="s">
        <v>68</v>
      </c>
      <c r="E1564">
        <f>_xlfn.XLOOKUP(D1564,Worksheet!$C$3:$C$32,Worksheet!$M$3:$M$32)</f>
        <v>112.8</v>
      </c>
      <c r="F1564" s="19">
        <f>_xlfn.XLOOKUP(D1564,Worksheet!$C$3:$C$32,Worksheet!$S$3:$S$32)</f>
        <v>0.29268292682926828</v>
      </c>
    </row>
    <row r="1565" spans="1:6" x14ac:dyDescent="0.2">
      <c r="A1565" s="12" t="s">
        <v>562</v>
      </c>
      <c r="B1565" s="4">
        <v>44490</v>
      </c>
      <c r="C1565">
        <v>12.1</v>
      </c>
      <c r="D1565" t="s">
        <v>33</v>
      </c>
      <c r="E1565">
        <f>_xlfn.XLOOKUP(D1565,Worksheet!$C$3:$C$32,Worksheet!$M$3:$M$32)</f>
        <v>106.9</v>
      </c>
      <c r="F1565" s="19">
        <f>_xlfn.XLOOKUP(D1565,Worksheet!$C$3:$C$32,Worksheet!$S$3:$S$32)</f>
        <v>0.64634146341463417</v>
      </c>
    </row>
    <row r="1566" spans="1:6" x14ac:dyDescent="0.2">
      <c r="A1566" s="12" t="s">
        <v>562</v>
      </c>
      <c r="B1566" s="4">
        <v>44492</v>
      </c>
      <c r="C1566">
        <v>1.3</v>
      </c>
      <c r="D1566" t="s">
        <v>42</v>
      </c>
      <c r="E1566">
        <f>_xlfn.XLOOKUP(D1566,Worksheet!$C$3:$C$32,Worksheet!$M$3:$M$32)</f>
        <v>109</v>
      </c>
      <c r="F1566" s="19">
        <f>_xlfn.XLOOKUP(D1566,Worksheet!$C$3:$C$32,Worksheet!$S$3:$S$32)</f>
        <v>0.68292682926829273</v>
      </c>
    </row>
    <row r="1567" spans="1:6" x14ac:dyDescent="0.2">
      <c r="A1567" s="12" t="s">
        <v>562</v>
      </c>
      <c r="B1567" s="4">
        <v>44494</v>
      </c>
      <c r="C1567">
        <v>20.3</v>
      </c>
      <c r="D1567" t="s">
        <v>96</v>
      </c>
      <c r="E1567">
        <f>_xlfn.XLOOKUP(D1567,Worksheet!$C$3:$C$32,Worksheet!$M$3:$M$32)</f>
        <v>116.9</v>
      </c>
      <c r="F1567" s="19">
        <f>_xlfn.XLOOKUP(D1567,Worksheet!$C$3:$C$32,Worksheet!$S$3:$S$32)</f>
        <v>0.32926829268292684</v>
      </c>
    </row>
    <row r="1568" spans="1:6" x14ac:dyDescent="0.2">
      <c r="A1568" s="12" t="s">
        <v>562</v>
      </c>
      <c r="B1568" s="4">
        <v>44496</v>
      </c>
      <c r="C1568">
        <v>3.7</v>
      </c>
      <c r="D1568" t="s">
        <v>87</v>
      </c>
      <c r="E1568">
        <f>_xlfn.XLOOKUP(D1568,Worksheet!$C$3:$C$32,Worksheet!$M$3:$M$32)</f>
        <v>109.7</v>
      </c>
      <c r="F1568" s="19">
        <f>_xlfn.XLOOKUP(D1568,Worksheet!$C$3:$C$32,Worksheet!$S$3:$S$32)</f>
        <v>0.53658536585365857</v>
      </c>
    </row>
    <row r="1569" spans="1:6" x14ac:dyDescent="0.2">
      <c r="A1569" s="12" t="s">
        <v>562</v>
      </c>
      <c r="B1569" s="4">
        <v>44498</v>
      </c>
      <c r="C1569">
        <v>8.5</v>
      </c>
      <c r="D1569" t="s">
        <v>96</v>
      </c>
      <c r="E1569">
        <f>_xlfn.XLOOKUP(D1569,Worksheet!$C$3:$C$32,Worksheet!$M$3:$M$32)</f>
        <v>116.9</v>
      </c>
      <c r="F1569" s="19">
        <f>_xlfn.XLOOKUP(D1569,Worksheet!$C$3:$C$32,Worksheet!$S$3:$S$32)</f>
        <v>0.32926829268292684</v>
      </c>
    </row>
    <row r="1570" spans="1:6" x14ac:dyDescent="0.2">
      <c r="A1570" s="12" t="s">
        <v>562</v>
      </c>
      <c r="B1570" s="4">
        <v>44501</v>
      </c>
      <c r="C1570">
        <v>4.2</v>
      </c>
      <c r="D1570" t="s">
        <v>68</v>
      </c>
      <c r="E1570">
        <f>_xlfn.XLOOKUP(D1570,Worksheet!$C$3:$C$32,Worksheet!$M$3:$M$32)</f>
        <v>112.8</v>
      </c>
      <c r="F1570" s="19">
        <f>_xlfn.XLOOKUP(D1570,Worksheet!$C$3:$C$32,Worksheet!$S$3:$S$32)</f>
        <v>0.29268292682926828</v>
      </c>
    </row>
    <row r="1571" spans="1:6" x14ac:dyDescent="0.2">
      <c r="A1571" s="12" t="s">
        <v>562</v>
      </c>
      <c r="B1571" s="4">
        <v>44503</v>
      </c>
      <c r="C1571">
        <v>13.7</v>
      </c>
      <c r="D1571" t="s">
        <v>80</v>
      </c>
      <c r="E1571">
        <f>_xlfn.XLOOKUP(D1571,Worksheet!$C$3:$C$32,Worksheet!$M$3:$M$32)</f>
        <v>111.7</v>
      </c>
      <c r="F1571" s="19">
        <f>_xlfn.XLOOKUP(D1571,Worksheet!$C$3:$C$32,Worksheet!$S$3:$S$32)</f>
        <v>0.56097560975609762</v>
      </c>
    </row>
    <row r="1572" spans="1:6" x14ac:dyDescent="0.2">
      <c r="A1572" s="12" t="s">
        <v>562</v>
      </c>
      <c r="B1572" s="4">
        <v>44505</v>
      </c>
      <c r="C1572">
        <v>9.9</v>
      </c>
      <c r="D1572" t="s">
        <v>80</v>
      </c>
      <c r="E1572">
        <f>_xlfn.XLOOKUP(D1572,Worksheet!$C$3:$C$32,Worksheet!$M$3:$M$32)</f>
        <v>111.7</v>
      </c>
      <c r="F1572" s="19">
        <f>_xlfn.XLOOKUP(D1572,Worksheet!$C$3:$C$32,Worksheet!$S$3:$S$32)</f>
        <v>0.56097560975609762</v>
      </c>
    </row>
    <row r="1573" spans="1:6" x14ac:dyDescent="0.2">
      <c r="A1573" s="12" t="s">
        <v>562</v>
      </c>
      <c r="B1573" s="4">
        <v>44507</v>
      </c>
      <c r="C1573">
        <v>17.5</v>
      </c>
      <c r="D1573" t="s">
        <v>72</v>
      </c>
      <c r="E1573">
        <f>_xlfn.XLOOKUP(D1573,Worksheet!$C$3:$C$32,Worksheet!$M$3:$M$32)</f>
        <v>113.7</v>
      </c>
      <c r="F1573" s="19">
        <f>_xlfn.XLOOKUP(D1573,Worksheet!$C$3:$C$32,Worksheet!$S$3:$S$32)</f>
        <v>0.52439024390243905</v>
      </c>
    </row>
    <row r="1574" spans="1:6" x14ac:dyDescent="0.2">
      <c r="A1574" s="12" t="s">
        <v>562</v>
      </c>
      <c r="B1574" s="4">
        <v>44509</v>
      </c>
      <c r="C1574">
        <v>6.1</v>
      </c>
      <c r="D1574" t="s">
        <v>96</v>
      </c>
      <c r="E1574">
        <f>_xlfn.XLOOKUP(D1574,Worksheet!$C$3:$C$32,Worksheet!$M$3:$M$32)</f>
        <v>116.9</v>
      </c>
      <c r="F1574" s="19">
        <f>_xlfn.XLOOKUP(D1574,Worksheet!$C$3:$C$32,Worksheet!$S$3:$S$32)</f>
        <v>0.32926829268292684</v>
      </c>
    </row>
    <row r="1575" spans="1:6" x14ac:dyDescent="0.2">
      <c r="A1575" s="12" t="s">
        <v>562</v>
      </c>
      <c r="B1575" s="4">
        <v>44511</v>
      </c>
      <c r="C1575">
        <v>-1.8</v>
      </c>
      <c r="D1575" t="s">
        <v>120</v>
      </c>
      <c r="E1575">
        <f>_xlfn.XLOOKUP(D1575,Worksheet!$C$3:$C$32,Worksheet!$M$3:$M$32)</f>
        <v>109.1</v>
      </c>
      <c r="F1575" s="19">
        <f>_xlfn.XLOOKUP(D1575,Worksheet!$C$3:$C$32,Worksheet!$S$3:$S$32)</f>
        <v>0.64634146341463417</v>
      </c>
    </row>
    <row r="1576" spans="1:6" x14ac:dyDescent="0.2">
      <c r="A1576" s="12" t="s">
        <v>562</v>
      </c>
      <c r="B1576" s="4">
        <v>44513</v>
      </c>
      <c r="C1576">
        <v>14.3</v>
      </c>
      <c r="D1576" t="s">
        <v>80</v>
      </c>
      <c r="E1576">
        <f>_xlfn.XLOOKUP(D1576,Worksheet!$C$3:$C$32,Worksheet!$M$3:$M$32)</f>
        <v>111.7</v>
      </c>
      <c r="F1576" s="19">
        <f>_xlfn.XLOOKUP(D1576,Worksheet!$C$3:$C$32,Worksheet!$S$3:$S$32)</f>
        <v>0.56097560975609762</v>
      </c>
    </row>
    <row r="1577" spans="1:6" x14ac:dyDescent="0.2">
      <c r="A1577" s="12" t="s">
        <v>562</v>
      </c>
      <c r="B1577" s="4">
        <v>44514</v>
      </c>
      <c r="C1577">
        <v>6.1</v>
      </c>
      <c r="D1577" t="s">
        <v>82</v>
      </c>
      <c r="E1577">
        <f>_xlfn.XLOOKUP(D1577,Worksheet!$C$3:$C$32,Worksheet!$M$3:$M$32)</f>
        <v>113.6</v>
      </c>
      <c r="F1577" s="19">
        <f>_xlfn.XLOOKUP(D1577,Worksheet!$C$3:$C$32,Worksheet!$S$3:$S$32)</f>
        <v>0.56097560975609762</v>
      </c>
    </row>
    <row r="1578" spans="1:6" x14ac:dyDescent="0.2">
      <c r="A1578" s="12" t="s">
        <v>562</v>
      </c>
      <c r="B1578" s="4">
        <v>44516</v>
      </c>
      <c r="C1578" t="s">
        <v>91</v>
      </c>
      <c r="D1578" t="s">
        <v>102</v>
      </c>
      <c r="E1578">
        <f>_xlfn.XLOOKUP(D1578,Worksheet!$C$3:$C$32,Worksheet!$M$3:$M$32)</f>
        <v>112.3</v>
      </c>
      <c r="F1578" s="19">
        <f>_xlfn.XLOOKUP(D1578,Worksheet!$C$3:$C$32,Worksheet!$S$3:$S$32)</f>
        <v>0.41463414634146339</v>
      </c>
    </row>
    <row r="1579" spans="1:6" x14ac:dyDescent="0.2">
      <c r="A1579" s="12" t="s">
        <v>562</v>
      </c>
      <c r="B1579" s="4">
        <v>44518</v>
      </c>
      <c r="C1579">
        <v>0.4</v>
      </c>
      <c r="D1579" t="s">
        <v>42</v>
      </c>
      <c r="E1579">
        <f>_xlfn.XLOOKUP(D1579,Worksheet!$C$3:$C$32,Worksheet!$M$3:$M$32)</f>
        <v>109</v>
      </c>
      <c r="F1579" s="19">
        <f>_xlfn.XLOOKUP(D1579,Worksheet!$C$3:$C$32,Worksheet!$S$3:$S$32)</f>
        <v>0.68292682926829273</v>
      </c>
    </row>
    <row r="1580" spans="1:6" x14ac:dyDescent="0.2">
      <c r="A1580" s="12" t="s">
        <v>562</v>
      </c>
      <c r="B1580" s="4">
        <v>44519</v>
      </c>
      <c r="C1580">
        <v>8.6</v>
      </c>
      <c r="D1580" t="s">
        <v>74</v>
      </c>
      <c r="E1580">
        <f>_xlfn.XLOOKUP(D1580,Worksheet!$C$3:$C$32,Worksheet!$M$3:$M$32)</f>
        <v>113</v>
      </c>
      <c r="F1580" s="19">
        <f>_xlfn.XLOOKUP(D1580,Worksheet!$C$3:$C$32,Worksheet!$S$3:$S$32)</f>
        <v>0.43902439024390244</v>
      </c>
    </row>
    <row r="1581" spans="1:6" x14ac:dyDescent="0.2">
      <c r="A1581" s="12" t="s">
        <v>562</v>
      </c>
      <c r="B1581" s="4">
        <v>44521</v>
      </c>
      <c r="C1581">
        <v>5.8</v>
      </c>
      <c r="D1581" t="s">
        <v>49</v>
      </c>
      <c r="E1581">
        <f>_xlfn.XLOOKUP(D1581,Worksheet!$C$3:$C$32,Worksheet!$M$3:$M$32)</f>
        <v>109.4</v>
      </c>
      <c r="F1581" s="19">
        <f>_xlfn.XLOOKUP(D1581,Worksheet!$C$3:$C$32,Worksheet!$S$3:$S$32)</f>
        <v>0.63414634146341464</v>
      </c>
    </row>
    <row r="1582" spans="1:6" x14ac:dyDescent="0.2">
      <c r="A1582" s="12" t="s">
        <v>562</v>
      </c>
      <c r="B1582" s="4">
        <v>44523</v>
      </c>
      <c r="C1582">
        <v>1.9</v>
      </c>
      <c r="D1582" t="s">
        <v>49</v>
      </c>
      <c r="E1582">
        <f>_xlfn.XLOOKUP(D1582,Worksheet!$C$3:$C$32,Worksheet!$M$3:$M$32)</f>
        <v>109.4</v>
      </c>
      <c r="F1582" s="19">
        <f>_xlfn.XLOOKUP(D1582,Worksheet!$C$3:$C$32,Worksheet!$S$3:$S$32)</f>
        <v>0.63414634146341464</v>
      </c>
    </row>
    <row r="1583" spans="1:6" x14ac:dyDescent="0.2">
      <c r="A1583" s="12" t="s">
        <v>562</v>
      </c>
      <c r="B1583" s="4">
        <v>44526</v>
      </c>
      <c r="C1583">
        <v>11.9</v>
      </c>
      <c r="D1583" t="s">
        <v>89</v>
      </c>
      <c r="E1583">
        <f>_xlfn.XLOOKUP(D1583,Worksheet!$C$3:$C$32,Worksheet!$M$3:$M$32)</f>
        <v>113.8</v>
      </c>
      <c r="F1583" s="19">
        <f>_xlfn.XLOOKUP(D1583,Worksheet!$C$3:$C$32,Worksheet!$S$3:$S$32)</f>
        <v>0.28048780487804881</v>
      </c>
    </row>
    <row r="1584" spans="1:6" x14ac:dyDescent="0.2">
      <c r="A1584" s="12" t="s">
        <v>562</v>
      </c>
      <c r="B1584" s="4">
        <v>44528</v>
      </c>
      <c r="C1584">
        <v>6.5</v>
      </c>
      <c r="D1584" t="s">
        <v>33</v>
      </c>
      <c r="E1584">
        <f>_xlfn.XLOOKUP(D1584,Worksheet!$C$3:$C$32,Worksheet!$M$3:$M$32)</f>
        <v>106.9</v>
      </c>
      <c r="F1584" s="19">
        <f>_xlfn.XLOOKUP(D1584,Worksheet!$C$3:$C$32,Worksheet!$S$3:$S$32)</f>
        <v>0.64634146341463417</v>
      </c>
    </row>
    <row r="1585" spans="1:6" x14ac:dyDescent="0.2">
      <c r="A1585" s="12" t="s">
        <v>562</v>
      </c>
      <c r="B1585" s="4">
        <v>44529</v>
      </c>
      <c r="C1585">
        <v>7.2</v>
      </c>
      <c r="D1585" t="s">
        <v>74</v>
      </c>
      <c r="E1585">
        <f>_xlfn.XLOOKUP(D1585,Worksheet!$C$3:$C$32,Worksheet!$M$3:$M$32)</f>
        <v>113</v>
      </c>
      <c r="F1585" s="19">
        <f>_xlfn.XLOOKUP(D1585,Worksheet!$C$3:$C$32,Worksheet!$S$3:$S$32)</f>
        <v>0.43902439024390244</v>
      </c>
    </row>
    <row r="1586" spans="1:6" x14ac:dyDescent="0.2">
      <c r="A1586" s="12" t="s">
        <v>562</v>
      </c>
      <c r="B1586" s="4">
        <v>44531</v>
      </c>
      <c r="C1586">
        <v>14.9</v>
      </c>
      <c r="D1586" t="s">
        <v>66</v>
      </c>
      <c r="E1586">
        <f>_xlfn.XLOOKUP(D1586,Worksheet!$C$3:$C$32,Worksheet!$M$3:$M$32)</f>
        <v>115.3</v>
      </c>
      <c r="F1586" s="19">
        <f>_xlfn.XLOOKUP(D1586,Worksheet!$C$3:$C$32,Worksheet!$S$3:$S$32)</f>
        <v>0.36585365853658536</v>
      </c>
    </row>
    <row r="1587" spans="1:6" x14ac:dyDescent="0.2">
      <c r="A1587" s="12" t="s">
        <v>562</v>
      </c>
      <c r="B1587" s="4">
        <v>44533</v>
      </c>
      <c r="C1587">
        <v>1.3</v>
      </c>
      <c r="D1587" t="s">
        <v>62</v>
      </c>
      <c r="E1587">
        <f>_xlfn.XLOOKUP(D1587,Worksheet!$C$3:$C$32,Worksheet!$M$3:$M$32)</f>
        <v>113.3</v>
      </c>
      <c r="F1587" s="19">
        <f>_xlfn.XLOOKUP(D1587,Worksheet!$C$3:$C$32,Worksheet!$S$3:$S$32)</f>
        <v>0.40243902439024393</v>
      </c>
    </row>
    <row r="1588" spans="1:6" x14ac:dyDescent="0.2">
      <c r="A1588" s="12" t="s">
        <v>562</v>
      </c>
      <c r="B1588" s="4">
        <v>44534</v>
      </c>
      <c r="C1588">
        <v>5.4</v>
      </c>
      <c r="D1588" t="s">
        <v>66</v>
      </c>
      <c r="E1588">
        <f>_xlfn.XLOOKUP(D1588,Worksheet!$C$3:$C$32,Worksheet!$M$3:$M$32)</f>
        <v>115.3</v>
      </c>
      <c r="F1588" s="19">
        <f>_xlfn.XLOOKUP(D1588,Worksheet!$C$3:$C$32,Worksheet!$S$3:$S$32)</f>
        <v>0.36585365853658536</v>
      </c>
    </row>
    <row r="1589" spans="1:6" x14ac:dyDescent="0.2">
      <c r="A1589" s="12" t="s">
        <v>562</v>
      </c>
      <c r="B1589" s="4">
        <v>44536</v>
      </c>
      <c r="C1589">
        <v>3.7</v>
      </c>
      <c r="D1589" t="s">
        <v>96</v>
      </c>
      <c r="E1589">
        <f>_xlfn.XLOOKUP(D1589,Worksheet!$C$3:$C$32,Worksheet!$M$3:$M$32)</f>
        <v>116.9</v>
      </c>
      <c r="F1589" s="19">
        <f>_xlfn.XLOOKUP(D1589,Worksheet!$C$3:$C$32,Worksheet!$S$3:$S$32)</f>
        <v>0.32926829268292684</v>
      </c>
    </row>
    <row r="1590" spans="1:6" x14ac:dyDescent="0.2">
      <c r="A1590" s="12" t="s">
        <v>562</v>
      </c>
      <c r="B1590" s="4">
        <v>44538</v>
      </c>
      <c r="C1590">
        <v>9.1999999999999993</v>
      </c>
      <c r="D1590" t="s">
        <v>55</v>
      </c>
      <c r="E1590">
        <f>_xlfn.XLOOKUP(D1590,Worksheet!$C$3:$C$32,Worksheet!$M$3:$M$32)</f>
        <v>106.9</v>
      </c>
      <c r="F1590" s="19">
        <f>_xlfn.XLOOKUP(D1590,Worksheet!$C$3:$C$32,Worksheet!$S$3:$S$32)</f>
        <v>0.62195121951219512</v>
      </c>
    </row>
    <row r="1591" spans="1:6" x14ac:dyDescent="0.2">
      <c r="A1591" s="12" t="s">
        <v>562</v>
      </c>
      <c r="B1591" s="4">
        <v>44541</v>
      </c>
      <c r="C1591">
        <v>16.5</v>
      </c>
      <c r="D1591" t="s">
        <v>104</v>
      </c>
      <c r="E1591">
        <f>_xlfn.XLOOKUP(D1591,Worksheet!$C$3:$C$32,Worksheet!$M$3:$M$32)</f>
        <v>112.5</v>
      </c>
      <c r="F1591" s="19">
        <f>_xlfn.XLOOKUP(D1591,Worksheet!$C$3:$C$32,Worksheet!$S$3:$S$32)</f>
        <v>0.26829268292682928</v>
      </c>
    </row>
    <row r="1592" spans="1:6" x14ac:dyDescent="0.2">
      <c r="A1592" s="12" t="s">
        <v>562</v>
      </c>
      <c r="B1592" s="4">
        <v>44543</v>
      </c>
      <c r="C1592">
        <v>16.399999999999999</v>
      </c>
      <c r="D1592" t="s">
        <v>99</v>
      </c>
      <c r="E1592">
        <f>_xlfn.XLOOKUP(D1592,Worksheet!$C$3:$C$32,Worksheet!$M$3:$M$32)</f>
        <v>107.3</v>
      </c>
      <c r="F1592" s="19">
        <f>_xlfn.XLOOKUP(D1592,Worksheet!$C$3:$C$32,Worksheet!$S$3:$S$32)</f>
        <v>0.78048780487804881</v>
      </c>
    </row>
    <row r="1593" spans="1:6" x14ac:dyDescent="0.2">
      <c r="A1593" s="12" t="s">
        <v>562</v>
      </c>
      <c r="B1593" s="4">
        <v>44545</v>
      </c>
      <c r="C1593">
        <v>1.1000000000000001</v>
      </c>
      <c r="D1593" t="s">
        <v>118</v>
      </c>
      <c r="E1593">
        <f>_xlfn.XLOOKUP(D1593,Worksheet!$C$3:$C$32,Worksheet!$M$3:$M$32)</f>
        <v>110.5</v>
      </c>
      <c r="F1593" s="19">
        <f>_xlfn.XLOOKUP(D1593,Worksheet!$C$3:$C$32,Worksheet!$S$3:$S$32)</f>
        <v>0.59756097560975607</v>
      </c>
    </row>
    <row r="1594" spans="1:6" x14ac:dyDescent="0.2">
      <c r="A1594" s="12" t="s">
        <v>562</v>
      </c>
      <c r="B1594" s="4">
        <v>44548</v>
      </c>
      <c r="C1594">
        <v>14.7</v>
      </c>
      <c r="D1594" t="s">
        <v>68</v>
      </c>
      <c r="E1594">
        <f>_xlfn.XLOOKUP(D1594,Worksheet!$C$3:$C$32,Worksheet!$M$3:$M$32)</f>
        <v>112.8</v>
      </c>
      <c r="F1594" s="19">
        <f>_xlfn.XLOOKUP(D1594,Worksheet!$C$3:$C$32,Worksheet!$S$3:$S$32)</f>
        <v>0.29268292682926828</v>
      </c>
    </row>
    <row r="1595" spans="1:6" x14ac:dyDescent="0.2">
      <c r="A1595" s="12" t="s">
        <v>562</v>
      </c>
      <c r="B1595" s="4">
        <v>44550</v>
      </c>
      <c r="C1595">
        <v>11.6</v>
      </c>
      <c r="D1595" t="s">
        <v>102</v>
      </c>
      <c r="E1595">
        <f>_xlfn.XLOOKUP(D1595,Worksheet!$C$3:$C$32,Worksheet!$M$3:$M$32)</f>
        <v>112.3</v>
      </c>
      <c r="F1595" s="19">
        <f>_xlfn.XLOOKUP(D1595,Worksheet!$C$3:$C$32,Worksheet!$S$3:$S$32)</f>
        <v>0.41463414634146339</v>
      </c>
    </row>
    <row r="1596" spans="1:6" x14ac:dyDescent="0.2">
      <c r="A1596" s="12" t="s">
        <v>562</v>
      </c>
      <c r="B1596" s="4">
        <v>44552</v>
      </c>
      <c r="C1596">
        <v>10</v>
      </c>
      <c r="D1596" t="s">
        <v>66</v>
      </c>
      <c r="E1596">
        <f>_xlfn.XLOOKUP(D1596,Worksheet!$C$3:$C$32,Worksheet!$M$3:$M$32)</f>
        <v>115.3</v>
      </c>
      <c r="F1596" s="19">
        <f>_xlfn.XLOOKUP(D1596,Worksheet!$C$3:$C$32,Worksheet!$S$3:$S$32)</f>
        <v>0.36585365853658536</v>
      </c>
    </row>
    <row r="1597" spans="1:6" x14ac:dyDescent="0.2">
      <c r="A1597" s="12" t="s">
        <v>562</v>
      </c>
      <c r="B1597" s="4">
        <v>44556</v>
      </c>
      <c r="C1597">
        <v>10.199999999999999</v>
      </c>
      <c r="D1597" t="s">
        <v>34</v>
      </c>
      <c r="E1597">
        <f>_xlfn.XLOOKUP(D1597,Worksheet!$C$3:$C$32,Worksheet!$M$3:$M$32)</f>
        <v>112.1</v>
      </c>
      <c r="F1597" s="19">
        <f>_xlfn.XLOOKUP(D1597,Worksheet!$C$3:$C$32,Worksheet!$S$3:$S$32)</f>
        <v>0.58536585365853655</v>
      </c>
    </row>
    <row r="1598" spans="1:6" x14ac:dyDescent="0.2">
      <c r="A1598" s="12" t="s">
        <v>562</v>
      </c>
      <c r="B1598" s="4">
        <v>44557</v>
      </c>
      <c r="C1598">
        <v>2.8</v>
      </c>
      <c r="D1598" t="s">
        <v>85</v>
      </c>
      <c r="E1598">
        <f>_xlfn.XLOOKUP(D1598,Worksheet!$C$3:$C$32,Worksheet!$M$3:$M$32)</f>
        <v>112.8</v>
      </c>
      <c r="F1598" s="19">
        <f>_xlfn.XLOOKUP(D1598,Worksheet!$C$3:$C$32,Worksheet!$S$3:$S$32)</f>
        <v>0.53658536585365857</v>
      </c>
    </row>
    <row r="1599" spans="1:6" x14ac:dyDescent="0.2">
      <c r="A1599" s="12" t="s">
        <v>562</v>
      </c>
      <c r="B1599" s="4">
        <v>44559</v>
      </c>
      <c r="C1599">
        <v>13.7</v>
      </c>
      <c r="D1599" t="s">
        <v>55</v>
      </c>
      <c r="E1599">
        <f>_xlfn.XLOOKUP(D1599,Worksheet!$C$3:$C$32,Worksheet!$M$3:$M$32)</f>
        <v>106.9</v>
      </c>
      <c r="F1599" s="19">
        <f>_xlfn.XLOOKUP(D1599,Worksheet!$C$3:$C$32,Worksheet!$S$3:$S$32)</f>
        <v>0.62195121951219512</v>
      </c>
    </row>
    <row r="1600" spans="1:6" x14ac:dyDescent="0.2">
      <c r="A1600" s="12" t="s">
        <v>562</v>
      </c>
      <c r="B1600" s="4">
        <v>44561</v>
      </c>
      <c r="C1600">
        <v>15.8</v>
      </c>
      <c r="D1600" t="s">
        <v>92</v>
      </c>
      <c r="E1600">
        <f>_xlfn.XLOOKUP(D1600,Worksheet!$C$3:$C$32,Worksheet!$M$3:$M$32)</f>
        <v>110.5</v>
      </c>
      <c r="F1600" s="19">
        <f>_xlfn.XLOOKUP(D1600,Worksheet!$C$3:$C$32,Worksheet!$S$3:$S$32)</f>
        <v>0.58536585365853655</v>
      </c>
    </row>
    <row r="1601" spans="1:6" x14ac:dyDescent="0.2">
      <c r="A1601" s="12" t="s">
        <v>562</v>
      </c>
      <c r="B1601" s="4">
        <v>44562</v>
      </c>
      <c r="C1601">
        <v>13.2</v>
      </c>
      <c r="D1601" t="s">
        <v>85</v>
      </c>
      <c r="E1601">
        <f>_xlfn.XLOOKUP(D1601,Worksheet!$C$3:$C$32,Worksheet!$M$3:$M$32)</f>
        <v>112.8</v>
      </c>
      <c r="F1601" s="19">
        <f>_xlfn.XLOOKUP(D1601,Worksheet!$C$3:$C$32,Worksheet!$S$3:$S$32)</f>
        <v>0.53658536585365857</v>
      </c>
    </row>
    <row r="1602" spans="1:6" x14ac:dyDescent="0.2">
      <c r="A1602" s="12" t="s">
        <v>562</v>
      </c>
      <c r="B1602" s="4">
        <v>44564</v>
      </c>
      <c r="C1602">
        <v>6.4</v>
      </c>
      <c r="D1602" t="s">
        <v>80</v>
      </c>
      <c r="E1602">
        <f>_xlfn.XLOOKUP(D1602,Worksheet!$C$3:$C$32,Worksheet!$M$3:$M$32)</f>
        <v>111.7</v>
      </c>
      <c r="F1602" s="19">
        <f>_xlfn.XLOOKUP(D1602,Worksheet!$C$3:$C$32,Worksheet!$S$3:$S$32)</f>
        <v>0.56097560975609762</v>
      </c>
    </row>
    <row r="1603" spans="1:6" x14ac:dyDescent="0.2">
      <c r="A1603" s="12" t="s">
        <v>562</v>
      </c>
      <c r="B1603" s="4">
        <v>44567</v>
      </c>
      <c r="C1603">
        <v>7.7</v>
      </c>
      <c r="D1603" t="s">
        <v>99</v>
      </c>
      <c r="E1603">
        <f>_xlfn.XLOOKUP(D1603,Worksheet!$C$3:$C$32,Worksheet!$M$3:$M$32)</f>
        <v>107.3</v>
      </c>
      <c r="F1603" s="19">
        <f>_xlfn.XLOOKUP(D1603,Worksheet!$C$3:$C$32,Worksheet!$S$3:$S$32)</f>
        <v>0.78048780487804881</v>
      </c>
    </row>
    <row r="1604" spans="1:6" x14ac:dyDescent="0.2">
      <c r="A1604" s="12" t="s">
        <v>562</v>
      </c>
      <c r="B1604" s="4">
        <v>44569</v>
      </c>
      <c r="C1604">
        <v>5.6</v>
      </c>
      <c r="D1604" t="s">
        <v>42</v>
      </c>
      <c r="E1604">
        <f>_xlfn.XLOOKUP(D1604,Worksheet!$C$3:$C$32,Worksheet!$M$3:$M$32)</f>
        <v>109</v>
      </c>
      <c r="F1604" s="19">
        <f>_xlfn.XLOOKUP(D1604,Worksheet!$C$3:$C$32,Worksheet!$S$3:$S$32)</f>
        <v>0.68292682926829273</v>
      </c>
    </row>
    <row r="1605" spans="1:6" x14ac:dyDescent="0.2">
      <c r="A1605" s="12" t="s">
        <v>562</v>
      </c>
      <c r="B1605" s="4">
        <v>44570</v>
      </c>
      <c r="C1605">
        <v>6.4</v>
      </c>
      <c r="D1605" t="s">
        <v>78</v>
      </c>
      <c r="E1605">
        <f>_xlfn.XLOOKUP(D1605,Worksheet!$C$3:$C$32,Worksheet!$M$3:$M$32)</f>
        <v>114.9</v>
      </c>
      <c r="F1605" s="19">
        <f>_xlfn.XLOOKUP(D1605,Worksheet!$C$3:$C$32,Worksheet!$S$3:$S$32)</f>
        <v>0.52439024390243905</v>
      </c>
    </row>
    <row r="1606" spans="1:6" x14ac:dyDescent="0.2">
      <c r="A1606" s="12" t="s">
        <v>562</v>
      </c>
      <c r="B1606" s="4">
        <v>44572</v>
      </c>
      <c r="C1606">
        <v>7.9</v>
      </c>
      <c r="D1606" t="s">
        <v>34</v>
      </c>
      <c r="E1606">
        <f>_xlfn.XLOOKUP(D1606,Worksheet!$C$3:$C$32,Worksheet!$M$3:$M$32)</f>
        <v>112.1</v>
      </c>
      <c r="F1606" s="19">
        <f>_xlfn.XLOOKUP(D1606,Worksheet!$C$3:$C$32,Worksheet!$S$3:$S$32)</f>
        <v>0.58536585365853655</v>
      </c>
    </row>
    <row r="1607" spans="1:6" x14ac:dyDescent="0.2">
      <c r="A1607" s="12" t="s">
        <v>562</v>
      </c>
      <c r="B1607" s="4">
        <v>44574</v>
      </c>
      <c r="C1607">
        <v>9.6999999999999993</v>
      </c>
      <c r="D1607" t="s">
        <v>74</v>
      </c>
      <c r="E1607">
        <f>_xlfn.XLOOKUP(D1607,Worksheet!$C$3:$C$32,Worksheet!$M$3:$M$32)</f>
        <v>113</v>
      </c>
      <c r="F1607" s="19">
        <f>_xlfn.XLOOKUP(D1607,Worksheet!$C$3:$C$32,Worksheet!$S$3:$S$32)</f>
        <v>0.43902439024390244</v>
      </c>
    </row>
    <row r="1608" spans="1:6" x14ac:dyDescent="0.2">
      <c r="A1608" s="12" t="s">
        <v>562</v>
      </c>
      <c r="B1608" s="4">
        <v>44576</v>
      </c>
      <c r="C1608">
        <v>2.5</v>
      </c>
      <c r="D1608" t="s">
        <v>102</v>
      </c>
      <c r="E1608">
        <f>_xlfn.XLOOKUP(D1608,Worksheet!$C$3:$C$32,Worksheet!$M$3:$M$32)</f>
        <v>112.3</v>
      </c>
      <c r="F1608" s="19">
        <f>_xlfn.XLOOKUP(D1608,Worksheet!$C$3:$C$32,Worksheet!$S$3:$S$32)</f>
        <v>0.41463414634146339</v>
      </c>
    </row>
    <row r="1609" spans="1:6" x14ac:dyDescent="0.2">
      <c r="A1609" s="12" t="s">
        <v>562</v>
      </c>
      <c r="B1609" s="4">
        <v>44578</v>
      </c>
      <c r="C1609">
        <v>8.8000000000000007</v>
      </c>
      <c r="D1609" t="s">
        <v>108</v>
      </c>
      <c r="E1609">
        <f>_xlfn.XLOOKUP(D1609,Worksheet!$C$3:$C$32,Worksheet!$M$3:$M$32)</f>
        <v>116.1</v>
      </c>
      <c r="F1609" s="19">
        <f>_xlfn.XLOOKUP(D1609,Worksheet!$C$3:$C$32,Worksheet!$S$3:$S$32)</f>
        <v>0.3048780487804878</v>
      </c>
    </row>
    <row r="1610" spans="1:6" x14ac:dyDescent="0.2">
      <c r="A1610" s="12" t="s">
        <v>562</v>
      </c>
      <c r="B1610" s="4">
        <v>44580</v>
      </c>
      <c r="C1610">
        <v>9.1</v>
      </c>
      <c r="D1610" t="s">
        <v>34</v>
      </c>
      <c r="E1610">
        <f>_xlfn.XLOOKUP(D1610,Worksheet!$C$3:$C$32,Worksheet!$M$3:$M$32)</f>
        <v>112.1</v>
      </c>
      <c r="F1610" s="19">
        <f>_xlfn.XLOOKUP(D1610,Worksheet!$C$3:$C$32,Worksheet!$S$3:$S$32)</f>
        <v>0.58536585365853655</v>
      </c>
    </row>
    <row r="1611" spans="1:6" x14ac:dyDescent="0.2">
      <c r="A1611" s="12" t="s">
        <v>562</v>
      </c>
      <c r="B1611" s="4">
        <v>44582</v>
      </c>
      <c r="C1611">
        <v>-0.7</v>
      </c>
      <c r="D1611" t="s">
        <v>94</v>
      </c>
      <c r="E1611">
        <f>_xlfn.XLOOKUP(D1611,Worksheet!$C$3:$C$32,Worksheet!$M$3:$M$32)</f>
        <v>110.8</v>
      </c>
      <c r="F1611" s="19">
        <f>_xlfn.XLOOKUP(D1611,Worksheet!$C$3:$C$32,Worksheet!$S$3:$S$32)</f>
        <v>0.62195121951219512</v>
      </c>
    </row>
    <row r="1612" spans="1:6" x14ac:dyDescent="0.2">
      <c r="A1612" s="12" t="s">
        <v>562</v>
      </c>
      <c r="B1612" s="4">
        <v>44584</v>
      </c>
      <c r="C1612">
        <v>8.1</v>
      </c>
      <c r="D1612" t="s">
        <v>110</v>
      </c>
      <c r="E1612">
        <f>_xlfn.XLOOKUP(D1612,Worksheet!$C$3:$C$32,Worksheet!$M$3:$M$32)</f>
        <v>110.5</v>
      </c>
      <c r="F1612" s="19">
        <f>_xlfn.XLOOKUP(D1612,Worksheet!$C$3:$C$32,Worksheet!$S$3:$S$32)</f>
        <v>0.45121951219512196</v>
      </c>
    </row>
    <row r="1613" spans="1:6" x14ac:dyDescent="0.2">
      <c r="A1613" s="12" t="s">
        <v>562</v>
      </c>
      <c r="B1613" s="4">
        <v>44586</v>
      </c>
      <c r="C1613">
        <v>15.4</v>
      </c>
      <c r="D1613" t="s">
        <v>155</v>
      </c>
      <c r="E1613">
        <f>_xlfn.XLOOKUP(D1613,Worksheet!$C$3:$C$32,Worksheet!$M$3:$M$32)</f>
        <v>114.5</v>
      </c>
      <c r="F1613" s="19">
        <f>_xlfn.XLOOKUP(D1613,Worksheet!$C$3:$C$32,Worksheet!$S$3:$S$32)</f>
        <v>0.42682926829268292</v>
      </c>
    </row>
    <row r="1614" spans="1:6" x14ac:dyDescent="0.2">
      <c r="A1614" s="12" t="s">
        <v>562</v>
      </c>
      <c r="B1614" s="4">
        <v>44587</v>
      </c>
      <c r="C1614">
        <v>12.1</v>
      </c>
      <c r="D1614" t="s">
        <v>104</v>
      </c>
      <c r="E1614">
        <f>_xlfn.XLOOKUP(D1614,Worksheet!$C$3:$C$32,Worksheet!$M$3:$M$32)</f>
        <v>112.5</v>
      </c>
      <c r="F1614" s="19">
        <f>_xlfn.XLOOKUP(D1614,Worksheet!$C$3:$C$32,Worksheet!$S$3:$S$32)</f>
        <v>0.26829268292682928</v>
      </c>
    </row>
    <row r="1615" spans="1:6" x14ac:dyDescent="0.2">
      <c r="A1615" s="12" t="s">
        <v>562</v>
      </c>
      <c r="B1615" s="4">
        <v>44589</v>
      </c>
      <c r="C1615">
        <v>-0.8</v>
      </c>
      <c r="D1615" t="s">
        <v>120</v>
      </c>
      <c r="E1615">
        <f>_xlfn.XLOOKUP(D1615,Worksheet!$C$3:$C$32,Worksheet!$M$3:$M$32)</f>
        <v>109.1</v>
      </c>
      <c r="F1615" s="19">
        <f>_xlfn.XLOOKUP(D1615,Worksheet!$C$3:$C$32,Worksheet!$S$3:$S$32)</f>
        <v>0.64634146341463417</v>
      </c>
    </row>
    <row r="1616" spans="1:6" x14ac:dyDescent="0.2">
      <c r="A1616" s="12" t="s">
        <v>562</v>
      </c>
      <c r="B1616" s="4">
        <v>44591</v>
      </c>
      <c r="C1616">
        <v>1.5</v>
      </c>
      <c r="D1616" t="s">
        <v>72</v>
      </c>
      <c r="E1616">
        <f>_xlfn.XLOOKUP(D1616,Worksheet!$C$3:$C$32,Worksheet!$M$3:$M$32)</f>
        <v>113.7</v>
      </c>
      <c r="F1616" s="19">
        <f>_xlfn.XLOOKUP(D1616,Worksheet!$C$3:$C$32,Worksheet!$S$3:$S$32)</f>
        <v>0.52439024390243905</v>
      </c>
    </row>
    <row r="1617" spans="1:6" x14ac:dyDescent="0.2">
      <c r="A1617" s="12" t="s">
        <v>562</v>
      </c>
      <c r="B1617" s="4">
        <v>44592</v>
      </c>
      <c r="C1617">
        <v>6.2</v>
      </c>
      <c r="D1617" t="s">
        <v>108</v>
      </c>
      <c r="E1617">
        <f>_xlfn.XLOOKUP(D1617,Worksheet!$C$3:$C$32,Worksheet!$M$3:$M$32)</f>
        <v>116.1</v>
      </c>
      <c r="F1617" s="19">
        <f>_xlfn.XLOOKUP(D1617,Worksheet!$C$3:$C$32,Worksheet!$S$3:$S$32)</f>
        <v>0.3048780487804878</v>
      </c>
    </row>
    <row r="1618" spans="1:6" x14ac:dyDescent="0.2">
      <c r="A1618" s="12" t="s">
        <v>562</v>
      </c>
      <c r="B1618" s="4">
        <v>44595</v>
      </c>
      <c r="C1618">
        <v>2.5</v>
      </c>
      <c r="D1618" t="s">
        <v>62</v>
      </c>
      <c r="E1618">
        <f>_xlfn.XLOOKUP(D1618,Worksheet!$C$3:$C$32,Worksheet!$M$3:$M$32)</f>
        <v>113.3</v>
      </c>
      <c r="F1618" s="19">
        <f>_xlfn.XLOOKUP(D1618,Worksheet!$C$3:$C$32,Worksheet!$S$3:$S$32)</f>
        <v>0.40243902439024393</v>
      </c>
    </row>
    <row r="1619" spans="1:6" x14ac:dyDescent="0.2">
      <c r="A1619" s="12" t="s">
        <v>562</v>
      </c>
      <c r="B1619" s="4">
        <v>44598</v>
      </c>
      <c r="C1619">
        <v>9.6</v>
      </c>
      <c r="D1619" t="s">
        <v>126</v>
      </c>
      <c r="E1619">
        <f>_xlfn.XLOOKUP(D1619,Worksheet!$C$3:$C$32,Worksheet!$M$3:$M$32)</f>
        <v>111.8</v>
      </c>
      <c r="F1619" s="19">
        <f>_xlfn.XLOOKUP(D1619,Worksheet!$C$3:$C$32,Worksheet!$S$3:$S$32)</f>
        <v>0.62195121951219512</v>
      </c>
    </row>
    <row r="1620" spans="1:6" x14ac:dyDescent="0.2">
      <c r="A1620" s="12" t="s">
        <v>562</v>
      </c>
      <c r="B1620" s="4">
        <v>44600</v>
      </c>
      <c r="C1620">
        <v>16.3</v>
      </c>
      <c r="D1620" t="s">
        <v>42</v>
      </c>
      <c r="E1620">
        <f>_xlfn.XLOOKUP(D1620,Worksheet!$C$3:$C$32,Worksheet!$M$3:$M$32)</f>
        <v>109</v>
      </c>
      <c r="F1620" s="19">
        <f>_xlfn.XLOOKUP(D1620,Worksheet!$C$3:$C$32,Worksheet!$S$3:$S$32)</f>
        <v>0.68292682926829273</v>
      </c>
    </row>
    <row r="1621" spans="1:6" x14ac:dyDescent="0.2">
      <c r="A1621" s="12" t="s">
        <v>562</v>
      </c>
      <c r="B1621" s="4">
        <v>44602</v>
      </c>
      <c r="C1621">
        <v>11.6</v>
      </c>
      <c r="D1621" t="s">
        <v>49</v>
      </c>
      <c r="E1621">
        <f>_xlfn.XLOOKUP(D1621,Worksheet!$C$3:$C$32,Worksheet!$M$3:$M$32)</f>
        <v>109.4</v>
      </c>
      <c r="F1621" s="19">
        <f>_xlfn.XLOOKUP(D1621,Worksheet!$C$3:$C$32,Worksheet!$S$3:$S$32)</f>
        <v>0.63414634146341464</v>
      </c>
    </row>
    <row r="1622" spans="1:6" x14ac:dyDescent="0.2">
      <c r="A1622" s="12" t="s">
        <v>562</v>
      </c>
      <c r="B1622" s="4">
        <v>44604</v>
      </c>
      <c r="C1622">
        <v>17.399999999999999</v>
      </c>
      <c r="D1622" t="s">
        <v>49</v>
      </c>
      <c r="E1622">
        <f>_xlfn.XLOOKUP(D1622,Worksheet!$C$3:$C$32,Worksheet!$M$3:$M$32)</f>
        <v>109.4</v>
      </c>
      <c r="F1622" s="19">
        <f>_xlfn.XLOOKUP(D1622,Worksheet!$C$3:$C$32,Worksheet!$S$3:$S$32)</f>
        <v>0.63414634146341464</v>
      </c>
    </row>
    <row r="1623" spans="1:6" x14ac:dyDescent="0.2">
      <c r="A1623" s="12" t="s">
        <v>562</v>
      </c>
      <c r="B1623" s="4">
        <v>44606</v>
      </c>
      <c r="C1623">
        <v>21.5</v>
      </c>
      <c r="D1623" t="s">
        <v>33</v>
      </c>
      <c r="E1623">
        <f>_xlfn.XLOOKUP(D1623,Worksheet!$C$3:$C$32,Worksheet!$M$3:$M$32)</f>
        <v>106.9</v>
      </c>
      <c r="F1623" s="19">
        <f>_xlfn.XLOOKUP(D1623,Worksheet!$C$3:$C$32,Worksheet!$S$3:$S$32)</f>
        <v>0.64634146341463417</v>
      </c>
    </row>
    <row r="1624" spans="1:6" x14ac:dyDescent="0.2">
      <c r="A1624" s="12" t="s">
        <v>562</v>
      </c>
      <c r="B1624" s="4">
        <v>44607</v>
      </c>
      <c r="C1624">
        <v>0.1</v>
      </c>
      <c r="D1624" t="s">
        <v>99</v>
      </c>
      <c r="E1624">
        <f>_xlfn.XLOOKUP(D1624,Worksheet!$C$3:$C$32,Worksheet!$M$3:$M$32)</f>
        <v>107.3</v>
      </c>
      <c r="F1624" s="19">
        <f>_xlfn.XLOOKUP(D1624,Worksheet!$C$3:$C$32,Worksheet!$S$3:$S$32)</f>
        <v>0.78048780487804881</v>
      </c>
    </row>
    <row r="1625" spans="1:6" x14ac:dyDescent="0.2">
      <c r="A1625" s="12" t="s">
        <v>562</v>
      </c>
      <c r="B1625" s="4">
        <v>44609</v>
      </c>
      <c r="C1625">
        <v>17</v>
      </c>
      <c r="D1625" t="s">
        <v>76</v>
      </c>
      <c r="E1625">
        <f>_xlfn.XLOOKUP(D1625,Worksheet!$C$3:$C$32,Worksheet!$M$3:$M$32)</f>
        <v>116.7</v>
      </c>
      <c r="F1625" s="19">
        <f>_xlfn.XLOOKUP(D1625,Worksheet!$C$3:$C$32,Worksheet!$S$3:$S$32)</f>
        <v>0.24390243902439024</v>
      </c>
    </row>
    <row r="1626" spans="1:6" x14ac:dyDescent="0.2">
      <c r="A1626" s="12" t="s">
        <v>562</v>
      </c>
      <c r="B1626" s="4">
        <v>44617</v>
      </c>
      <c r="C1626">
        <v>19.5</v>
      </c>
      <c r="D1626" t="s">
        <v>62</v>
      </c>
      <c r="E1626">
        <f>_xlfn.XLOOKUP(D1626,Worksheet!$C$3:$C$32,Worksheet!$M$3:$M$32)</f>
        <v>113.3</v>
      </c>
      <c r="F1626" s="19">
        <f>_xlfn.XLOOKUP(D1626,Worksheet!$C$3:$C$32,Worksheet!$S$3:$S$32)</f>
        <v>0.40243902439024393</v>
      </c>
    </row>
    <row r="1627" spans="1:6" x14ac:dyDescent="0.2">
      <c r="A1627" s="12" t="s">
        <v>562</v>
      </c>
      <c r="B1627" s="4">
        <v>44619</v>
      </c>
      <c r="C1627">
        <v>10.199999999999999</v>
      </c>
      <c r="D1627" t="s">
        <v>76</v>
      </c>
      <c r="E1627">
        <f>_xlfn.XLOOKUP(D1627,Worksheet!$C$3:$C$32,Worksheet!$M$3:$M$32)</f>
        <v>116.7</v>
      </c>
      <c r="F1627" s="19">
        <f>_xlfn.XLOOKUP(D1627,Worksheet!$C$3:$C$32,Worksheet!$S$3:$S$32)</f>
        <v>0.24390243902439024</v>
      </c>
    </row>
    <row r="1628" spans="1:6" x14ac:dyDescent="0.2">
      <c r="A1628" s="12" t="s">
        <v>562</v>
      </c>
      <c r="B1628" s="4">
        <v>44621</v>
      </c>
      <c r="C1628">
        <v>9.1999999999999993</v>
      </c>
      <c r="D1628" t="s">
        <v>76</v>
      </c>
      <c r="E1628">
        <f>_xlfn.XLOOKUP(D1628,Worksheet!$C$3:$C$32,Worksheet!$M$3:$M$32)</f>
        <v>116.7</v>
      </c>
      <c r="F1628" s="19">
        <f>_xlfn.XLOOKUP(D1628,Worksheet!$C$3:$C$32,Worksheet!$S$3:$S$32)</f>
        <v>0.24390243902439024</v>
      </c>
    </row>
    <row r="1629" spans="1:6" x14ac:dyDescent="0.2">
      <c r="A1629" s="12" t="s">
        <v>562</v>
      </c>
      <c r="B1629" s="4">
        <v>44623</v>
      </c>
      <c r="C1629">
        <v>11.6</v>
      </c>
      <c r="D1629" t="s">
        <v>62</v>
      </c>
      <c r="E1629">
        <f>_xlfn.XLOOKUP(D1629,Worksheet!$C$3:$C$32,Worksheet!$M$3:$M$32)</f>
        <v>113.3</v>
      </c>
      <c r="F1629" s="19">
        <f>_xlfn.XLOOKUP(D1629,Worksheet!$C$3:$C$32,Worksheet!$S$3:$S$32)</f>
        <v>0.40243902439024393</v>
      </c>
    </row>
    <row r="1630" spans="1:6" x14ac:dyDescent="0.2">
      <c r="A1630" s="12" t="s">
        <v>562</v>
      </c>
      <c r="B1630" s="4">
        <v>44626</v>
      </c>
      <c r="C1630">
        <v>11.5</v>
      </c>
      <c r="D1630" t="s">
        <v>110</v>
      </c>
      <c r="E1630">
        <f>_xlfn.XLOOKUP(D1630,Worksheet!$C$3:$C$32,Worksheet!$M$3:$M$32)</f>
        <v>110.5</v>
      </c>
      <c r="F1630" s="19">
        <f>_xlfn.XLOOKUP(D1630,Worksheet!$C$3:$C$32,Worksheet!$S$3:$S$32)</f>
        <v>0.45121951219512196</v>
      </c>
    </row>
    <row r="1631" spans="1:6" x14ac:dyDescent="0.2">
      <c r="A1631" s="12" t="s">
        <v>562</v>
      </c>
      <c r="B1631" s="4">
        <v>44628</v>
      </c>
      <c r="C1631">
        <v>3.3</v>
      </c>
      <c r="D1631" t="s">
        <v>33</v>
      </c>
      <c r="E1631">
        <f>_xlfn.XLOOKUP(D1631,Worksheet!$C$3:$C$32,Worksheet!$M$3:$M$32)</f>
        <v>106.9</v>
      </c>
      <c r="F1631" s="19">
        <f>_xlfn.XLOOKUP(D1631,Worksheet!$C$3:$C$32,Worksheet!$S$3:$S$32)</f>
        <v>0.64634146341463417</v>
      </c>
    </row>
    <row r="1632" spans="1:6" x14ac:dyDescent="0.2">
      <c r="A1632" s="12" t="s">
        <v>562</v>
      </c>
      <c r="B1632" s="4">
        <v>44629</v>
      </c>
      <c r="C1632">
        <v>11</v>
      </c>
      <c r="D1632" t="s">
        <v>155</v>
      </c>
      <c r="E1632">
        <f>_xlfn.XLOOKUP(D1632,Worksheet!$C$3:$C$32,Worksheet!$M$3:$M$32)</f>
        <v>114.5</v>
      </c>
      <c r="F1632" s="19">
        <f>_xlfn.XLOOKUP(D1632,Worksheet!$C$3:$C$32,Worksheet!$S$3:$S$32)</f>
        <v>0.42682926829268292</v>
      </c>
    </row>
    <row r="1633" spans="1:6" x14ac:dyDescent="0.2">
      <c r="A1633" s="12" t="s">
        <v>562</v>
      </c>
      <c r="B1633" s="4">
        <v>44631</v>
      </c>
      <c r="C1633">
        <v>3</v>
      </c>
      <c r="D1633" t="s">
        <v>78</v>
      </c>
      <c r="E1633">
        <f>_xlfn.XLOOKUP(D1633,Worksheet!$C$3:$C$32,Worksheet!$M$3:$M$32)</f>
        <v>114.9</v>
      </c>
      <c r="F1633" s="19">
        <f>_xlfn.XLOOKUP(D1633,Worksheet!$C$3:$C$32,Worksheet!$S$3:$S$32)</f>
        <v>0.52439024390243905</v>
      </c>
    </row>
    <row r="1634" spans="1:6" x14ac:dyDescent="0.2">
      <c r="A1634" s="12" t="s">
        <v>562</v>
      </c>
      <c r="B1634" s="4">
        <v>44633</v>
      </c>
      <c r="C1634">
        <v>7.5</v>
      </c>
      <c r="D1634" t="s">
        <v>89</v>
      </c>
      <c r="E1634">
        <f>_xlfn.XLOOKUP(D1634,Worksheet!$C$3:$C$32,Worksheet!$M$3:$M$32)</f>
        <v>113.8</v>
      </c>
      <c r="F1634" s="19">
        <f>_xlfn.XLOOKUP(D1634,Worksheet!$C$3:$C$32,Worksheet!$S$3:$S$32)</f>
        <v>0.28048780487804881</v>
      </c>
    </row>
    <row r="1635" spans="1:6" x14ac:dyDescent="0.2">
      <c r="A1635" s="12" t="s">
        <v>562</v>
      </c>
      <c r="B1635" s="4">
        <v>44634</v>
      </c>
      <c r="C1635">
        <v>12.7</v>
      </c>
      <c r="D1635" t="s">
        <v>87</v>
      </c>
      <c r="E1635">
        <f>_xlfn.XLOOKUP(D1635,Worksheet!$C$3:$C$32,Worksheet!$M$3:$M$32)</f>
        <v>109.7</v>
      </c>
      <c r="F1635" s="19">
        <f>_xlfn.XLOOKUP(D1635,Worksheet!$C$3:$C$32,Worksheet!$S$3:$S$32)</f>
        <v>0.53658536585365857</v>
      </c>
    </row>
    <row r="1636" spans="1:6" x14ac:dyDescent="0.2">
      <c r="A1636" s="12" t="s">
        <v>562</v>
      </c>
      <c r="B1636" s="4">
        <v>44636</v>
      </c>
      <c r="C1636">
        <v>16.600000000000001</v>
      </c>
      <c r="D1636" t="s">
        <v>92</v>
      </c>
      <c r="E1636">
        <f>_xlfn.XLOOKUP(D1636,Worksheet!$C$3:$C$32,Worksheet!$M$3:$M$32)</f>
        <v>110.5</v>
      </c>
      <c r="F1636" s="19">
        <f>_xlfn.XLOOKUP(D1636,Worksheet!$C$3:$C$32,Worksheet!$S$3:$S$32)</f>
        <v>0.58536585365853655</v>
      </c>
    </row>
    <row r="1637" spans="1:6" x14ac:dyDescent="0.2">
      <c r="A1637" s="12" t="s">
        <v>562</v>
      </c>
      <c r="B1637" s="4">
        <v>44638</v>
      </c>
      <c r="C1637">
        <v>10.6</v>
      </c>
      <c r="D1637" t="s">
        <v>118</v>
      </c>
      <c r="E1637">
        <f>_xlfn.XLOOKUP(D1637,Worksheet!$C$3:$C$32,Worksheet!$M$3:$M$32)</f>
        <v>110.5</v>
      </c>
      <c r="F1637" s="19">
        <f>_xlfn.XLOOKUP(D1637,Worksheet!$C$3:$C$32,Worksheet!$S$3:$S$32)</f>
        <v>0.59756097560975607</v>
      </c>
    </row>
    <row r="1638" spans="1:6" x14ac:dyDescent="0.2">
      <c r="A1638" s="12" t="s">
        <v>562</v>
      </c>
      <c r="B1638" s="4">
        <v>44642</v>
      </c>
      <c r="C1638">
        <v>26.1</v>
      </c>
      <c r="D1638" t="s">
        <v>34</v>
      </c>
      <c r="E1638">
        <f>_xlfn.XLOOKUP(D1638,Worksheet!$C$3:$C$32,Worksheet!$M$3:$M$32)</f>
        <v>112.1</v>
      </c>
      <c r="F1638" s="19">
        <f>_xlfn.XLOOKUP(D1638,Worksheet!$C$3:$C$32,Worksheet!$S$3:$S$32)</f>
        <v>0.58536585365853655</v>
      </c>
    </row>
    <row r="1639" spans="1:6" x14ac:dyDescent="0.2">
      <c r="A1639" s="12" t="s">
        <v>562</v>
      </c>
      <c r="B1639" s="4">
        <v>44645</v>
      </c>
      <c r="C1639">
        <v>7.7</v>
      </c>
      <c r="D1639" t="s">
        <v>94</v>
      </c>
      <c r="E1639">
        <f>_xlfn.XLOOKUP(D1639,Worksheet!$C$3:$C$32,Worksheet!$M$3:$M$32)</f>
        <v>110.8</v>
      </c>
      <c r="F1639" s="19">
        <f>_xlfn.XLOOKUP(D1639,Worksheet!$C$3:$C$32,Worksheet!$S$3:$S$32)</f>
        <v>0.62195121951219512</v>
      </c>
    </row>
    <row r="1640" spans="1:6" x14ac:dyDescent="0.2">
      <c r="A1640" s="12" t="s">
        <v>562</v>
      </c>
      <c r="B1640" s="4">
        <v>44649</v>
      </c>
      <c r="C1640">
        <v>9.4</v>
      </c>
      <c r="D1640" t="s">
        <v>118</v>
      </c>
      <c r="E1640">
        <f>_xlfn.XLOOKUP(D1640,Worksheet!$C$3:$C$32,Worksheet!$M$3:$M$32)</f>
        <v>110.5</v>
      </c>
      <c r="F1640" s="19">
        <f>_xlfn.XLOOKUP(D1640,Worksheet!$C$3:$C$32,Worksheet!$S$3:$S$32)</f>
        <v>0.59756097560975607</v>
      </c>
    </row>
    <row r="1641" spans="1:6" x14ac:dyDescent="0.2">
      <c r="A1641" s="12" t="s">
        <v>562</v>
      </c>
      <c r="B1641" s="4">
        <v>44651</v>
      </c>
      <c r="C1641">
        <v>2.5</v>
      </c>
      <c r="D1641" t="s">
        <v>82</v>
      </c>
      <c r="E1641">
        <f>_xlfn.XLOOKUP(D1641,Worksheet!$C$3:$C$32,Worksheet!$M$3:$M$32)</f>
        <v>113.6</v>
      </c>
      <c r="F1641" s="19">
        <f>_xlfn.XLOOKUP(D1641,Worksheet!$C$3:$C$32,Worksheet!$S$3:$S$32)</f>
        <v>0.56097560975609762</v>
      </c>
    </row>
    <row r="1642" spans="1:6" x14ac:dyDescent="0.2">
      <c r="A1642" s="12" t="s">
        <v>562</v>
      </c>
      <c r="B1642" s="4">
        <v>44652</v>
      </c>
      <c r="C1642">
        <v>13.7</v>
      </c>
      <c r="D1642" t="s">
        <v>126</v>
      </c>
      <c r="E1642">
        <f>_xlfn.XLOOKUP(D1642,Worksheet!$C$3:$C$32,Worksheet!$M$3:$M$32)</f>
        <v>111.8</v>
      </c>
      <c r="F1642" s="19">
        <f>_xlfn.XLOOKUP(D1642,Worksheet!$C$3:$C$32,Worksheet!$S$3:$S$32)</f>
        <v>0.62195121951219512</v>
      </c>
    </row>
    <row r="1643" spans="1:6" x14ac:dyDescent="0.2">
      <c r="A1643" s="12" t="s">
        <v>562</v>
      </c>
      <c r="B1643" s="4">
        <v>44654</v>
      </c>
      <c r="C1643">
        <v>11.8</v>
      </c>
      <c r="D1643" t="s">
        <v>74</v>
      </c>
      <c r="E1643">
        <f>_xlfn.XLOOKUP(D1643,Worksheet!$C$3:$C$32,Worksheet!$M$3:$M$32)</f>
        <v>113</v>
      </c>
      <c r="F1643" s="19">
        <f>_xlfn.XLOOKUP(D1643,Worksheet!$C$3:$C$32,Worksheet!$S$3:$S$32)</f>
        <v>0.43902439024390244</v>
      </c>
    </row>
    <row r="1644" spans="1:6" x14ac:dyDescent="0.2">
      <c r="A1644" s="12" t="s">
        <v>562</v>
      </c>
      <c r="B1644" s="4">
        <v>44657</v>
      </c>
      <c r="C1644">
        <v>7.9</v>
      </c>
      <c r="D1644" t="s">
        <v>99</v>
      </c>
      <c r="E1644">
        <f>_xlfn.XLOOKUP(D1644,Worksheet!$C$3:$C$32,Worksheet!$M$3:$M$32)</f>
        <v>107.3</v>
      </c>
      <c r="F1644" s="19">
        <f>_xlfn.XLOOKUP(D1644,Worksheet!$C$3:$C$32,Worksheet!$S$3:$S$32)</f>
        <v>0.78048780487804881</v>
      </c>
    </row>
    <row r="1645" spans="1:6" x14ac:dyDescent="0.2">
      <c r="A1645" s="12" t="s">
        <v>562</v>
      </c>
      <c r="B1645" s="4">
        <v>44660</v>
      </c>
      <c r="C1645">
        <v>1</v>
      </c>
      <c r="D1645" t="s">
        <v>66</v>
      </c>
      <c r="E1645">
        <f>_xlfn.XLOOKUP(D1645,Worksheet!$C$3:$C$32,Worksheet!$M$3:$M$32)</f>
        <v>115.3</v>
      </c>
      <c r="F1645" s="19">
        <f>_xlfn.XLOOKUP(D1645,Worksheet!$C$3:$C$32,Worksheet!$S$3:$S$32)</f>
        <v>0.36585365853658536</v>
      </c>
    </row>
    <row r="1646" spans="1:6" x14ac:dyDescent="0.2">
      <c r="A1646" s="12" t="s">
        <v>562</v>
      </c>
      <c r="B1646" s="4">
        <v>44661</v>
      </c>
      <c r="C1646">
        <v>10.7</v>
      </c>
      <c r="D1646" t="s">
        <v>68</v>
      </c>
      <c r="E1646">
        <f>_xlfn.XLOOKUP(D1646,Worksheet!$C$3:$C$32,Worksheet!$M$3:$M$32)</f>
        <v>112.8</v>
      </c>
      <c r="F1646" s="19">
        <f>_xlfn.XLOOKUP(D1646,Worksheet!$C$3:$C$32,Worksheet!$S$3:$S$32)</f>
        <v>0.29268292682926828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32C4-A625-F841-9B7B-97C3C7A32659}">
  <dimension ref="A1:AF33"/>
  <sheetViews>
    <sheetView topLeftCell="A2" zoomScale="262" workbookViewId="0">
      <selection activeCell="C12" sqref="C12"/>
    </sheetView>
  </sheetViews>
  <sheetFormatPr baseColWidth="10" defaultColWidth="8.83203125" defaultRowHeight="16" x14ac:dyDescent="0.2"/>
  <cols>
    <col min="1" max="1" width="3" bestFit="1" customWidth="1"/>
    <col min="2" max="2" width="18.33203125" bestFit="1" customWidth="1"/>
    <col min="3" max="3" width="18.33203125" customWidth="1"/>
    <col min="4" max="4" width="4.5" bestFit="1" customWidth="1"/>
    <col min="5" max="6" width="2.83203125" bestFit="1" customWidth="1"/>
    <col min="7" max="7" width="3.33203125" bestFit="1" customWidth="1"/>
    <col min="8" max="8" width="2.83203125" bestFit="1" customWidth="1"/>
    <col min="9" max="11" width="5" bestFit="1" customWidth="1"/>
    <col min="12" max="13" width="5.33203125" bestFit="1" customWidth="1"/>
    <col min="14" max="14" width="4.5" bestFit="1" customWidth="1"/>
    <col min="15" max="18" width="5.33203125" bestFit="1" customWidth="1"/>
    <col min="19" max="19" width="10.6640625" bestFit="1" customWidth="1"/>
    <col min="20" max="21" width="5.33203125" bestFit="1" customWidth="1"/>
    <col min="22" max="22" width="5.6640625" bestFit="1" customWidth="1"/>
    <col min="23" max="23" width="6.33203125" bestFit="1" customWidth="1"/>
    <col min="25" max="26" width="5.33203125" bestFit="1" customWidth="1"/>
    <col min="27" max="27" width="5.5" bestFit="1" customWidth="1"/>
    <col min="28" max="28" width="6.33203125" bestFit="1" customWidth="1"/>
    <col min="30" max="30" width="19.83203125" bestFit="1" customWidth="1"/>
    <col min="31" max="31" width="6.6640625" bestFit="1" customWidth="1"/>
    <col min="32" max="32" width="7.83203125" bestFit="1" customWidth="1"/>
  </cols>
  <sheetData>
    <row r="1" spans="1:32" ht="14" customHeight="1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  <c r="T1" s="15" t="s">
        <v>563</v>
      </c>
      <c r="U1" s="16"/>
      <c r="V1" s="16"/>
      <c r="W1" s="16"/>
      <c r="X1" s="1"/>
      <c r="Y1" s="16" t="s">
        <v>564</v>
      </c>
      <c r="Z1" s="16"/>
      <c r="AA1" s="16"/>
      <c r="AB1" s="16"/>
      <c r="AC1" s="16"/>
      <c r="AD1" s="16"/>
      <c r="AE1" s="16"/>
      <c r="AF1" s="16"/>
    </row>
    <row r="2" spans="1:32" x14ac:dyDescent="0.2">
      <c r="A2" s="1" t="s">
        <v>0</v>
      </c>
      <c r="B2" s="1" t="s">
        <v>4</v>
      </c>
      <c r="C2" s="1" t="s">
        <v>565</v>
      </c>
      <c r="D2" s="1" t="s">
        <v>566</v>
      </c>
      <c r="E2" s="1" t="s">
        <v>567</v>
      </c>
      <c r="F2" s="1" t="s">
        <v>568</v>
      </c>
      <c r="G2" s="1" t="s">
        <v>569</v>
      </c>
      <c r="H2" s="1" t="s">
        <v>570</v>
      </c>
      <c r="I2" s="1" t="s">
        <v>571</v>
      </c>
      <c r="J2" s="1" t="s">
        <v>572</v>
      </c>
      <c r="K2" s="1" t="s">
        <v>573</v>
      </c>
      <c r="L2" s="1" t="s">
        <v>574</v>
      </c>
      <c r="M2" s="1" t="s">
        <v>575</v>
      </c>
      <c r="N2" s="1" t="s">
        <v>576</v>
      </c>
      <c r="O2" s="1" t="s">
        <v>577</v>
      </c>
      <c r="P2" s="1" t="s">
        <v>578</v>
      </c>
      <c r="Q2" s="1" t="s">
        <v>579</v>
      </c>
      <c r="R2" s="1" t="s">
        <v>580</v>
      </c>
      <c r="S2" s="1" t="s">
        <v>581</v>
      </c>
      <c r="T2" s="1" t="s">
        <v>18</v>
      </c>
      <c r="U2" s="1" t="s">
        <v>582</v>
      </c>
      <c r="V2" s="1" t="s">
        <v>583</v>
      </c>
      <c r="W2" s="1" t="s">
        <v>584</v>
      </c>
      <c r="X2" s="1"/>
      <c r="Y2" s="1" t="s">
        <v>18</v>
      </c>
      <c r="Z2" s="1" t="s">
        <v>582</v>
      </c>
      <c r="AA2" s="1" t="s">
        <v>585</v>
      </c>
      <c r="AB2" s="1" t="s">
        <v>584</v>
      </c>
      <c r="AC2" s="1"/>
      <c r="AD2" s="1" t="s">
        <v>586</v>
      </c>
      <c r="AE2" s="1" t="s">
        <v>587</v>
      </c>
      <c r="AF2" s="1" t="s">
        <v>588</v>
      </c>
    </row>
    <row r="3" spans="1:32" x14ac:dyDescent="0.2">
      <c r="A3" s="1">
        <v>1</v>
      </c>
      <c r="B3" s="3" t="s">
        <v>589</v>
      </c>
      <c r="C3" s="3" t="s">
        <v>55</v>
      </c>
      <c r="D3" s="3">
        <v>26.1</v>
      </c>
      <c r="E3" s="3">
        <v>51</v>
      </c>
      <c r="F3" s="3">
        <v>31</v>
      </c>
      <c r="G3" s="3">
        <v>59</v>
      </c>
      <c r="H3" s="3">
        <v>23</v>
      </c>
      <c r="I3" s="3">
        <v>7.28</v>
      </c>
      <c r="J3" s="3">
        <v>-0.26</v>
      </c>
      <c r="K3" s="3">
        <v>7.02</v>
      </c>
      <c r="L3" s="3">
        <v>114.4</v>
      </c>
      <c r="M3" s="3">
        <v>106.9</v>
      </c>
      <c r="N3" s="3">
        <v>7.5</v>
      </c>
      <c r="O3" s="3">
        <v>96.6</v>
      </c>
      <c r="P3" s="3">
        <v>0.23899999999999999</v>
      </c>
      <c r="Q3" s="3">
        <v>0.42499999999999999</v>
      </c>
      <c r="R3" s="3">
        <v>0.57799999999999996</v>
      </c>
      <c r="S3" s="17">
        <f>E3/SUM(E3:F3)</f>
        <v>0.62195121951219512</v>
      </c>
      <c r="T3" s="3">
        <v>0.54200000000000004</v>
      </c>
      <c r="U3" s="3">
        <v>12.4</v>
      </c>
      <c r="V3" s="3">
        <v>24</v>
      </c>
      <c r="W3" s="3">
        <v>0.19500000000000001</v>
      </c>
      <c r="X3" s="2"/>
      <c r="Y3" s="3">
        <v>0.502</v>
      </c>
      <c r="Z3" s="3">
        <v>12.5</v>
      </c>
      <c r="AA3" s="3">
        <v>77.3</v>
      </c>
      <c r="AB3" s="3">
        <v>0.183</v>
      </c>
      <c r="AC3" s="2"/>
      <c r="AD3" s="3" t="s">
        <v>590</v>
      </c>
      <c r="AE3" s="18">
        <v>785396</v>
      </c>
      <c r="AF3" s="18">
        <v>19156</v>
      </c>
    </row>
    <row r="4" spans="1:32" x14ac:dyDescent="0.2">
      <c r="A4" s="1">
        <v>2</v>
      </c>
      <c r="B4" s="3" t="s">
        <v>591</v>
      </c>
      <c r="C4" s="3" t="s">
        <v>99</v>
      </c>
      <c r="D4" s="3">
        <v>27.5</v>
      </c>
      <c r="E4" s="3">
        <v>64</v>
      </c>
      <c r="F4" s="3">
        <v>18</v>
      </c>
      <c r="G4" s="3">
        <v>59</v>
      </c>
      <c r="H4" s="3">
        <v>23</v>
      </c>
      <c r="I4" s="3">
        <v>7.5</v>
      </c>
      <c r="J4" s="3">
        <v>-0.56000000000000005</v>
      </c>
      <c r="K4" s="3">
        <v>6.94</v>
      </c>
      <c r="L4" s="3">
        <v>114.8</v>
      </c>
      <c r="M4" s="3">
        <v>107.3</v>
      </c>
      <c r="N4" s="3">
        <v>7.5</v>
      </c>
      <c r="O4" s="3">
        <v>99.8</v>
      </c>
      <c r="P4" s="3">
        <v>0.221</v>
      </c>
      <c r="Q4" s="3">
        <v>0.35399999999999998</v>
      </c>
      <c r="R4" s="3">
        <v>0.58099999999999996</v>
      </c>
      <c r="S4" s="17">
        <f t="shared" ref="S4:S32" si="0">E4/SUM(E4:F4)</f>
        <v>0.78048780487804881</v>
      </c>
      <c r="T4" s="3">
        <v>0.54900000000000004</v>
      </c>
      <c r="U4" s="3">
        <v>11.6</v>
      </c>
      <c r="V4" s="3">
        <v>22.3</v>
      </c>
      <c r="W4" s="3">
        <v>0.17599999999999999</v>
      </c>
      <c r="X4" s="2"/>
      <c r="Y4" s="3">
        <v>0.51</v>
      </c>
      <c r="Z4" s="3">
        <v>13</v>
      </c>
      <c r="AA4" s="3">
        <v>77.099999999999994</v>
      </c>
      <c r="AB4" s="3">
        <v>0.19500000000000001</v>
      </c>
      <c r="AC4" s="2"/>
      <c r="AD4" s="3" t="s">
        <v>592</v>
      </c>
      <c r="AE4" s="18">
        <v>663171</v>
      </c>
      <c r="AF4" s="18">
        <v>16175</v>
      </c>
    </row>
    <row r="5" spans="1:32" x14ac:dyDescent="0.2">
      <c r="A5" s="1">
        <v>3</v>
      </c>
      <c r="B5" s="3" t="s">
        <v>593</v>
      </c>
      <c r="C5" s="3" t="s">
        <v>118</v>
      </c>
      <c r="D5" s="3">
        <v>29.3</v>
      </c>
      <c r="E5" s="3">
        <v>49</v>
      </c>
      <c r="F5" s="3">
        <v>33</v>
      </c>
      <c r="G5" s="3">
        <v>56</v>
      </c>
      <c r="H5" s="3">
        <v>26</v>
      </c>
      <c r="I5" s="3">
        <v>6.04</v>
      </c>
      <c r="J5" s="3">
        <v>-0.37</v>
      </c>
      <c r="K5" s="3">
        <v>5.67</v>
      </c>
      <c r="L5" s="3">
        <v>116.7</v>
      </c>
      <c r="M5" s="3">
        <v>110.5</v>
      </c>
      <c r="N5" s="3">
        <v>6.2</v>
      </c>
      <c r="O5" s="3">
        <v>97.1</v>
      </c>
      <c r="P5" s="3">
        <v>0.27100000000000002</v>
      </c>
      <c r="Q5" s="3">
        <v>0.46800000000000003</v>
      </c>
      <c r="R5" s="3">
        <v>0.58899999999999997</v>
      </c>
      <c r="S5" s="17">
        <f t="shared" si="0"/>
        <v>0.59756097560975607</v>
      </c>
      <c r="T5" s="3">
        <v>0.55500000000000005</v>
      </c>
      <c r="U5" s="3">
        <v>12.7</v>
      </c>
      <c r="V5" s="3">
        <v>25.4</v>
      </c>
      <c r="W5" s="3">
        <v>0.20799999999999999</v>
      </c>
      <c r="X5" s="2"/>
      <c r="Y5" s="3">
        <v>0.52100000000000002</v>
      </c>
      <c r="Z5" s="3">
        <v>10.9</v>
      </c>
      <c r="AA5" s="3">
        <v>78.3</v>
      </c>
      <c r="AB5" s="3">
        <v>0.16400000000000001</v>
      </c>
      <c r="AC5" s="2"/>
      <c r="AD5" s="3" t="s">
        <v>594</v>
      </c>
      <c r="AE5" s="18">
        <v>750546</v>
      </c>
      <c r="AF5" s="18">
        <v>18306</v>
      </c>
    </row>
    <row r="6" spans="1:32" x14ac:dyDescent="0.2">
      <c r="A6" s="1">
        <v>4</v>
      </c>
      <c r="B6" s="3" t="s">
        <v>595</v>
      </c>
      <c r="C6" s="3" t="s">
        <v>42</v>
      </c>
      <c r="D6" s="3">
        <v>24</v>
      </c>
      <c r="E6" s="3">
        <v>56</v>
      </c>
      <c r="F6" s="3">
        <v>26</v>
      </c>
      <c r="G6" s="3">
        <v>55</v>
      </c>
      <c r="H6" s="3">
        <v>27</v>
      </c>
      <c r="I6" s="3">
        <v>5.68</v>
      </c>
      <c r="J6" s="3">
        <v>-0.32</v>
      </c>
      <c r="K6" s="3">
        <v>5.37</v>
      </c>
      <c r="L6" s="3">
        <v>114.6</v>
      </c>
      <c r="M6" s="3">
        <v>109</v>
      </c>
      <c r="N6" s="3">
        <v>5.6</v>
      </c>
      <c r="O6" s="3">
        <v>100.3</v>
      </c>
      <c r="P6" s="3">
        <v>0.245</v>
      </c>
      <c r="Q6" s="3">
        <v>0.34599999999999997</v>
      </c>
      <c r="R6" s="3">
        <v>0.55300000000000005</v>
      </c>
      <c r="S6" s="17">
        <f t="shared" si="0"/>
        <v>0.68292682926829273</v>
      </c>
      <c r="T6" s="3">
        <v>0.52200000000000002</v>
      </c>
      <c r="U6" s="3">
        <v>11.2</v>
      </c>
      <c r="V6" s="3">
        <v>30</v>
      </c>
      <c r="W6" s="3">
        <v>0.18</v>
      </c>
      <c r="X6" s="2"/>
      <c r="Y6" s="3">
        <v>0.52300000000000002</v>
      </c>
      <c r="Z6" s="3">
        <v>13.3</v>
      </c>
      <c r="AA6" s="3">
        <v>77.8</v>
      </c>
      <c r="AB6" s="3">
        <v>0.19500000000000001</v>
      </c>
      <c r="AC6" s="2"/>
      <c r="AD6" s="3" t="s">
        <v>596</v>
      </c>
      <c r="AE6" s="18">
        <v>646785</v>
      </c>
      <c r="AF6" s="18">
        <v>15775</v>
      </c>
    </row>
    <row r="7" spans="1:32" x14ac:dyDescent="0.2">
      <c r="A7" s="1">
        <v>5</v>
      </c>
      <c r="B7" s="3" t="s">
        <v>597</v>
      </c>
      <c r="C7" s="3" t="s">
        <v>33</v>
      </c>
      <c r="D7" s="3">
        <v>27.6</v>
      </c>
      <c r="E7" s="3">
        <v>53</v>
      </c>
      <c r="F7" s="3">
        <v>29</v>
      </c>
      <c r="G7" s="3">
        <v>55</v>
      </c>
      <c r="H7" s="3">
        <v>27</v>
      </c>
      <c r="I7" s="3">
        <v>5.54</v>
      </c>
      <c r="J7" s="3">
        <v>-0.02</v>
      </c>
      <c r="K7" s="3">
        <v>5.52</v>
      </c>
      <c r="L7" s="3">
        <v>112.5</v>
      </c>
      <c r="M7" s="3">
        <v>106.9</v>
      </c>
      <c r="N7" s="3">
        <v>5.6</v>
      </c>
      <c r="O7" s="3">
        <v>98.4</v>
      </c>
      <c r="P7" s="3">
        <v>0.23499999999999999</v>
      </c>
      <c r="Q7" s="3">
        <v>0.45600000000000002</v>
      </c>
      <c r="R7" s="3">
        <v>0.58199999999999996</v>
      </c>
      <c r="S7" s="17">
        <f t="shared" si="0"/>
        <v>0.64634146341463417</v>
      </c>
      <c r="T7" s="3">
        <v>0.55200000000000005</v>
      </c>
      <c r="U7" s="3">
        <v>13.5</v>
      </c>
      <c r="V7" s="3">
        <v>22.8</v>
      </c>
      <c r="W7" s="3">
        <v>0.18099999999999999</v>
      </c>
      <c r="X7" s="2"/>
      <c r="Y7" s="3">
        <v>0.50900000000000001</v>
      </c>
      <c r="Z7" s="3">
        <v>13</v>
      </c>
      <c r="AA7" s="3">
        <v>78.7</v>
      </c>
      <c r="AB7" s="3">
        <v>0.20100000000000001</v>
      </c>
      <c r="AC7" s="2"/>
      <c r="AD7" s="3" t="s">
        <v>598</v>
      </c>
      <c r="AE7" s="18">
        <v>740624</v>
      </c>
      <c r="AF7" s="18">
        <v>18064</v>
      </c>
    </row>
    <row r="8" spans="1:32" x14ac:dyDescent="0.2">
      <c r="A8" s="1">
        <v>6</v>
      </c>
      <c r="B8" s="3" t="s">
        <v>599</v>
      </c>
      <c r="C8" s="3" t="s">
        <v>120</v>
      </c>
      <c r="D8" s="3">
        <v>28.2</v>
      </c>
      <c r="E8" s="3">
        <v>53</v>
      </c>
      <c r="F8" s="3">
        <v>29</v>
      </c>
      <c r="G8" s="3">
        <v>53</v>
      </c>
      <c r="H8" s="3">
        <v>29</v>
      </c>
      <c r="I8" s="3">
        <v>4.45</v>
      </c>
      <c r="J8" s="3">
        <v>-0.22</v>
      </c>
      <c r="K8" s="3">
        <v>4.2300000000000004</v>
      </c>
      <c r="L8" s="3">
        <v>113.7</v>
      </c>
      <c r="M8" s="3">
        <v>109.1</v>
      </c>
      <c r="N8" s="3">
        <v>4.5999999999999996</v>
      </c>
      <c r="O8" s="3">
        <v>95.9</v>
      </c>
      <c r="P8" s="3">
        <v>0.252</v>
      </c>
      <c r="Q8" s="3">
        <v>0.42199999999999999</v>
      </c>
      <c r="R8" s="3">
        <v>0.58399999999999996</v>
      </c>
      <c r="S8" s="17">
        <f t="shared" si="0"/>
        <v>0.64634146341463417</v>
      </c>
      <c r="T8" s="3">
        <v>0.54700000000000004</v>
      </c>
      <c r="U8" s="3">
        <v>13.4</v>
      </c>
      <c r="V8" s="3">
        <v>23.5</v>
      </c>
      <c r="W8" s="3">
        <v>0.20399999999999999</v>
      </c>
      <c r="X8" s="2"/>
      <c r="Y8" s="3">
        <v>0.52400000000000002</v>
      </c>
      <c r="Z8" s="3">
        <v>13.8</v>
      </c>
      <c r="AA8" s="3">
        <v>78</v>
      </c>
      <c r="AB8" s="3">
        <v>0.20899999999999999</v>
      </c>
      <c r="AC8" s="2"/>
      <c r="AD8" s="3" t="s">
        <v>600</v>
      </c>
      <c r="AE8" s="18">
        <v>804761</v>
      </c>
      <c r="AF8" s="18">
        <v>19628</v>
      </c>
    </row>
    <row r="9" spans="1:32" x14ac:dyDescent="0.2">
      <c r="A9" s="1">
        <v>7</v>
      </c>
      <c r="B9" s="3" t="s">
        <v>601</v>
      </c>
      <c r="C9" s="3" t="s">
        <v>49</v>
      </c>
      <c r="D9" s="3">
        <v>26.7</v>
      </c>
      <c r="E9" s="3">
        <v>52</v>
      </c>
      <c r="F9" s="3">
        <v>30</v>
      </c>
      <c r="G9" s="3">
        <v>50</v>
      </c>
      <c r="H9" s="3">
        <v>32</v>
      </c>
      <c r="I9" s="3">
        <v>3.3</v>
      </c>
      <c r="J9" s="3">
        <v>-0.18</v>
      </c>
      <c r="K9" s="3">
        <v>3.12</v>
      </c>
      <c r="L9" s="3">
        <v>112.8</v>
      </c>
      <c r="M9" s="3">
        <v>109.4</v>
      </c>
      <c r="N9" s="3">
        <v>3.4</v>
      </c>
      <c r="O9" s="3">
        <v>95.4</v>
      </c>
      <c r="P9" s="3">
        <v>0.249</v>
      </c>
      <c r="Q9" s="3">
        <v>0.439</v>
      </c>
      <c r="R9" s="3">
        <v>0.57199999999999995</v>
      </c>
      <c r="S9" s="17">
        <f t="shared" si="0"/>
        <v>0.63414634146341464</v>
      </c>
      <c r="T9" s="3">
        <v>0.53800000000000003</v>
      </c>
      <c r="U9" s="3">
        <v>11.7</v>
      </c>
      <c r="V9" s="3">
        <v>21.3</v>
      </c>
      <c r="W9" s="3">
        <v>0.192</v>
      </c>
      <c r="X9" s="2"/>
      <c r="Y9" s="3">
        <v>0.52100000000000002</v>
      </c>
      <c r="Z9" s="3">
        <v>12.2</v>
      </c>
      <c r="AA9" s="3">
        <v>78</v>
      </c>
      <c r="AB9" s="3">
        <v>0.185</v>
      </c>
      <c r="AC9" s="2"/>
      <c r="AD9" s="3" t="s">
        <v>602</v>
      </c>
      <c r="AE9" s="18">
        <v>808037</v>
      </c>
      <c r="AF9" s="18">
        <v>19708</v>
      </c>
    </row>
    <row r="10" spans="1:32" x14ac:dyDescent="0.2">
      <c r="A10" s="1">
        <v>8</v>
      </c>
      <c r="B10" s="3" t="s">
        <v>603</v>
      </c>
      <c r="C10" s="3" t="s">
        <v>126</v>
      </c>
      <c r="D10" s="3">
        <v>28.5</v>
      </c>
      <c r="E10" s="3">
        <v>51</v>
      </c>
      <c r="F10" s="3">
        <v>31</v>
      </c>
      <c r="G10" s="3">
        <v>49</v>
      </c>
      <c r="H10" s="3">
        <v>33</v>
      </c>
      <c r="I10" s="3">
        <v>3.35</v>
      </c>
      <c r="J10" s="3">
        <v>-0.14000000000000001</v>
      </c>
      <c r="K10" s="3">
        <v>3.22</v>
      </c>
      <c r="L10" s="3">
        <v>115.1</v>
      </c>
      <c r="M10" s="3">
        <v>111.8</v>
      </c>
      <c r="N10" s="3">
        <v>3.3</v>
      </c>
      <c r="O10" s="3">
        <v>99.9</v>
      </c>
      <c r="P10" s="3">
        <v>0.25700000000000001</v>
      </c>
      <c r="Q10" s="3">
        <v>0.43</v>
      </c>
      <c r="R10" s="3">
        <v>0.57999999999999996</v>
      </c>
      <c r="S10" s="17">
        <f t="shared" si="0"/>
        <v>0.62195121951219512</v>
      </c>
      <c r="T10" s="3">
        <v>0.54600000000000004</v>
      </c>
      <c r="U10" s="3">
        <v>11.9</v>
      </c>
      <c r="V10" s="3">
        <v>23</v>
      </c>
      <c r="W10" s="3">
        <v>0.19900000000000001</v>
      </c>
      <c r="X10" s="2"/>
      <c r="Y10" s="3">
        <v>0.53600000000000003</v>
      </c>
      <c r="Z10" s="3">
        <v>11.6</v>
      </c>
      <c r="AA10" s="3">
        <v>78.599999999999994</v>
      </c>
      <c r="AB10" s="3">
        <v>0.16500000000000001</v>
      </c>
      <c r="AC10" s="2"/>
      <c r="AD10" s="3" t="s">
        <v>604</v>
      </c>
      <c r="AE10" s="18">
        <v>715581</v>
      </c>
      <c r="AF10" s="18">
        <v>17453</v>
      </c>
    </row>
    <row r="11" spans="1:32" x14ac:dyDescent="0.2">
      <c r="A11" s="1">
        <v>9</v>
      </c>
      <c r="B11" s="3" t="s">
        <v>605</v>
      </c>
      <c r="C11" s="3" t="s">
        <v>94</v>
      </c>
      <c r="D11" s="3">
        <v>26.8</v>
      </c>
      <c r="E11" s="3">
        <v>51</v>
      </c>
      <c r="F11" s="3">
        <v>31</v>
      </c>
      <c r="G11" s="3">
        <v>48</v>
      </c>
      <c r="H11" s="3">
        <v>34</v>
      </c>
      <c r="I11" s="3">
        <v>2.61</v>
      </c>
      <c r="J11" s="3">
        <v>-0.04</v>
      </c>
      <c r="K11" s="3">
        <v>2.57</v>
      </c>
      <c r="L11" s="3">
        <v>113.5</v>
      </c>
      <c r="M11" s="3">
        <v>110.8</v>
      </c>
      <c r="N11" s="3">
        <v>2.7</v>
      </c>
      <c r="O11" s="3">
        <v>96.2</v>
      </c>
      <c r="P11" s="3">
        <v>0.28199999999999997</v>
      </c>
      <c r="Q11" s="3">
        <v>0.376</v>
      </c>
      <c r="R11" s="3">
        <v>0.57799999999999996</v>
      </c>
      <c r="S11" s="17">
        <f t="shared" si="0"/>
        <v>0.62195121951219512</v>
      </c>
      <c r="T11" s="3">
        <v>0.53400000000000003</v>
      </c>
      <c r="U11" s="3">
        <v>11.6</v>
      </c>
      <c r="V11" s="3">
        <v>20.100000000000001</v>
      </c>
      <c r="W11" s="3">
        <v>0.23200000000000001</v>
      </c>
      <c r="X11" s="2"/>
      <c r="Y11" s="3">
        <v>0.52400000000000002</v>
      </c>
      <c r="Z11" s="3">
        <v>12.1</v>
      </c>
      <c r="AA11" s="3">
        <v>76.8</v>
      </c>
      <c r="AB11" s="3">
        <v>0.192</v>
      </c>
      <c r="AC11" s="2"/>
      <c r="AD11" s="3" t="s">
        <v>606</v>
      </c>
      <c r="AE11" s="18">
        <v>846867</v>
      </c>
      <c r="AF11" s="18">
        <v>20655</v>
      </c>
    </row>
    <row r="12" spans="1:32" x14ac:dyDescent="0.2">
      <c r="A12" s="1">
        <v>10</v>
      </c>
      <c r="B12" s="3" t="s">
        <v>607</v>
      </c>
      <c r="C12" s="3" t="s">
        <v>80</v>
      </c>
      <c r="D12" s="3">
        <v>24.2</v>
      </c>
      <c r="E12" s="3">
        <v>46</v>
      </c>
      <c r="F12" s="3">
        <v>36</v>
      </c>
      <c r="G12" s="3">
        <v>48</v>
      </c>
      <c r="H12" s="3">
        <v>34</v>
      </c>
      <c r="I12" s="3">
        <v>2.63</v>
      </c>
      <c r="J12" s="3">
        <v>-0.1</v>
      </c>
      <c r="K12" s="3">
        <v>2.5299999999999998</v>
      </c>
      <c r="L12" s="3">
        <v>114.3</v>
      </c>
      <c r="M12" s="3">
        <v>111.7</v>
      </c>
      <c r="N12" s="3">
        <v>2.6</v>
      </c>
      <c r="O12" s="3">
        <v>100.9</v>
      </c>
      <c r="P12" s="3">
        <v>0.254</v>
      </c>
      <c r="Q12" s="3">
        <v>0.45400000000000001</v>
      </c>
      <c r="R12" s="3">
        <v>0.57299999999999995</v>
      </c>
      <c r="S12" s="17">
        <f t="shared" si="0"/>
        <v>0.56097560975609762</v>
      </c>
      <c r="T12" s="3">
        <v>0.53900000000000003</v>
      </c>
      <c r="U12" s="3">
        <v>12.4</v>
      </c>
      <c r="V12" s="3">
        <v>24.4</v>
      </c>
      <c r="W12" s="3">
        <v>0.19800000000000001</v>
      </c>
      <c r="X12" s="2"/>
      <c r="Y12" s="3">
        <v>0.53500000000000003</v>
      </c>
      <c r="Z12" s="3">
        <v>14.2</v>
      </c>
      <c r="AA12" s="3">
        <v>74.900000000000006</v>
      </c>
      <c r="AB12" s="3">
        <v>0.22700000000000001</v>
      </c>
      <c r="AC12" s="2"/>
      <c r="AD12" s="3" t="s">
        <v>608</v>
      </c>
      <c r="AE12" s="18">
        <v>657148</v>
      </c>
      <c r="AF12" s="18">
        <v>16028</v>
      </c>
    </row>
    <row r="13" spans="1:32" x14ac:dyDescent="0.2">
      <c r="A13" s="1">
        <v>11</v>
      </c>
      <c r="B13" s="3" t="s">
        <v>609</v>
      </c>
      <c r="C13" s="3" t="s">
        <v>34</v>
      </c>
      <c r="D13" s="3">
        <v>27.7</v>
      </c>
      <c r="E13" s="3">
        <v>48</v>
      </c>
      <c r="F13" s="3">
        <v>34</v>
      </c>
      <c r="G13" s="3">
        <v>47</v>
      </c>
      <c r="H13" s="3">
        <v>35</v>
      </c>
      <c r="I13" s="3">
        <v>2.2999999999999998</v>
      </c>
      <c r="J13" s="3">
        <v>-0.15</v>
      </c>
      <c r="K13" s="3">
        <v>2.16</v>
      </c>
      <c r="L13" s="3">
        <v>114.5</v>
      </c>
      <c r="M13" s="3">
        <v>112.1</v>
      </c>
      <c r="N13" s="3">
        <v>2.4</v>
      </c>
      <c r="O13" s="3">
        <v>97.8</v>
      </c>
      <c r="P13" s="3">
        <v>0.24399999999999999</v>
      </c>
      <c r="Q13" s="3">
        <v>0.41599999999999998</v>
      </c>
      <c r="R13" s="3">
        <v>0.59</v>
      </c>
      <c r="S13" s="17">
        <f t="shared" si="0"/>
        <v>0.58536585365853655</v>
      </c>
      <c r="T13" s="3">
        <v>0.55600000000000005</v>
      </c>
      <c r="U13" s="3">
        <v>13.2</v>
      </c>
      <c r="V13" s="3">
        <v>21.9</v>
      </c>
      <c r="W13" s="3">
        <v>0.19400000000000001</v>
      </c>
      <c r="X13" s="2"/>
      <c r="Y13" s="3">
        <v>0.53700000000000003</v>
      </c>
      <c r="Z13" s="3">
        <v>11.7</v>
      </c>
      <c r="AA13" s="3">
        <v>78.3</v>
      </c>
      <c r="AB13" s="3">
        <v>0.188</v>
      </c>
      <c r="AC13" s="2"/>
      <c r="AD13" s="3" t="s">
        <v>610</v>
      </c>
      <c r="AE13" s="18">
        <v>695262</v>
      </c>
      <c r="AF13" s="18">
        <v>16958</v>
      </c>
    </row>
    <row r="14" spans="1:32" x14ac:dyDescent="0.2">
      <c r="A14" s="1">
        <v>12</v>
      </c>
      <c r="B14" s="3" t="s">
        <v>611</v>
      </c>
      <c r="C14" s="3" t="s">
        <v>92</v>
      </c>
      <c r="D14" s="3">
        <v>24.8</v>
      </c>
      <c r="E14" s="3">
        <v>48</v>
      </c>
      <c r="F14" s="3">
        <v>34</v>
      </c>
      <c r="G14" s="3">
        <v>47</v>
      </c>
      <c r="H14" s="3">
        <v>35</v>
      </c>
      <c r="I14" s="3">
        <v>2.29</v>
      </c>
      <c r="J14" s="3">
        <v>0.08</v>
      </c>
      <c r="K14" s="3">
        <v>2.38</v>
      </c>
      <c r="L14" s="3">
        <v>112.9</v>
      </c>
      <c r="M14" s="3">
        <v>110.5</v>
      </c>
      <c r="N14" s="3">
        <v>2.4</v>
      </c>
      <c r="O14" s="3">
        <v>96</v>
      </c>
      <c r="P14" s="3">
        <v>0.23400000000000001</v>
      </c>
      <c r="Q14" s="3">
        <v>0.375</v>
      </c>
      <c r="R14" s="3">
        <v>0.54300000000000004</v>
      </c>
      <c r="S14" s="17">
        <f t="shared" si="0"/>
        <v>0.58536585365853655</v>
      </c>
      <c r="T14" s="3">
        <v>0.51</v>
      </c>
      <c r="U14" s="3">
        <v>11</v>
      </c>
      <c r="V14" s="3">
        <v>28.4</v>
      </c>
      <c r="W14" s="3">
        <v>0.17699999999999999</v>
      </c>
      <c r="X14" s="2"/>
      <c r="Y14" s="3">
        <v>0.53500000000000003</v>
      </c>
      <c r="Z14" s="3">
        <v>14.4</v>
      </c>
      <c r="AA14" s="3">
        <v>75.599999999999994</v>
      </c>
      <c r="AB14" s="3">
        <v>0.19900000000000001</v>
      </c>
      <c r="AC14" s="2"/>
      <c r="AD14" s="3" t="s">
        <v>612</v>
      </c>
      <c r="AE14" s="18">
        <v>547343</v>
      </c>
      <c r="AF14" s="18">
        <v>13350</v>
      </c>
    </row>
    <row r="15" spans="1:32" x14ac:dyDescent="0.2">
      <c r="A15" s="1">
        <v>13</v>
      </c>
      <c r="B15" s="3" t="s">
        <v>613</v>
      </c>
      <c r="C15" s="3" t="s">
        <v>87</v>
      </c>
      <c r="D15" s="3">
        <v>24.7</v>
      </c>
      <c r="E15" s="3">
        <v>44</v>
      </c>
      <c r="F15" s="3">
        <v>38</v>
      </c>
      <c r="G15" s="3">
        <v>47</v>
      </c>
      <c r="H15" s="3">
        <v>35</v>
      </c>
      <c r="I15" s="3">
        <v>2.12</v>
      </c>
      <c r="J15" s="3">
        <v>-0.08</v>
      </c>
      <c r="K15" s="3">
        <v>2.04</v>
      </c>
      <c r="L15" s="3">
        <v>111.9</v>
      </c>
      <c r="M15" s="3">
        <v>109.7</v>
      </c>
      <c r="N15" s="3">
        <v>2.2000000000000002</v>
      </c>
      <c r="O15" s="3">
        <v>96.1</v>
      </c>
      <c r="P15" s="3">
        <v>0.26100000000000001</v>
      </c>
      <c r="Q15" s="3">
        <v>0.38700000000000001</v>
      </c>
      <c r="R15" s="3">
        <v>0.57099999999999995</v>
      </c>
      <c r="S15" s="17">
        <f t="shared" si="0"/>
        <v>0.53658536585365857</v>
      </c>
      <c r="T15" s="3">
        <v>0.53800000000000003</v>
      </c>
      <c r="U15" s="3">
        <v>13.2</v>
      </c>
      <c r="V15" s="3">
        <v>24</v>
      </c>
      <c r="W15" s="3">
        <v>0.19800000000000001</v>
      </c>
      <c r="X15" s="2"/>
      <c r="Y15" s="3">
        <v>0.52</v>
      </c>
      <c r="Z15" s="3">
        <v>12.3</v>
      </c>
      <c r="AA15" s="3">
        <v>76.5</v>
      </c>
      <c r="AB15" s="3">
        <v>0.17199999999999999</v>
      </c>
      <c r="AC15" s="2"/>
      <c r="AD15" s="3" t="s">
        <v>614</v>
      </c>
      <c r="AE15" s="18">
        <v>758228</v>
      </c>
      <c r="AF15" s="18">
        <v>18493</v>
      </c>
    </row>
    <row r="16" spans="1:32" x14ac:dyDescent="0.2">
      <c r="A16" s="1">
        <v>14</v>
      </c>
      <c r="B16" s="3" t="s">
        <v>615</v>
      </c>
      <c r="C16" s="3" t="s">
        <v>78</v>
      </c>
      <c r="D16" s="3">
        <v>26.1</v>
      </c>
      <c r="E16" s="3">
        <v>43</v>
      </c>
      <c r="F16" s="3">
        <v>39</v>
      </c>
      <c r="G16" s="3">
        <v>45</v>
      </c>
      <c r="H16" s="3">
        <v>37</v>
      </c>
      <c r="I16" s="3">
        <v>1.56</v>
      </c>
      <c r="J16" s="3">
        <v>-0.01</v>
      </c>
      <c r="K16" s="3">
        <v>1.55</v>
      </c>
      <c r="L16" s="3">
        <v>116.5</v>
      </c>
      <c r="M16" s="3">
        <v>114.9</v>
      </c>
      <c r="N16" s="3">
        <v>1.6</v>
      </c>
      <c r="O16" s="3">
        <v>97.7</v>
      </c>
      <c r="P16" s="3">
        <v>0.253</v>
      </c>
      <c r="Q16" s="3">
        <v>0.39</v>
      </c>
      <c r="R16" s="3">
        <v>0.58099999999999996</v>
      </c>
      <c r="S16" s="17">
        <f t="shared" si="0"/>
        <v>0.52439024390243905</v>
      </c>
      <c r="T16" s="3">
        <v>0.54300000000000004</v>
      </c>
      <c r="U16" s="3">
        <v>10.8</v>
      </c>
      <c r="V16" s="3">
        <v>23</v>
      </c>
      <c r="W16" s="3">
        <v>0.20499999999999999</v>
      </c>
      <c r="X16" s="2"/>
      <c r="Y16" s="3">
        <v>0.54300000000000004</v>
      </c>
      <c r="Z16" s="3">
        <v>11.5</v>
      </c>
      <c r="AA16" s="3">
        <v>76.900000000000006</v>
      </c>
      <c r="AB16" s="3">
        <v>0.17699999999999999</v>
      </c>
      <c r="AC16" s="2"/>
      <c r="AD16" s="3" t="s">
        <v>616</v>
      </c>
      <c r="AE16" s="18">
        <v>672742</v>
      </c>
      <c r="AF16" s="18">
        <v>16408</v>
      </c>
    </row>
    <row r="17" spans="1:32" x14ac:dyDescent="0.2">
      <c r="A17" s="1">
        <v>15</v>
      </c>
      <c r="B17" s="3" t="s">
        <v>617</v>
      </c>
      <c r="C17" s="3" t="s">
        <v>85</v>
      </c>
      <c r="D17" s="3">
        <v>29.1</v>
      </c>
      <c r="E17" s="3">
        <v>44</v>
      </c>
      <c r="F17" s="3">
        <v>38</v>
      </c>
      <c r="G17" s="3">
        <v>43</v>
      </c>
      <c r="H17" s="3">
        <v>39</v>
      </c>
      <c r="I17" s="3">
        <v>0.78</v>
      </c>
      <c r="J17" s="3">
        <v>0.04</v>
      </c>
      <c r="K17" s="3">
        <v>0.82</v>
      </c>
      <c r="L17" s="3">
        <v>113.6</v>
      </c>
      <c r="M17" s="3">
        <v>112.8</v>
      </c>
      <c r="N17" s="3">
        <v>0.8</v>
      </c>
      <c r="O17" s="3">
        <v>99</v>
      </c>
      <c r="P17" s="3">
        <v>0.246</v>
      </c>
      <c r="Q17" s="3">
        <v>0.35899999999999999</v>
      </c>
      <c r="R17" s="3">
        <v>0.57599999999999996</v>
      </c>
      <c r="S17" s="17">
        <f t="shared" si="0"/>
        <v>0.53658536585365857</v>
      </c>
      <c r="T17" s="3">
        <v>0.54</v>
      </c>
      <c r="U17" s="3">
        <v>12.5</v>
      </c>
      <c r="V17" s="3">
        <v>23.9</v>
      </c>
      <c r="W17" s="3">
        <v>0.19800000000000001</v>
      </c>
      <c r="X17" s="2"/>
      <c r="Y17" s="3">
        <v>0.52100000000000002</v>
      </c>
      <c r="Z17" s="3">
        <v>11.7</v>
      </c>
      <c r="AA17" s="3">
        <v>75.099999999999994</v>
      </c>
      <c r="AB17" s="3">
        <v>0.20100000000000001</v>
      </c>
      <c r="AC17" s="2"/>
      <c r="AD17" s="3" t="s">
        <v>618</v>
      </c>
      <c r="AE17" s="18">
        <v>711539</v>
      </c>
      <c r="AF17" s="18">
        <v>17355</v>
      </c>
    </row>
    <row r="18" spans="1:32" x14ac:dyDescent="0.2">
      <c r="A18" s="1">
        <v>16</v>
      </c>
      <c r="B18" s="3" t="s">
        <v>619</v>
      </c>
      <c r="C18" s="3" t="s">
        <v>72</v>
      </c>
      <c r="D18" s="3">
        <v>25.5</v>
      </c>
      <c r="E18" s="3">
        <v>43</v>
      </c>
      <c r="F18" s="3">
        <v>39</v>
      </c>
      <c r="G18" s="3">
        <v>42</v>
      </c>
      <c r="H18" s="3">
        <v>40</v>
      </c>
      <c r="I18" s="3">
        <v>0.44</v>
      </c>
      <c r="J18" s="3">
        <v>0.09</v>
      </c>
      <c r="K18" s="3">
        <v>0.53</v>
      </c>
      <c r="L18" s="3">
        <v>114.1</v>
      </c>
      <c r="M18" s="3">
        <v>113.7</v>
      </c>
      <c r="N18" s="3">
        <v>0.4</v>
      </c>
      <c r="O18" s="3">
        <v>100</v>
      </c>
      <c r="P18" s="3">
        <v>0.23400000000000001</v>
      </c>
      <c r="Q18" s="3">
        <v>0.41799999999999998</v>
      </c>
      <c r="R18" s="3">
        <v>0.57199999999999995</v>
      </c>
      <c r="S18" s="17">
        <f t="shared" si="0"/>
        <v>0.52439024390243905</v>
      </c>
      <c r="T18" s="3">
        <v>0.54400000000000004</v>
      </c>
      <c r="U18" s="3">
        <v>11.6</v>
      </c>
      <c r="V18" s="3">
        <v>23.3</v>
      </c>
      <c r="W18" s="3">
        <v>0.17299999999999999</v>
      </c>
      <c r="X18" s="2"/>
      <c r="Y18" s="3">
        <v>0.54400000000000004</v>
      </c>
      <c r="Z18" s="3">
        <v>13.1</v>
      </c>
      <c r="AA18" s="3">
        <v>74.8</v>
      </c>
      <c r="AB18" s="3">
        <v>0.187</v>
      </c>
      <c r="AC18" s="2"/>
      <c r="AD18" s="3" t="s">
        <v>620</v>
      </c>
      <c r="AE18" s="18">
        <v>700755</v>
      </c>
      <c r="AF18" s="18">
        <v>17092</v>
      </c>
    </row>
    <row r="19" spans="1:32" x14ac:dyDescent="0.2">
      <c r="A19" s="1">
        <v>17</v>
      </c>
      <c r="B19" s="3" t="s">
        <v>621</v>
      </c>
      <c r="C19" s="3" t="s">
        <v>102</v>
      </c>
      <c r="D19" s="3">
        <v>24.5</v>
      </c>
      <c r="E19" s="3">
        <v>34</v>
      </c>
      <c r="F19" s="3">
        <v>48</v>
      </c>
      <c r="G19" s="3">
        <v>41</v>
      </c>
      <c r="H19" s="3">
        <v>41</v>
      </c>
      <c r="I19" s="3">
        <v>0.12</v>
      </c>
      <c r="J19" s="3">
        <v>-0.1</v>
      </c>
      <c r="K19" s="3">
        <v>0.02</v>
      </c>
      <c r="L19" s="3">
        <v>112.4</v>
      </c>
      <c r="M19" s="3">
        <v>112.3</v>
      </c>
      <c r="N19" s="3">
        <v>0.1</v>
      </c>
      <c r="O19" s="3">
        <v>100</v>
      </c>
      <c r="P19" s="3">
        <v>0.22</v>
      </c>
      <c r="Q19" s="3">
        <v>0.34499999999999997</v>
      </c>
      <c r="R19" s="3">
        <v>0.55600000000000005</v>
      </c>
      <c r="S19" s="17">
        <f t="shared" si="0"/>
        <v>0.41463414634146339</v>
      </c>
      <c r="T19" s="3">
        <v>0.52700000000000002</v>
      </c>
      <c r="U19" s="3">
        <v>11.1</v>
      </c>
      <c r="V19" s="3">
        <v>23.7</v>
      </c>
      <c r="W19" s="3">
        <v>0.16600000000000001</v>
      </c>
      <c r="X19" s="2"/>
      <c r="Y19" s="3">
        <v>0.53200000000000003</v>
      </c>
      <c r="Z19" s="3">
        <v>12.1</v>
      </c>
      <c r="AA19" s="3">
        <v>75.099999999999994</v>
      </c>
      <c r="AB19" s="3">
        <v>0.17599999999999999</v>
      </c>
      <c r="AC19" s="2"/>
      <c r="AD19" s="3" t="s">
        <v>622</v>
      </c>
      <c r="AE19" s="18">
        <v>615588</v>
      </c>
      <c r="AF19" s="18">
        <v>15014</v>
      </c>
    </row>
    <row r="20" spans="1:32" x14ac:dyDescent="0.2">
      <c r="A20" s="1">
        <v>18</v>
      </c>
      <c r="B20" s="3" t="s">
        <v>623</v>
      </c>
      <c r="C20" s="3" t="s">
        <v>64</v>
      </c>
      <c r="D20" s="3">
        <v>27.5</v>
      </c>
      <c r="E20" s="3">
        <v>42</v>
      </c>
      <c r="F20" s="3">
        <v>40</v>
      </c>
      <c r="G20" s="3">
        <v>41</v>
      </c>
      <c r="H20" s="3">
        <v>41</v>
      </c>
      <c r="I20" s="3">
        <v>0.02</v>
      </c>
      <c r="J20" s="3">
        <v>0.06</v>
      </c>
      <c r="K20" s="3">
        <v>0.09</v>
      </c>
      <c r="L20" s="3">
        <v>110.1</v>
      </c>
      <c r="M20" s="3">
        <v>110.1</v>
      </c>
      <c r="N20" s="3">
        <v>0</v>
      </c>
      <c r="O20" s="3">
        <v>98</v>
      </c>
      <c r="P20" s="3">
        <v>0.224</v>
      </c>
      <c r="Q20" s="3">
        <v>0.39100000000000001</v>
      </c>
      <c r="R20" s="3">
        <v>0.56399999999999995</v>
      </c>
      <c r="S20" s="17">
        <f t="shared" si="0"/>
        <v>0.51219512195121952</v>
      </c>
      <c r="T20" s="3">
        <v>0.53100000000000003</v>
      </c>
      <c r="U20" s="3">
        <v>12.5</v>
      </c>
      <c r="V20" s="3">
        <v>20.6</v>
      </c>
      <c r="W20" s="3">
        <v>0.17799999999999999</v>
      </c>
      <c r="X20" s="2"/>
      <c r="Y20" s="3">
        <v>0.51400000000000001</v>
      </c>
      <c r="Z20" s="3">
        <v>12</v>
      </c>
      <c r="AA20" s="3">
        <v>74.400000000000006</v>
      </c>
      <c r="AB20" s="3">
        <v>0.16700000000000001</v>
      </c>
      <c r="AC20" s="2"/>
      <c r="AD20" s="3" t="s">
        <v>624</v>
      </c>
      <c r="AE20" s="18">
        <v>694005</v>
      </c>
      <c r="AF20" s="18">
        <v>16927</v>
      </c>
    </row>
    <row r="21" spans="1:32" x14ac:dyDescent="0.2">
      <c r="A21" s="1">
        <v>19</v>
      </c>
      <c r="B21" s="3" t="s">
        <v>625</v>
      </c>
      <c r="C21" s="3" t="s">
        <v>110</v>
      </c>
      <c r="D21" s="3">
        <v>26</v>
      </c>
      <c r="E21" s="3">
        <v>37</v>
      </c>
      <c r="F21" s="3">
        <v>45</v>
      </c>
      <c r="G21" s="3">
        <v>41</v>
      </c>
      <c r="H21" s="3">
        <v>41</v>
      </c>
      <c r="I21" s="3">
        <v>-0.12</v>
      </c>
      <c r="J21" s="3">
        <v>0.11</v>
      </c>
      <c r="K21" s="3">
        <v>-0.01</v>
      </c>
      <c r="L21" s="3">
        <v>110.4</v>
      </c>
      <c r="M21" s="3">
        <v>110.5</v>
      </c>
      <c r="N21" s="3">
        <v>-0.1</v>
      </c>
      <c r="O21" s="3">
        <v>95.9</v>
      </c>
      <c r="P21" s="3">
        <v>0.28000000000000003</v>
      </c>
      <c r="Q21" s="3">
        <v>0.42799999999999999</v>
      </c>
      <c r="R21" s="3">
        <v>0.55000000000000004</v>
      </c>
      <c r="S21" s="17">
        <f t="shared" si="0"/>
        <v>0.45121951219512196</v>
      </c>
      <c r="T21" s="3">
        <v>0.51300000000000001</v>
      </c>
      <c r="U21" s="3">
        <v>12</v>
      </c>
      <c r="V21" s="3">
        <v>25.1</v>
      </c>
      <c r="W21" s="3">
        <v>0.20799999999999999</v>
      </c>
      <c r="X21" s="2"/>
      <c r="Y21" s="3">
        <v>0.52100000000000002</v>
      </c>
      <c r="Z21" s="3">
        <v>11.7</v>
      </c>
      <c r="AA21" s="3">
        <v>78.8</v>
      </c>
      <c r="AB21" s="3">
        <v>0.19800000000000001</v>
      </c>
      <c r="AC21" s="2"/>
      <c r="AD21" s="3" t="s">
        <v>626</v>
      </c>
      <c r="AE21" s="18">
        <v>763484</v>
      </c>
      <c r="AF21" s="18">
        <v>18622</v>
      </c>
    </row>
    <row r="22" spans="1:32" x14ac:dyDescent="0.2">
      <c r="A22" s="1">
        <v>20</v>
      </c>
      <c r="B22" s="3" t="s">
        <v>627</v>
      </c>
      <c r="C22" s="3" t="s">
        <v>82</v>
      </c>
      <c r="D22" s="3">
        <v>26.3</v>
      </c>
      <c r="E22" s="3">
        <v>46</v>
      </c>
      <c r="F22" s="3">
        <v>36</v>
      </c>
      <c r="G22" s="3">
        <v>40</v>
      </c>
      <c r="H22" s="3">
        <v>42</v>
      </c>
      <c r="I22" s="3">
        <v>-0.39</v>
      </c>
      <c r="J22" s="3">
        <v>0.02</v>
      </c>
      <c r="K22" s="3">
        <v>-0.38</v>
      </c>
      <c r="L22" s="3">
        <v>113.2</v>
      </c>
      <c r="M22" s="3">
        <v>113.6</v>
      </c>
      <c r="N22" s="3">
        <v>-0.4</v>
      </c>
      <c r="O22" s="3">
        <v>98.3</v>
      </c>
      <c r="P22" s="3">
        <v>0.248</v>
      </c>
      <c r="Q22" s="3">
        <v>0.33200000000000002</v>
      </c>
      <c r="R22" s="3">
        <v>0.57899999999999996</v>
      </c>
      <c r="S22" s="17">
        <f t="shared" si="0"/>
        <v>0.56097560975609762</v>
      </c>
      <c r="T22" s="3">
        <v>0.54100000000000004</v>
      </c>
      <c r="U22" s="3">
        <v>11.8</v>
      </c>
      <c r="V22" s="3">
        <v>20.399999999999999</v>
      </c>
      <c r="W22" s="3">
        <v>0.20100000000000001</v>
      </c>
      <c r="X22" s="2"/>
      <c r="Y22" s="3">
        <v>0.54100000000000004</v>
      </c>
      <c r="Z22" s="3">
        <v>11.9</v>
      </c>
      <c r="AA22" s="3">
        <v>78.3</v>
      </c>
      <c r="AB22" s="3">
        <v>0.19900000000000001</v>
      </c>
      <c r="AC22" s="2"/>
      <c r="AD22" s="3" t="s">
        <v>628</v>
      </c>
      <c r="AE22" s="18">
        <v>856148</v>
      </c>
      <c r="AF22" s="18">
        <v>20882</v>
      </c>
    </row>
    <row r="23" spans="1:32" x14ac:dyDescent="0.2">
      <c r="A23" s="1">
        <v>21</v>
      </c>
      <c r="B23" s="3" t="s">
        <v>629</v>
      </c>
      <c r="C23" s="3" t="s">
        <v>74</v>
      </c>
      <c r="D23" s="3">
        <v>25.6</v>
      </c>
      <c r="E23" s="3">
        <v>36</v>
      </c>
      <c r="F23" s="3">
        <v>46</v>
      </c>
      <c r="G23" s="3">
        <v>38</v>
      </c>
      <c r="H23" s="3">
        <v>44</v>
      </c>
      <c r="I23" s="3">
        <v>-0.99</v>
      </c>
      <c r="J23" s="3">
        <v>0.15</v>
      </c>
      <c r="K23" s="3">
        <v>-0.84</v>
      </c>
      <c r="L23" s="3">
        <v>112</v>
      </c>
      <c r="M23" s="3">
        <v>113</v>
      </c>
      <c r="N23" s="3">
        <v>-1</v>
      </c>
      <c r="O23" s="3">
        <v>97.2</v>
      </c>
      <c r="P23" s="3">
        <v>0.26400000000000001</v>
      </c>
      <c r="Q23" s="3">
        <v>0.36499999999999999</v>
      </c>
      <c r="R23" s="3">
        <v>0.55700000000000005</v>
      </c>
      <c r="S23" s="17">
        <f t="shared" si="0"/>
        <v>0.43902439024390244</v>
      </c>
      <c r="T23" s="3">
        <v>0.51700000000000002</v>
      </c>
      <c r="U23" s="3">
        <v>12.5</v>
      </c>
      <c r="V23" s="3">
        <v>26.9</v>
      </c>
      <c r="W23" s="3">
        <v>0.20799999999999999</v>
      </c>
      <c r="X23" s="2"/>
      <c r="Y23" s="3">
        <v>0.54700000000000004</v>
      </c>
      <c r="Z23" s="3">
        <v>13</v>
      </c>
      <c r="AA23" s="3">
        <v>78.2</v>
      </c>
      <c r="AB23" s="3">
        <v>0.19600000000000001</v>
      </c>
      <c r="AC23" s="2"/>
      <c r="AD23" s="3" t="s">
        <v>630</v>
      </c>
      <c r="AE23" s="18">
        <v>635941</v>
      </c>
      <c r="AF23" s="18">
        <v>15511</v>
      </c>
    </row>
    <row r="24" spans="1:32" x14ac:dyDescent="0.2">
      <c r="A24" s="1">
        <v>22</v>
      </c>
      <c r="B24" s="3" t="s">
        <v>631</v>
      </c>
      <c r="C24" s="3" t="s">
        <v>62</v>
      </c>
      <c r="D24" s="3">
        <v>30.2</v>
      </c>
      <c r="E24" s="3">
        <v>33</v>
      </c>
      <c r="F24" s="3">
        <v>49</v>
      </c>
      <c r="G24" s="3">
        <v>33</v>
      </c>
      <c r="H24" s="3">
        <v>49</v>
      </c>
      <c r="I24" s="3">
        <v>-3.05</v>
      </c>
      <c r="J24" s="3">
        <v>-0.03</v>
      </c>
      <c r="K24" s="3">
        <v>-3.08</v>
      </c>
      <c r="L24" s="3">
        <v>110.3</v>
      </c>
      <c r="M24" s="3">
        <v>113.3</v>
      </c>
      <c r="N24" s="3">
        <v>-3</v>
      </c>
      <c r="O24" s="3">
        <v>100.1</v>
      </c>
      <c r="P24" s="3">
        <v>0.25900000000000001</v>
      </c>
      <c r="Q24" s="3">
        <v>0.38800000000000001</v>
      </c>
      <c r="R24" s="3">
        <v>0.56699999999999995</v>
      </c>
      <c r="S24" s="17">
        <f t="shared" si="0"/>
        <v>0.40243902439024393</v>
      </c>
      <c r="T24" s="3">
        <v>0.53700000000000003</v>
      </c>
      <c r="U24" s="3">
        <v>12.8</v>
      </c>
      <c r="V24" s="3">
        <v>21.1</v>
      </c>
      <c r="W24" s="3">
        <v>0.19</v>
      </c>
      <c r="X24" s="2"/>
      <c r="Y24" s="3">
        <v>0.54</v>
      </c>
      <c r="Z24" s="3">
        <v>12.2</v>
      </c>
      <c r="AA24" s="3">
        <v>75.8</v>
      </c>
      <c r="AB24" s="3">
        <v>0.192</v>
      </c>
      <c r="AC24" s="2"/>
      <c r="AD24" s="3" t="s">
        <v>624</v>
      </c>
      <c r="AE24" s="18">
        <v>764631</v>
      </c>
      <c r="AF24" s="18">
        <v>18650</v>
      </c>
    </row>
    <row r="25" spans="1:32" x14ac:dyDescent="0.2">
      <c r="A25" s="1">
        <v>23</v>
      </c>
      <c r="B25" s="3" t="s">
        <v>632</v>
      </c>
      <c r="C25" s="3" t="s">
        <v>155</v>
      </c>
      <c r="D25" s="3">
        <v>25.9</v>
      </c>
      <c r="E25" s="3">
        <v>35</v>
      </c>
      <c r="F25" s="3">
        <v>47</v>
      </c>
      <c r="G25" s="3">
        <v>32</v>
      </c>
      <c r="H25" s="3">
        <v>50</v>
      </c>
      <c r="I25" s="3">
        <v>-3.38</v>
      </c>
      <c r="J25" s="3">
        <v>0.15</v>
      </c>
      <c r="K25" s="3">
        <v>-3.23</v>
      </c>
      <c r="L25" s="3">
        <v>111.1</v>
      </c>
      <c r="M25" s="3">
        <v>114.5</v>
      </c>
      <c r="N25" s="3">
        <v>-3.4</v>
      </c>
      <c r="O25" s="3">
        <v>97</v>
      </c>
      <c r="P25" s="3">
        <v>0.252</v>
      </c>
      <c r="Q25" s="3">
        <v>0.35599999999999998</v>
      </c>
      <c r="R25" s="3">
        <v>0.56799999999999995</v>
      </c>
      <c r="S25" s="17">
        <f t="shared" si="0"/>
        <v>0.42682926829268292</v>
      </c>
      <c r="T25" s="3">
        <v>0.53200000000000003</v>
      </c>
      <c r="U25" s="3">
        <v>12.1</v>
      </c>
      <c r="V25" s="3">
        <v>20.9</v>
      </c>
      <c r="W25" s="3">
        <v>0.19700000000000001</v>
      </c>
      <c r="X25" s="2"/>
      <c r="Y25" s="3">
        <v>0.52900000000000003</v>
      </c>
      <c r="Z25" s="3">
        <v>10.7</v>
      </c>
      <c r="AA25" s="3">
        <v>76.900000000000006</v>
      </c>
      <c r="AB25" s="3">
        <v>0.20200000000000001</v>
      </c>
      <c r="AC25" s="2"/>
      <c r="AD25" s="3" t="s">
        <v>633</v>
      </c>
      <c r="AE25" s="18">
        <v>637215</v>
      </c>
      <c r="AF25" s="18">
        <v>15542</v>
      </c>
    </row>
    <row r="26" spans="1:32" x14ac:dyDescent="0.2">
      <c r="A26" s="1">
        <v>24</v>
      </c>
      <c r="B26" s="3" t="s">
        <v>634</v>
      </c>
      <c r="C26" s="3" t="s">
        <v>108</v>
      </c>
      <c r="D26" s="3">
        <v>26</v>
      </c>
      <c r="E26" s="3">
        <v>25</v>
      </c>
      <c r="F26" s="3">
        <v>57</v>
      </c>
      <c r="G26" s="3">
        <v>32</v>
      </c>
      <c r="H26" s="3">
        <v>50</v>
      </c>
      <c r="I26" s="3">
        <v>-3.48</v>
      </c>
      <c r="J26" s="3">
        <v>0.22</v>
      </c>
      <c r="K26" s="3">
        <v>-3.26</v>
      </c>
      <c r="L26" s="3">
        <v>112.6</v>
      </c>
      <c r="M26" s="3">
        <v>116.1</v>
      </c>
      <c r="N26" s="3">
        <v>-3.5</v>
      </c>
      <c r="O26" s="3">
        <v>98</v>
      </c>
      <c r="P26" s="3">
        <v>0.23899999999999999</v>
      </c>
      <c r="Q26" s="3">
        <v>0.39500000000000002</v>
      </c>
      <c r="R26" s="3">
        <v>0.56399999999999995</v>
      </c>
      <c r="S26" s="17">
        <f t="shared" si="0"/>
        <v>0.3048780487804878</v>
      </c>
      <c r="T26" s="3">
        <v>0.53100000000000003</v>
      </c>
      <c r="U26" s="3">
        <v>12.7</v>
      </c>
      <c r="V26" s="3">
        <v>25.5</v>
      </c>
      <c r="W26" s="3">
        <v>0.184</v>
      </c>
      <c r="X26" s="2"/>
      <c r="Y26" s="3">
        <v>0.55200000000000005</v>
      </c>
      <c r="Z26" s="3">
        <v>11.9</v>
      </c>
      <c r="AA26" s="3">
        <v>76.2</v>
      </c>
      <c r="AB26" s="3">
        <v>0.20399999999999999</v>
      </c>
      <c r="AC26" s="2"/>
      <c r="AD26" s="3" t="s">
        <v>635</v>
      </c>
      <c r="AE26" s="18">
        <v>588743</v>
      </c>
      <c r="AF26" s="18">
        <v>14360</v>
      </c>
    </row>
    <row r="27" spans="1:32" x14ac:dyDescent="0.2">
      <c r="A27" s="1">
        <v>25</v>
      </c>
      <c r="B27" s="3" t="s">
        <v>636</v>
      </c>
      <c r="C27" s="3" t="s">
        <v>66</v>
      </c>
      <c r="D27" s="3">
        <v>25.8</v>
      </c>
      <c r="E27" s="3">
        <v>30</v>
      </c>
      <c r="F27" s="3">
        <v>52</v>
      </c>
      <c r="G27" s="3">
        <v>28</v>
      </c>
      <c r="H27" s="3">
        <v>54</v>
      </c>
      <c r="I27" s="3">
        <v>-5.46</v>
      </c>
      <c r="J27" s="3">
        <v>0.2</v>
      </c>
      <c r="K27" s="3">
        <v>-5.26</v>
      </c>
      <c r="L27" s="3">
        <v>109.9</v>
      </c>
      <c r="M27" s="3">
        <v>115.3</v>
      </c>
      <c r="N27" s="3">
        <v>-5.4</v>
      </c>
      <c r="O27" s="3">
        <v>99.8</v>
      </c>
      <c r="P27" s="3">
        <v>0.26400000000000001</v>
      </c>
      <c r="Q27" s="3">
        <v>0.377</v>
      </c>
      <c r="R27" s="3">
        <v>0.56100000000000005</v>
      </c>
      <c r="S27" s="17">
        <f t="shared" si="0"/>
        <v>0.36585365853658536</v>
      </c>
      <c r="T27" s="3">
        <v>0.52500000000000002</v>
      </c>
      <c r="U27" s="3">
        <v>12.5</v>
      </c>
      <c r="V27" s="3">
        <v>21.3</v>
      </c>
      <c r="W27" s="3">
        <v>0.20300000000000001</v>
      </c>
      <c r="X27" s="2"/>
      <c r="Y27" s="3">
        <v>0.55100000000000005</v>
      </c>
      <c r="Z27" s="3">
        <v>11.9</v>
      </c>
      <c r="AA27" s="3">
        <v>76</v>
      </c>
      <c r="AB27" s="3">
        <v>0.17599999999999999</v>
      </c>
      <c r="AC27" s="2"/>
      <c r="AD27" s="3" t="s">
        <v>637</v>
      </c>
      <c r="AE27" s="18">
        <v>577583</v>
      </c>
      <c r="AF27" s="18">
        <v>14087</v>
      </c>
    </row>
    <row r="28" spans="1:32" x14ac:dyDescent="0.2">
      <c r="A28" s="1">
        <v>26</v>
      </c>
      <c r="B28" s="3" t="s">
        <v>638</v>
      </c>
      <c r="C28" s="3" t="s">
        <v>89</v>
      </c>
      <c r="D28" s="3">
        <v>23.6</v>
      </c>
      <c r="E28" s="3">
        <v>23</v>
      </c>
      <c r="F28" s="3">
        <v>59</v>
      </c>
      <c r="G28" s="3">
        <v>22</v>
      </c>
      <c r="H28" s="3">
        <v>60</v>
      </c>
      <c r="I28" s="3">
        <v>-7.72</v>
      </c>
      <c r="J28" s="3">
        <v>0.37</v>
      </c>
      <c r="K28" s="3">
        <v>-7.36</v>
      </c>
      <c r="L28" s="3">
        <v>106</v>
      </c>
      <c r="M28" s="3">
        <v>113.8</v>
      </c>
      <c r="N28" s="3">
        <v>-7.8</v>
      </c>
      <c r="O28" s="3">
        <v>98.4</v>
      </c>
      <c r="P28" s="3">
        <v>0.249</v>
      </c>
      <c r="Q28" s="3">
        <v>0.39100000000000001</v>
      </c>
      <c r="R28" s="3">
        <v>0.53300000000000003</v>
      </c>
      <c r="S28" s="17">
        <f t="shared" si="0"/>
        <v>0.28048780487804881</v>
      </c>
      <c r="T28" s="3">
        <v>0.49399999999999999</v>
      </c>
      <c r="U28" s="3">
        <v>12.6</v>
      </c>
      <c r="V28" s="3">
        <v>23.4</v>
      </c>
      <c r="W28" s="3">
        <v>0.19400000000000001</v>
      </c>
      <c r="X28" s="2"/>
      <c r="Y28" s="3">
        <v>0.54100000000000004</v>
      </c>
      <c r="Z28" s="3">
        <v>13.1</v>
      </c>
      <c r="AA28" s="3">
        <v>75.599999999999994</v>
      </c>
      <c r="AB28" s="3">
        <v>0.22600000000000001</v>
      </c>
      <c r="AC28" s="2"/>
      <c r="AD28" s="3" t="s">
        <v>639</v>
      </c>
      <c r="AE28" s="18">
        <v>663556</v>
      </c>
      <c r="AF28" s="18">
        <v>16184</v>
      </c>
    </row>
    <row r="29" spans="1:32" x14ac:dyDescent="0.2">
      <c r="A29" s="1">
        <v>27</v>
      </c>
      <c r="B29" s="3" t="s">
        <v>640</v>
      </c>
      <c r="C29" s="3" t="s">
        <v>104</v>
      </c>
      <c r="D29" s="3">
        <v>23.3</v>
      </c>
      <c r="E29" s="3">
        <v>22</v>
      </c>
      <c r="F29" s="3">
        <v>60</v>
      </c>
      <c r="G29" s="3">
        <v>21</v>
      </c>
      <c r="H29" s="3">
        <v>61</v>
      </c>
      <c r="I29" s="3">
        <v>-8</v>
      </c>
      <c r="J29" s="3">
        <v>0.33</v>
      </c>
      <c r="K29" s="3">
        <v>-7.67</v>
      </c>
      <c r="L29" s="3">
        <v>104.5</v>
      </c>
      <c r="M29" s="3">
        <v>112.5</v>
      </c>
      <c r="N29" s="3">
        <v>-8</v>
      </c>
      <c r="O29" s="3">
        <v>99.2</v>
      </c>
      <c r="P29" s="3">
        <v>0.223</v>
      </c>
      <c r="Q29" s="3">
        <v>0.41699999999999998</v>
      </c>
      <c r="R29" s="3">
        <v>0.53800000000000003</v>
      </c>
      <c r="S29" s="17">
        <f t="shared" si="0"/>
        <v>0.26829268292682928</v>
      </c>
      <c r="T29" s="3">
        <v>0.503</v>
      </c>
      <c r="U29" s="3">
        <v>13</v>
      </c>
      <c r="V29" s="3">
        <v>19.8</v>
      </c>
      <c r="W29" s="3">
        <v>0.17499999999999999</v>
      </c>
      <c r="X29" s="2"/>
      <c r="Y29" s="3">
        <v>0.53200000000000003</v>
      </c>
      <c r="Z29" s="3">
        <v>11.7</v>
      </c>
      <c r="AA29" s="3">
        <v>77.2</v>
      </c>
      <c r="AB29" s="3">
        <v>0.19600000000000001</v>
      </c>
      <c r="AC29" s="2"/>
      <c r="AD29" s="3" t="s">
        <v>641</v>
      </c>
      <c r="AE29" s="18">
        <v>622881</v>
      </c>
      <c r="AF29" s="18">
        <v>15192</v>
      </c>
    </row>
    <row r="30" spans="1:32" x14ac:dyDescent="0.2">
      <c r="A30" s="1">
        <v>28</v>
      </c>
      <c r="B30" s="3" t="s">
        <v>642</v>
      </c>
      <c r="C30" s="3" t="s">
        <v>68</v>
      </c>
      <c r="D30" s="3">
        <v>22.4</v>
      </c>
      <c r="E30" s="3">
        <v>24</v>
      </c>
      <c r="F30" s="3">
        <v>58</v>
      </c>
      <c r="G30" s="3">
        <v>21</v>
      </c>
      <c r="H30" s="3">
        <v>61</v>
      </c>
      <c r="I30" s="3">
        <v>-8.1</v>
      </c>
      <c r="J30" s="3">
        <v>0.2</v>
      </c>
      <c r="K30" s="3">
        <v>-7.9</v>
      </c>
      <c r="L30" s="3">
        <v>104.6</v>
      </c>
      <c r="M30" s="3">
        <v>112.8</v>
      </c>
      <c r="N30" s="3">
        <v>-8.1999999999999993</v>
      </c>
      <c r="O30" s="3">
        <v>98.6</v>
      </c>
      <c r="P30" s="3">
        <v>0.223</v>
      </c>
      <c r="Q30" s="3">
        <v>0.41899999999999998</v>
      </c>
      <c r="R30" s="3">
        <v>0.53</v>
      </c>
      <c r="S30" s="17">
        <f t="shared" si="0"/>
        <v>0.29268292682926828</v>
      </c>
      <c r="T30" s="3">
        <v>0.497</v>
      </c>
      <c r="U30" s="3">
        <v>12.5</v>
      </c>
      <c r="V30" s="3">
        <v>21.8</v>
      </c>
      <c r="W30" s="3">
        <v>0.16900000000000001</v>
      </c>
      <c r="X30" s="2"/>
      <c r="Y30" s="3">
        <v>0.53300000000000003</v>
      </c>
      <c r="Z30" s="3">
        <v>11.8</v>
      </c>
      <c r="AA30" s="3">
        <v>76.099999999999994</v>
      </c>
      <c r="AB30" s="3">
        <v>0.16900000000000001</v>
      </c>
      <c r="AC30" s="2"/>
      <c r="AD30" s="3" t="s">
        <v>643</v>
      </c>
      <c r="AE30" s="18">
        <v>595112</v>
      </c>
      <c r="AF30" s="18">
        <v>14515</v>
      </c>
    </row>
    <row r="31" spans="1:32" x14ac:dyDescent="0.2">
      <c r="A31" s="1">
        <v>29</v>
      </c>
      <c r="B31" s="3" t="s">
        <v>644</v>
      </c>
      <c r="C31" s="3" t="s">
        <v>76</v>
      </c>
      <c r="D31" s="3">
        <v>24.1</v>
      </c>
      <c r="E31" s="3">
        <v>20</v>
      </c>
      <c r="F31" s="3">
        <v>62</v>
      </c>
      <c r="G31" s="3">
        <v>21</v>
      </c>
      <c r="H31" s="3">
        <v>61</v>
      </c>
      <c r="I31" s="3">
        <v>-8.48</v>
      </c>
      <c r="J31" s="3">
        <v>0.22</v>
      </c>
      <c r="K31" s="3">
        <v>-8.26</v>
      </c>
      <c r="L31" s="3">
        <v>108.4</v>
      </c>
      <c r="M31" s="3">
        <v>116.7</v>
      </c>
      <c r="N31" s="3">
        <v>-8.3000000000000007</v>
      </c>
      <c r="O31" s="3">
        <v>100.9</v>
      </c>
      <c r="P31" s="3">
        <v>0.28399999999999997</v>
      </c>
      <c r="Q31" s="3">
        <v>0.44800000000000001</v>
      </c>
      <c r="R31" s="3">
        <v>0.56499999999999995</v>
      </c>
      <c r="S31" s="17">
        <f t="shared" si="0"/>
        <v>0.24390243902439024</v>
      </c>
      <c r="T31" s="3">
        <v>0.53400000000000003</v>
      </c>
      <c r="U31" s="3">
        <v>14.5</v>
      </c>
      <c r="V31" s="3">
        <v>21.7</v>
      </c>
      <c r="W31" s="3">
        <v>0.20200000000000001</v>
      </c>
      <c r="X31" s="2"/>
      <c r="Y31" s="3">
        <v>0.55400000000000005</v>
      </c>
      <c r="Z31" s="3">
        <v>12.3</v>
      </c>
      <c r="AA31" s="3">
        <v>74.400000000000006</v>
      </c>
      <c r="AB31" s="3">
        <v>0.20599999999999999</v>
      </c>
      <c r="AC31" s="2"/>
      <c r="AD31" s="3" t="s">
        <v>645</v>
      </c>
      <c r="AE31" s="18">
        <v>638977</v>
      </c>
      <c r="AF31" s="18">
        <v>15585</v>
      </c>
    </row>
    <row r="32" spans="1:32" x14ac:dyDescent="0.2">
      <c r="A32" s="1">
        <v>30</v>
      </c>
      <c r="B32" s="3" t="s">
        <v>646</v>
      </c>
      <c r="C32" s="3" t="s">
        <v>96</v>
      </c>
      <c r="D32" s="3">
        <v>25.6</v>
      </c>
      <c r="E32" s="3">
        <v>27</v>
      </c>
      <c r="F32" s="3">
        <v>55</v>
      </c>
      <c r="G32" s="3">
        <v>20</v>
      </c>
      <c r="H32" s="3">
        <v>62</v>
      </c>
      <c r="I32" s="3">
        <v>-8.8800000000000008</v>
      </c>
      <c r="J32" s="3">
        <v>0.33</v>
      </c>
      <c r="K32" s="3">
        <v>-8.5500000000000007</v>
      </c>
      <c r="L32" s="3">
        <v>107.8</v>
      </c>
      <c r="M32" s="3">
        <v>116.9</v>
      </c>
      <c r="N32" s="3">
        <v>-9.1</v>
      </c>
      <c r="O32" s="3">
        <v>98.3</v>
      </c>
      <c r="P32" s="3">
        <v>0.248</v>
      </c>
      <c r="Q32" s="3">
        <v>0.42199999999999999</v>
      </c>
      <c r="R32" s="3">
        <v>0.55000000000000004</v>
      </c>
      <c r="S32" s="17">
        <f t="shared" si="0"/>
        <v>0.32926829268292684</v>
      </c>
      <c r="T32" s="3">
        <v>0.51500000000000001</v>
      </c>
      <c r="U32" s="3">
        <v>13</v>
      </c>
      <c r="V32" s="3">
        <v>22.9</v>
      </c>
      <c r="W32" s="3">
        <v>0.188</v>
      </c>
      <c r="X32" s="2"/>
      <c r="Y32" s="3">
        <v>0.55900000000000005</v>
      </c>
      <c r="Z32" s="3">
        <v>12.7</v>
      </c>
      <c r="AA32" s="3">
        <v>76.900000000000006</v>
      </c>
      <c r="AB32" s="3">
        <v>0.222</v>
      </c>
      <c r="AC32" s="2"/>
      <c r="AD32" s="3" t="s">
        <v>647</v>
      </c>
      <c r="AE32" s="18">
        <v>705608</v>
      </c>
      <c r="AF32" s="18">
        <v>17210</v>
      </c>
    </row>
    <row r="33" spans="1:32" x14ac:dyDescent="0.2">
      <c r="A33" s="1"/>
      <c r="B33" s="3" t="s">
        <v>648</v>
      </c>
      <c r="C33" s="3"/>
      <c r="D33" s="3">
        <v>26.3</v>
      </c>
      <c r="E33" s="2"/>
      <c r="F33" s="2"/>
      <c r="G33" s="3">
        <v>41</v>
      </c>
      <c r="H33" s="3">
        <v>41</v>
      </c>
      <c r="I33" s="3">
        <v>0</v>
      </c>
      <c r="J33" s="3">
        <v>0</v>
      </c>
      <c r="K33" s="3">
        <v>0</v>
      </c>
      <c r="L33" s="3">
        <v>112</v>
      </c>
      <c r="M33" s="3">
        <v>112</v>
      </c>
      <c r="N33" s="2"/>
      <c r="O33" s="3">
        <v>98.2</v>
      </c>
      <c r="P33" s="3">
        <v>0.248</v>
      </c>
      <c r="Q33" s="3">
        <v>0.39900000000000002</v>
      </c>
      <c r="R33" s="3">
        <v>0.56599999999999995</v>
      </c>
      <c r="S33" s="17"/>
      <c r="T33" s="3">
        <v>0.53200000000000003</v>
      </c>
      <c r="U33" s="3">
        <v>12.3</v>
      </c>
      <c r="V33" s="3">
        <v>23.2</v>
      </c>
      <c r="W33" s="3">
        <v>0.192</v>
      </c>
      <c r="X33" s="2"/>
      <c r="Y33" s="3">
        <v>0.53200000000000003</v>
      </c>
      <c r="Z33" s="3">
        <v>12.3</v>
      </c>
      <c r="AA33" s="3">
        <v>76.8</v>
      </c>
      <c r="AB33" s="3">
        <v>0.192</v>
      </c>
      <c r="AC33" s="2"/>
      <c r="AD33" s="2"/>
      <c r="AE33" s="18">
        <v>695475</v>
      </c>
      <c r="AF33" s="18">
        <v>16963</v>
      </c>
    </row>
  </sheetData>
  <mergeCells count="4">
    <mergeCell ref="A1:S1"/>
    <mergeCell ref="T1:W1"/>
    <mergeCell ref="Y1:AB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curry</vt:lpstr>
      <vt:lpstr>wiggins</vt:lpstr>
      <vt:lpstr>davis</vt:lpstr>
      <vt:lpstr>cp3</vt:lpstr>
      <vt:lpstr>Sheet1</vt:lpstr>
      <vt:lpstr>Sheet2</vt:lpstr>
      <vt:lpstr>Sheet3</vt:lpstr>
      <vt:lpstr>booker</vt:lpstr>
      <vt:lpstr>draymond</vt:lpstr>
      <vt:lpstr>zubac</vt:lpstr>
      <vt:lpstr>harden</vt:lpstr>
      <vt:lpstr>poole</vt:lpstr>
      <vt:lpstr>durant</vt:lpstr>
      <vt:lpstr>klay</vt:lpstr>
      <vt:lpstr>kyrie</vt:lpstr>
      <vt:lpstr>lebron</vt:lpstr>
      <vt:lpstr>mikal</vt:lpstr>
      <vt:lpstr>pg13</vt:lpstr>
      <vt:lpstr>westbrook</vt:lpstr>
      <vt:lpstr>reggie jackson</vt:lpstr>
      <vt:lpstr>mann</vt:lpstr>
      <vt:lpstr>combined_player_stats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Alonge, Israel</cp:lastModifiedBy>
  <dcterms:created xsi:type="dcterms:W3CDTF">2026-04-23T17:27:50Z</dcterms:created>
  <dcterms:modified xsi:type="dcterms:W3CDTF">2026-05-06T01:39:08Z</dcterms:modified>
</cp:coreProperties>
</file>